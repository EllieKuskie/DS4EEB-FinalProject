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nno\OneDrive\Documents\"/>
    </mc:Choice>
  </mc:AlternateContent>
  <xr:revisionPtr revIDLastSave="0" documentId="13_ncr:1_{8F882A67-CA3F-4A6F-9356-D95807802C90}" xr6:coauthVersionLast="47" xr6:coauthVersionMax="47" xr10:uidLastSave="{00000000-0000-0000-0000-000000000000}"/>
  <bookViews>
    <workbookView xWindow="-90" yWindow="-90" windowWidth="17460" windowHeight="10380" activeTab="1" xr2:uid="{A30FA237-8BFD-4B4E-8F15-66B9AE11E9DD}"/>
  </bookViews>
  <sheets>
    <sheet name="PollPlantData_noUNK" sheetId="1" r:id="rId1"/>
    <sheet name="Pivot" sheetId="14" r:id="rId2"/>
    <sheet name="Shape" sheetId="3" r:id="rId3"/>
    <sheet name="Native" sheetId="4" r:id="rId4"/>
    <sheet name="Native BeeSpp" sheetId="7" r:id="rId5"/>
    <sheet name="Color" sheetId="5" r:id="rId6"/>
    <sheet name="Sheet1" sheetId="15" r:id="rId7"/>
    <sheet name="Sheet2" sheetId="16" r:id="rId8"/>
  </sheet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4" l="1"/>
  <c r="O14" i="14"/>
  <c r="H15" i="14"/>
  <c r="C4" i="16"/>
  <c r="C5" i="16"/>
  <c r="C6" i="16"/>
  <c r="C7" i="16"/>
  <c r="C3" i="16"/>
  <c r="C4" i="15"/>
  <c r="C5" i="15"/>
  <c r="C6" i="15"/>
  <c r="C7" i="15"/>
  <c r="C8" i="15"/>
  <c r="C9" i="15"/>
  <c r="C10" i="15"/>
  <c r="C3" i="15"/>
  <c r="B5" i="5"/>
  <c r="B6" i="5" s="1"/>
  <c r="K10" i="5" s="1"/>
  <c r="C11" i="5"/>
  <c r="D6" i="5"/>
  <c r="K12" i="5" s="1"/>
  <c r="E6" i="5"/>
  <c r="K13" i="5" s="1"/>
  <c r="F6" i="5"/>
  <c r="K14" i="5" s="1"/>
  <c r="G6" i="5"/>
  <c r="G15" i="5" s="1"/>
  <c r="H6" i="5"/>
  <c r="K16" i="5" s="1"/>
  <c r="I6" i="5"/>
  <c r="K17" i="5" s="1"/>
  <c r="C6" i="5"/>
  <c r="K11" i="5" s="1"/>
  <c r="J4" i="5"/>
  <c r="J5" i="5" s="1"/>
  <c r="J3" i="5"/>
  <c r="J2" i="5"/>
  <c r="A20" i="4"/>
  <c r="F20" i="4"/>
  <c r="K20" i="4"/>
  <c r="M17" i="4"/>
  <c r="M16" i="4"/>
  <c r="H17" i="4"/>
  <c r="H16" i="4"/>
  <c r="C17" i="4"/>
  <c r="C16" i="4"/>
  <c r="D8" i="4"/>
  <c r="AF27" i="3"/>
  <c r="AB27" i="3"/>
  <c r="X27" i="3"/>
  <c r="AH25" i="3"/>
  <c r="AH24" i="3"/>
  <c r="AH23" i="3"/>
  <c r="AH22" i="3"/>
  <c r="AH21" i="3"/>
  <c r="AD25" i="3"/>
  <c r="AD24" i="3"/>
  <c r="AD23" i="3"/>
  <c r="AD22" i="3"/>
  <c r="AD21" i="3"/>
  <c r="Z25" i="3"/>
  <c r="Z23" i="3"/>
  <c r="Z24" i="3"/>
  <c r="Z22" i="3"/>
  <c r="Z21" i="3"/>
  <c r="C22" i="3"/>
  <c r="U28" i="3"/>
  <c r="T28" i="3"/>
  <c r="S28" i="3"/>
  <c r="R28" i="3"/>
  <c r="Q28" i="3"/>
  <c r="V28" i="3" s="1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C11" i="15" l="1"/>
  <c r="C14" i="5"/>
  <c r="G14" i="5"/>
  <c r="G11" i="5"/>
  <c r="C13" i="5"/>
  <c r="G13" i="5"/>
  <c r="C15" i="5"/>
  <c r="K15" i="5"/>
  <c r="J19" i="5" s="1"/>
  <c r="C16" i="5"/>
  <c r="G16" i="5"/>
  <c r="C17" i="5"/>
  <c r="G17" i="5"/>
  <c r="C10" i="5"/>
  <c r="G10" i="5"/>
  <c r="C12" i="5"/>
  <c r="G12" i="5"/>
  <c r="I28" i="3"/>
  <c r="E28" i="3"/>
  <c r="A28" i="3"/>
  <c r="A21" i="7"/>
  <c r="F21" i="7"/>
  <c r="H19" i="7"/>
  <c r="H18" i="7"/>
  <c r="C19" i="7"/>
  <c r="C18" i="7"/>
  <c r="C14" i="7"/>
  <c r="B14" i="7"/>
  <c r="C4" i="7"/>
  <c r="C3" i="7"/>
  <c r="G4" i="4"/>
  <c r="G3" i="4"/>
  <c r="F8" i="4"/>
  <c r="C8" i="4"/>
  <c r="B8" i="4"/>
  <c r="C23" i="3"/>
  <c r="G8" i="3"/>
  <c r="K26" i="3" s="1"/>
  <c r="G7" i="3"/>
  <c r="K25" i="3" s="1"/>
  <c r="G6" i="3"/>
  <c r="K24" i="3" s="1"/>
  <c r="G5" i="3"/>
  <c r="G23" i="3" s="1"/>
  <c r="G4" i="3"/>
  <c r="G22" i="3" s="1"/>
  <c r="F12" i="3"/>
  <c r="D12" i="3"/>
  <c r="C12" i="3"/>
  <c r="B12" i="3"/>
  <c r="F19" i="5" l="1"/>
  <c r="B19" i="5"/>
  <c r="G26" i="3"/>
  <c r="C24" i="3"/>
  <c r="C25" i="3"/>
  <c r="G24" i="3"/>
  <c r="G25" i="3"/>
  <c r="K22" i="3"/>
  <c r="C26" i="3"/>
  <c r="K23" i="3"/>
</calcChain>
</file>

<file path=xl/sharedStrings.xml><?xml version="1.0" encoding="utf-8"?>
<sst xmlns="http://schemas.openxmlformats.org/spreadsheetml/2006/main" count="35215" uniqueCount="1149">
  <si>
    <t>index</t>
  </si>
  <si>
    <t>UniqueID</t>
  </si>
  <si>
    <t>DateCollected</t>
  </si>
  <si>
    <t>Site</t>
  </si>
  <si>
    <t>Collector</t>
  </si>
  <si>
    <t>Method</t>
  </si>
  <si>
    <t>PollinatorOrder</t>
  </si>
  <si>
    <t>PollinatorGroupGeneral</t>
  </si>
  <si>
    <t>PollinatorFamily</t>
  </si>
  <si>
    <t>PollinatorTribe</t>
  </si>
  <si>
    <t>PollinatorGenus</t>
  </si>
  <si>
    <t>PollinatorSpecies</t>
  </si>
  <si>
    <t>PollGenusSpeciesUSE</t>
  </si>
  <si>
    <t>PollinatorSex</t>
  </si>
  <si>
    <t>FlowerCollectedOn</t>
  </si>
  <si>
    <t>PlantType</t>
  </si>
  <si>
    <t>PlantFamily</t>
  </si>
  <si>
    <t>PlantGenus</t>
  </si>
  <si>
    <t>PlantSpecies</t>
  </si>
  <si>
    <t>PlantGenusSpeciesUSE</t>
  </si>
  <si>
    <t>AllPollBeeOnly</t>
  </si>
  <si>
    <t>PollenNectar</t>
  </si>
  <si>
    <t>PinnedBy</t>
  </si>
  <si>
    <t>Notes</t>
  </si>
  <si>
    <t>Aptos</t>
  </si>
  <si>
    <t>Gabriella Pardee</t>
  </si>
  <si>
    <t>Netting</t>
  </si>
  <si>
    <t>Diptera</t>
  </si>
  <si>
    <t>OtherFly</t>
  </si>
  <si>
    <t>Tachinidae</t>
  </si>
  <si>
    <t>tachinid</t>
  </si>
  <si>
    <t>sp_E</t>
  </si>
  <si>
    <t>tachinid sp_E</t>
  </si>
  <si>
    <t>yarrow</t>
  </si>
  <si>
    <t>ornamental</t>
  </si>
  <si>
    <t>Asteraceae</t>
  </si>
  <si>
    <t>Achillea</t>
  </si>
  <si>
    <t>millefolium</t>
  </si>
  <si>
    <t>Achillea millefolium</t>
  </si>
  <si>
    <t>AllPoll</t>
  </si>
  <si>
    <t>NA</t>
  </si>
  <si>
    <t>Janine Tan</t>
  </si>
  <si>
    <t>2 flies, 1 bag 87-88</t>
  </si>
  <si>
    <t>Guadalupe</t>
  </si>
  <si>
    <t>Edith Gonzales</t>
  </si>
  <si>
    <t>Hymenoptera</t>
  </si>
  <si>
    <t>SweatBee</t>
  </si>
  <si>
    <t>Halictidae</t>
  </si>
  <si>
    <t>Halictini</t>
  </si>
  <si>
    <t>Halictus</t>
  </si>
  <si>
    <t>ligatus</t>
  </si>
  <si>
    <t>Halictus ligatus</t>
  </si>
  <si>
    <t>male</t>
  </si>
  <si>
    <t>Robyn Fowler</t>
  </si>
  <si>
    <t>LagunaSeca</t>
  </si>
  <si>
    <t>OtherBee</t>
  </si>
  <si>
    <t>Colletdidae</t>
  </si>
  <si>
    <t>Colletini</t>
  </si>
  <si>
    <t>Hylaeus</t>
  </si>
  <si>
    <t>sp_B</t>
  </si>
  <si>
    <t>Hylaeus sp_B</t>
  </si>
  <si>
    <t>female</t>
  </si>
  <si>
    <t>Pollen</t>
  </si>
  <si>
    <t>Jenny Hsu</t>
  </si>
  <si>
    <t>3 poll (1452+1453+1454)</t>
  </si>
  <si>
    <t>sp_C</t>
  </si>
  <si>
    <t>Hylaeus sp_C</t>
  </si>
  <si>
    <t>Berryessa</t>
  </si>
  <si>
    <t>HoneyBee</t>
  </si>
  <si>
    <t>Apidae</t>
  </si>
  <si>
    <t>Apini</t>
  </si>
  <si>
    <t>Apis</t>
  </si>
  <si>
    <t>mellifera</t>
  </si>
  <si>
    <t>Apis mellifera</t>
  </si>
  <si>
    <t>Hollyhock</t>
  </si>
  <si>
    <t>Malvaceae</t>
  </si>
  <si>
    <t>Alcea</t>
  </si>
  <si>
    <t>rosea</t>
  </si>
  <si>
    <t>Alcea rosea</t>
  </si>
  <si>
    <t>CarpenterBee</t>
  </si>
  <si>
    <t>Xylocopini</t>
  </si>
  <si>
    <t>Xylocopa</t>
  </si>
  <si>
    <t>sonorina</t>
  </si>
  <si>
    <t>Xylocopa sonorina</t>
  </si>
  <si>
    <t>onion</t>
  </si>
  <si>
    <t>crop</t>
  </si>
  <si>
    <t>Allioideae</t>
  </si>
  <si>
    <t>Allium</t>
  </si>
  <si>
    <t>cepa</t>
  </si>
  <si>
    <t>Allium cepa</t>
  </si>
  <si>
    <t>2 poll, 1 bag 831-832</t>
  </si>
  <si>
    <t>tripartitus</t>
  </si>
  <si>
    <t>Halictus tripartitus</t>
  </si>
  <si>
    <t>CharlesStreet</t>
  </si>
  <si>
    <t>Lepidoptera</t>
  </si>
  <si>
    <t>Butterfly</t>
  </si>
  <si>
    <t>Hesperiidae</t>
  </si>
  <si>
    <t>Hesperiini</t>
  </si>
  <si>
    <t>Hylephila</t>
  </si>
  <si>
    <t>phyleus</t>
  </si>
  <si>
    <t>Hylephila phyleus</t>
  </si>
  <si>
    <t>M</t>
  </si>
  <si>
    <t>LaColina</t>
  </si>
  <si>
    <t>Stacy Philpott</t>
  </si>
  <si>
    <t>MIIS</t>
  </si>
  <si>
    <t>Agapostemon</t>
  </si>
  <si>
    <t>texanus</t>
  </si>
  <si>
    <t>Agapostemon texanus</t>
  </si>
  <si>
    <t>Natividad</t>
  </si>
  <si>
    <t>Calliphoridae</t>
  </si>
  <si>
    <t>Lucilini</t>
  </si>
  <si>
    <t>Lucila</t>
  </si>
  <si>
    <t>sp_A</t>
  </si>
  <si>
    <t>Lucila sp_A</t>
  </si>
  <si>
    <t>Hoverfly</t>
  </si>
  <si>
    <t>Syrphidae</t>
  </si>
  <si>
    <t>Syrphini</t>
  </si>
  <si>
    <t>Sphaerophoria</t>
  </si>
  <si>
    <t>contigua</t>
  </si>
  <si>
    <t>Sphaerophoria contigua</t>
  </si>
  <si>
    <t>Milesini</t>
  </si>
  <si>
    <t>Syritta</t>
  </si>
  <si>
    <t>pipiens</t>
  </si>
  <si>
    <t>Syritta pipiens</t>
  </si>
  <si>
    <t>Trescony</t>
  </si>
  <si>
    <t>Sofie Andrade</t>
  </si>
  <si>
    <t>chives</t>
  </si>
  <si>
    <t>schoenoprasum</t>
  </si>
  <si>
    <t>Allium schoenoprasum</t>
  </si>
  <si>
    <t>Prusch</t>
  </si>
  <si>
    <t>allium</t>
  </si>
  <si>
    <t>sp.</t>
  </si>
  <si>
    <t>Allium sp. A</t>
  </si>
  <si>
    <t>PacificGrove</t>
  </si>
  <si>
    <t>FarmGardenUCSC</t>
  </si>
  <si>
    <t>Lemon Verbena</t>
  </si>
  <si>
    <t>Verbenaceae</t>
  </si>
  <si>
    <t>Aloysia</t>
  </si>
  <si>
    <t>citrodora</t>
  </si>
  <si>
    <t>Aloysia citrodora</t>
  </si>
  <si>
    <t>BeeOnly</t>
  </si>
  <si>
    <t>Lasioglossum</t>
  </si>
  <si>
    <t>sp_G</t>
  </si>
  <si>
    <t>Lasioglossum sp_G</t>
  </si>
  <si>
    <t>peruvian lily</t>
  </si>
  <si>
    <t>Alstroemeriaceae</t>
  </si>
  <si>
    <t>Alstroemeria</t>
  </si>
  <si>
    <t>aurea</t>
  </si>
  <si>
    <t>Alstroemeria aurea</t>
  </si>
  <si>
    <t>HomelessGardenProject</t>
  </si>
  <si>
    <t>Azucena Luctaero</t>
  </si>
  <si>
    <t>SeniorCenter</t>
  </si>
  <si>
    <t>2 poll (687+688)</t>
  </si>
  <si>
    <t>2 poll, 1 bag 808-809</t>
  </si>
  <si>
    <t>bee</t>
  </si>
  <si>
    <t>BumbleBee</t>
  </si>
  <si>
    <t>Bombini</t>
  </si>
  <si>
    <t>Bombus</t>
  </si>
  <si>
    <t>vosnesenskii</t>
  </si>
  <si>
    <t>Bombus vosnesenskii</t>
  </si>
  <si>
    <t>bumble bee</t>
  </si>
  <si>
    <t>Red Pineapple</t>
  </si>
  <si>
    <t>Bromeliaceae</t>
  </si>
  <si>
    <t>Ananas</t>
  </si>
  <si>
    <t>bracteatus</t>
  </si>
  <si>
    <t>Ananas bracteatus</t>
  </si>
  <si>
    <t>dill</t>
  </si>
  <si>
    <t>Apiaceae</t>
  </si>
  <si>
    <t>Anethum</t>
  </si>
  <si>
    <t>graveolens</t>
  </si>
  <si>
    <t>Anethum graveolens</t>
  </si>
  <si>
    <t>sp_D</t>
  </si>
  <si>
    <t>Hylaeus sp_D</t>
  </si>
  <si>
    <t>CoyoteCreek</t>
  </si>
  <si>
    <t>Paragini</t>
  </si>
  <si>
    <t>Paragus</t>
  </si>
  <si>
    <t>haemorrhous</t>
  </si>
  <si>
    <t>Paragus haemorrhous</t>
  </si>
  <si>
    <t>celery</t>
  </si>
  <si>
    <t>Apium</t>
  </si>
  <si>
    <t>Apium graveolens</t>
  </si>
  <si>
    <t>tachinid sp_B</t>
  </si>
  <si>
    <t>Lasioglossum sp_E</t>
  </si>
  <si>
    <t>sp_K</t>
  </si>
  <si>
    <t>Lasioglossum sp_K</t>
  </si>
  <si>
    <t>Eristalini</t>
  </si>
  <si>
    <t>Eristalis</t>
  </si>
  <si>
    <t>hirta</t>
  </si>
  <si>
    <t>Eristalis hirta</t>
  </si>
  <si>
    <t>Chadwick</t>
  </si>
  <si>
    <t>milkweed, tropical</t>
  </si>
  <si>
    <t>Apocynaceae</t>
  </si>
  <si>
    <t>Asclepias</t>
  </si>
  <si>
    <t>curassavica</t>
  </si>
  <si>
    <t>Asclepias curassavica</t>
  </si>
  <si>
    <t>sulphuripes</t>
  </si>
  <si>
    <t>Sphaerophoria sulphuripes</t>
  </si>
  <si>
    <t>milkweed, narrowleaf</t>
  </si>
  <si>
    <t>fascicularis</t>
  </si>
  <si>
    <t>Asclepias fascicularis</t>
  </si>
  <si>
    <t>milkweed</t>
  </si>
  <si>
    <t>Asclepias sp. A</t>
  </si>
  <si>
    <t>Nectar</t>
  </si>
  <si>
    <t>MEarth</t>
  </si>
  <si>
    <t>asparagus</t>
  </si>
  <si>
    <t>Asparagaceae</t>
  </si>
  <si>
    <t>Asparagus</t>
  </si>
  <si>
    <t>officinalis</t>
  </si>
  <si>
    <t>Asparagus officinalis</t>
  </si>
  <si>
    <t>daisy</t>
  </si>
  <si>
    <t>Bellis</t>
  </si>
  <si>
    <t>perennis</t>
  </si>
  <si>
    <t>Bellis perennis</t>
  </si>
  <si>
    <t>Salinas</t>
  </si>
  <si>
    <t>Anthomyiidae</t>
  </si>
  <si>
    <t>anthomyid</t>
  </si>
  <si>
    <t>anthomyid sp_A</t>
  </si>
  <si>
    <t>swiss chard</t>
  </si>
  <si>
    <t>Amaranthaceae</t>
  </si>
  <si>
    <t>Beta</t>
  </si>
  <si>
    <t>vulgaris</t>
  </si>
  <si>
    <t>Beta vulgaris</t>
  </si>
  <si>
    <t>2 pollinators 1 bag (2/2)</t>
  </si>
  <si>
    <t>Muscidae</t>
  </si>
  <si>
    <t>muscid</t>
  </si>
  <si>
    <t>muscid sp_B</t>
  </si>
  <si>
    <t>2 pollinators 1 bag (1/2)</t>
  </si>
  <si>
    <t>borage</t>
  </si>
  <si>
    <t>Boraginaceae</t>
  </si>
  <si>
    <t>Borago</t>
  </si>
  <si>
    <t>Borago officinalis</t>
  </si>
  <si>
    <t>Genesis Perez</t>
  </si>
  <si>
    <t>caliginosus</t>
  </si>
  <si>
    <t>Bombus caliginosus</t>
  </si>
  <si>
    <t>Azucena Lucatero</t>
  </si>
  <si>
    <t>Grange</t>
  </si>
  <si>
    <t>Pieridae</t>
  </si>
  <si>
    <t>Pierini</t>
  </si>
  <si>
    <t>Pieris</t>
  </si>
  <si>
    <t>rapae</t>
  </si>
  <si>
    <t>Pieris rapae</t>
  </si>
  <si>
    <t>has corbicula pollen vial</t>
  </si>
  <si>
    <t>WVIMiJardinVerde</t>
  </si>
  <si>
    <t>mustard green</t>
  </si>
  <si>
    <t>Brassicaceae</t>
  </si>
  <si>
    <t>Brassica</t>
  </si>
  <si>
    <t>juncea</t>
  </si>
  <si>
    <t>Brassica juncea</t>
  </si>
  <si>
    <t>2 poll (2159+2160)</t>
  </si>
  <si>
    <t>Megachilidae</t>
  </si>
  <si>
    <t>Megachilini</t>
  </si>
  <si>
    <t>Megachile</t>
  </si>
  <si>
    <t>centuncularis</t>
  </si>
  <si>
    <t>Megachile centuncularis</t>
  </si>
  <si>
    <t>mustard, black</t>
  </si>
  <si>
    <t>nigra</t>
  </si>
  <si>
    <t>Brassica nigra</t>
  </si>
  <si>
    <t>Eupeodes</t>
  </si>
  <si>
    <t>fumipennis</t>
  </si>
  <si>
    <t>Eupeodes fumipennis</t>
  </si>
  <si>
    <t>broccoli</t>
  </si>
  <si>
    <t>oleraceae</t>
  </si>
  <si>
    <t>Brassica oleraceae</t>
  </si>
  <si>
    <t>F</t>
  </si>
  <si>
    <t>kale, purple curly</t>
  </si>
  <si>
    <t>kale</t>
  </si>
  <si>
    <t>kale, curly</t>
  </si>
  <si>
    <t>asian greens or choy</t>
  </si>
  <si>
    <t>rapa</t>
  </si>
  <si>
    <t>Brassica rapa</t>
  </si>
  <si>
    <t>2 poll (2333+2334)</t>
  </si>
  <si>
    <t>bok choy</t>
  </si>
  <si>
    <t>butterfly bush</t>
  </si>
  <si>
    <t>Scrophulariaceae</t>
  </si>
  <si>
    <t>Buddleja</t>
  </si>
  <si>
    <t>davidii</t>
  </si>
  <si>
    <t>Buddleja davidii</t>
  </si>
  <si>
    <t>2 poll (1051+1052)</t>
  </si>
  <si>
    <t>calendula</t>
  </si>
  <si>
    <t>Calendula</t>
  </si>
  <si>
    <t>Calendula sp. A</t>
  </si>
  <si>
    <t>Osmiini</t>
  </si>
  <si>
    <t>Heriades</t>
  </si>
  <si>
    <t>Heriades sp_A</t>
  </si>
  <si>
    <t>Ceratinini</t>
  </si>
  <si>
    <t>Ceratina</t>
  </si>
  <si>
    <t>acantha</t>
  </si>
  <si>
    <t>Ceratina acantha</t>
  </si>
  <si>
    <t>3 bees (1444+1445+1446)</t>
  </si>
  <si>
    <t>3 poll (1448+1449+1450)</t>
  </si>
  <si>
    <t>nanula</t>
  </si>
  <si>
    <t>Ceratina nanula</t>
  </si>
  <si>
    <t>2 poll (968+969)</t>
  </si>
  <si>
    <t>sp_F</t>
  </si>
  <si>
    <t>Lasioglossum sp_F</t>
  </si>
  <si>
    <t>Eucerini</t>
  </si>
  <si>
    <t>Melissodes</t>
  </si>
  <si>
    <t>Melissodes sp_C</t>
  </si>
  <si>
    <t>Jalapeno</t>
  </si>
  <si>
    <t>Solanaceae</t>
  </si>
  <si>
    <t>Capsicum</t>
  </si>
  <si>
    <t>annum</t>
  </si>
  <si>
    <t>Capsicum annum</t>
  </si>
  <si>
    <t>sp_L</t>
  </si>
  <si>
    <t>Lasioglossum sp_L</t>
  </si>
  <si>
    <t>pepper, light green</t>
  </si>
  <si>
    <t>ValleVerde</t>
  </si>
  <si>
    <t>Allograpta</t>
  </si>
  <si>
    <t>obliqua</t>
  </si>
  <si>
    <t>Allograpta obliqua</t>
  </si>
  <si>
    <t>cornflower</t>
  </si>
  <si>
    <t>Centaurea</t>
  </si>
  <si>
    <t>cyanus</t>
  </si>
  <si>
    <t>Centaurea cyanus</t>
  </si>
  <si>
    <t>2 poll (2176+2177)</t>
  </si>
  <si>
    <t>2 poll (2179+2180)</t>
  </si>
  <si>
    <t>2 pollinators; 1 bag 1499-1500</t>
  </si>
  <si>
    <t>Megachile sp_A</t>
  </si>
  <si>
    <t>cornflower, pink</t>
  </si>
  <si>
    <t>Emphorini</t>
  </si>
  <si>
    <t>Diadasia</t>
  </si>
  <si>
    <t>rinconis</t>
  </si>
  <si>
    <t>Diadasia rinconis</t>
  </si>
  <si>
    <t>perihirta</t>
  </si>
  <si>
    <t>Megachile perihirta</t>
  </si>
  <si>
    <t>knapweed</t>
  </si>
  <si>
    <t>weed</t>
  </si>
  <si>
    <t>Centaurea sp. A</t>
  </si>
  <si>
    <t>BeachFlats</t>
  </si>
  <si>
    <t>chrysanthemum</t>
  </si>
  <si>
    <t>Chrysanthemum</t>
  </si>
  <si>
    <t>Chrysanthemum sp.</t>
  </si>
  <si>
    <t>thistle</t>
  </si>
  <si>
    <t>Cirsium</t>
  </si>
  <si>
    <t>douglasii</t>
  </si>
  <si>
    <t>Cirsium douglasii</t>
  </si>
  <si>
    <t>bull thistle</t>
  </si>
  <si>
    <t>vulgare</t>
  </si>
  <si>
    <t>Cirsium vulgare</t>
  </si>
  <si>
    <t>2 poll (1403+1404)</t>
  </si>
  <si>
    <t>pussy paw</t>
  </si>
  <si>
    <t>Montiaceae</t>
  </si>
  <si>
    <t>Cistanthe</t>
  </si>
  <si>
    <t>monandrum</t>
  </si>
  <si>
    <t>Cistanthe monandrum</t>
  </si>
  <si>
    <t>2 pollinators 1 bag</t>
  </si>
  <si>
    <t>Lasioglossum sp_B</t>
  </si>
  <si>
    <t>Watermelon</t>
  </si>
  <si>
    <t>Cucurbitaceae</t>
  </si>
  <si>
    <t>Citrullus</t>
  </si>
  <si>
    <t>lanatus</t>
  </si>
  <si>
    <t>Citrullus lanatus</t>
  </si>
  <si>
    <t>Clarkia</t>
  </si>
  <si>
    <t>Onagraceae</t>
  </si>
  <si>
    <t>Clarkia sp. A</t>
  </si>
  <si>
    <t>clarkia, elegant</t>
  </si>
  <si>
    <t>unguiculata</t>
  </si>
  <si>
    <t>Clarkia unguiculata</t>
  </si>
  <si>
    <t>Wild Basil</t>
  </si>
  <si>
    <t>Lamiaceae</t>
  </si>
  <si>
    <t>Clinopodum</t>
  </si>
  <si>
    <t>Clinopodum vulgare</t>
  </si>
  <si>
    <t>Poison Hemlock</t>
  </si>
  <si>
    <t>Conium</t>
  </si>
  <si>
    <t>maculatum</t>
  </si>
  <si>
    <t>Conium maculatum</t>
  </si>
  <si>
    <t>exotica</t>
  </si>
  <si>
    <t>Allograpta exotica</t>
  </si>
  <si>
    <t>bindweed</t>
  </si>
  <si>
    <t>Convolvulaceae</t>
  </si>
  <si>
    <t>Convolvulus</t>
  </si>
  <si>
    <t>arvensis</t>
  </si>
  <si>
    <t>Convolvulus arvensis</t>
  </si>
  <si>
    <t>BeeFly</t>
  </si>
  <si>
    <t>Bombyliidae</t>
  </si>
  <si>
    <t>Villini</t>
  </si>
  <si>
    <t>Hemipenthes</t>
  </si>
  <si>
    <t>Hemipenthes sp_A</t>
  </si>
  <si>
    <t>Rhagionidae</t>
  </si>
  <si>
    <t>rhagionid</t>
  </si>
  <si>
    <t>rhagionid sp_A</t>
  </si>
  <si>
    <t>(2 poll 713+714)</t>
  </si>
  <si>
    <t>Lasioglossum sp_A</t>
  </si>
  <si>
    <t>2 poll (713 + 714)</t>
  </si>
  <si>
    <t>Pajaro</t>
  </si>
  <si>
    <t>Toxomerini</t>
  </si>
  <si>
    <t>Toxomerus</t>
  </si>
  <si>
    <t>marginatus</t>
  </si>
  <si>
    <t>Toxomerus marginatus</t>
  </si>
  <si>
    <t>Moth</t>
  </si>
  <si>
    <t>Crambidae</t>
  </si>
  <si>
    <t>Spilomelini</t>
  </si>
  <si>
    <t>Pyrausta</t>
  </si>
  <si>
    <t>californicalis</t>
  </si>
  <si>
    <t>Pyrausta californicalis</t>
  </si>
  <si>
    <t>Unable to ID</t>
  </si>
  <si>
    <t>Lasioglossum sp_C</t>
  </si>
  <si>
    <t>horseweed</t>
  </si>
  <si>
    <t>Conyza</t>
  </si>
  <si>
    <t>canadensis</t>
  </si>
  <si>
    <t>Conyza canadensis</t>
  </si>
  <si>
    <t>coreopsis</t>
  </si>
  <si>
    <t>Coreopsis</t>
  </si>
  <si>
    <t>Coreopsis sp. A</t>
  </si>
  <si>
    <t>Pyrgini</t>
  </si>
  <si>
    <t>Burnsius</t>
  </si>
  <si>
    <t>albescens</t>
  </si>
  <si>
    <t>Burnsius albescens</t>
  </si>
  <si>
    <t>Corethrogyne Filaginifolia</t>
  </si>
  <si>
    <t>Corethrogyne</t>
  </si>
  <si>
    <t>filaginifolia</t>
  </si>
  <si>
    <t>Corethrogyne filaginifolia</t>
  </si>
  <si>
    <t>cilantro</t>
  </si>
  <si>
    <t>Coriandrum</t>
  </si>
  <si>
    <t>sativum</t>
  </si>
  <si>
    <t>Coriandrum sativum</t>
  </si>
  <si>
    <t>Geometridae</t>
  </si>
  <si>
    <t>Eupitheciini</t>
  </si>
  <si>
    <t>Eupithecia</t>
  </si>
  <si>
    <t>miserulata</t>
  </si>
  <si>
    <t>Eupithecia miserulata</t>
  </si>
  <si>
    <t>arbustorum</t>
  </si>
  <si>
    <t>Eristalis arbustorum</t>
  </si>
  <si>
    <t>2 poll (997+998)</t>
  </si>
  <si>
    <t>tachinid sp_G</t>
  </si>
  <si>
    <t>2 poll (1416+1417)</t>
  </si>
  <si>
    <t>sp_H</t>
  </si>
  <si>
    <t>tachinid sp_H</t>
  </si>
  <si>
    <t>3 poll (1913+1914+1915)</t>
  </si>
  <si>
    <t>2 poll (1230+1231)</t>
  </si>
  <si>
    <t>calliphorid</t>
  </si>
  <si>
    <t>calliphorid sp_D</t>
  </si>
  <si>
    <t>3 poll (1140+1141+1142)</t>
  </si>
  <si>
    <t>tachinid sp_D</t>
  </si>
  <si>
    <t>calliphorid sp_B</t>
  </si>
  <si>
    <t>3 pollinators 1 bag (3/3)</t>
  </si>
  <si>
    <t>3 pollinators 1 bag (1/3)</t>
  </si>
  <si>
    <t>3 pollinators 1 bag (2/3)</t>
  </si>
  <si>
    <t>5 pollinators 1 bag (1/5)</t>
  </si>
  <si>
    <t>5 pollinators 1 bag (2/5)</t>
  </si>
  <si>
    <t>5 pollinators 1 bag (3/5)</t>
  </si>
  <si>
    <t>5 pollinators 1 bag (4/5)</t>
  </si>
  <si>
    <t>muscid sp_A</t>
  </si>
  <si>
    <t>5 pollinators 1 bag (5/5)</t>
  </si>
  <si>
    <t>2 poll (169+970)</t>
  </si>
  <si>
    <t>2 poll (971+972)</t>
  </si>
  <si>
    <t>2 poll (992+993)</t>
  </si>
  <si>
    <t>2 poll (990+991)</t>
  </si>
  <si>
    <t>2 poll (995+996)</t>
  </si>
  <si>
    <t>anthomyid sp_C</t>
  </si>
  <si>
    <t>3 poll (589+590+1265)</t>
  </si>
  <si>
    <t>flavifrons</t>
  </si>
  <si>
    <t>Bombus flavifrons</t>
  </si>
  <si>
    <t>cosmos</t>
  </si>
  <si>
    <t>Cosmos</t>
  </si>
  <si>
    <t>bipinnatus</t>
  </si>
  <si>
    <t>Cosmos bipinnatus</t>
  </si>
  <si>
    <t>Melissodes sp_A</t>
  </si>
  <si>
    <t>Megachile sp_B</t>
  </si>
  <si>
    <t>shared a bag with 102</t>
  </si>
  <si>
    <t>Melissodes sp_B</t>
  </si>
  <si>
    <t>Melectini</t>
  </si>
  <si>
    <t>Xeromelecta</t>
  </si>
  <si>
    <t>californica</t>
  </si>
  <si>
    <t>Xeromelecta californica</t>
  </si>
  <si>
    <t>cucumber</t>
  </si>
  <si>
    <t>Cucumis</t>
  </si>
  <si>
    <t>sativus</t>
  </si>
  <si>
    <t>Cucumis sativus</t>
  </si>
  <si>
    <t>Silver Bell Squash</t>
  </si>
  <si>
    <t>Cucurbita</t>
  </si>
  <si>
    <t>maxima</t>
  </si>
  <si>
    <t>Cucurbita maxima</t>
  </si>
  <si>
    <t>squash</t>
  </si>
  <si>
    <t>pepo</t>
  </si>
  <si>
    <t>Cucurbita pepo</t>
  </si>
  <si>
    <t>SquashBee</t>
  </si>
  <si>
    <t>Peponapis</t>
  </si>
  <si>
    <t>pruinosa</t>
  </si>
  <si>
    <t>Peponapis pruinosa</t>
  </si>
  <si>
    <t>zucchini</t>
  </si>
  <si>
    <t>squash, yellow</t>
  </si>
  <si>
    <t>misnumbered</t>
  </si>
  <si>
    <t>2 poll (46+ 47)</t>
  </si>
  <si>
    <t>2 poll (46+47)</t>
  </si>
  <si>
    <t>two pinned bees 303 &amp; 304</t>
  </si>
  <si>
    <t>two pinned bees 303 &amp; 305</t>
  </si>
  <si>
    <t>Pumpkin</t>
  </si>
  <si>
    <t>Hylaeus sp_A</t>
  </si>
  <si>
    <t>Platyptiliini</t>
  </si>
  <si>
    <t>volupialis</t>
  </si>
  <si>
    <t>Pyrausta volupialis</t>
  </si>
  <si>
    <t>Lucila sp_B</t>
  </si>
  <si>
    <t>Sarcophagidae</t>
  </si>
  <si>
    <t>sarcophagid</t>
  </si>
  <si>
    <t>sarcophagid sp_A</t>
  </si>
  <si>
    <t>Drosophilidae</t>
  </si>
  <si>
    <t>drosophilid</t>
  </si>
  <si>
    <t>drosophilid sp_B</t>
  </si>
  <si>
    <t>2 poll (1099+1100)</t>
  </si>
  <si>
    <t>californicus</t>
  </si>
  <si>
    <t>Bombus californicus</t>
  </si>
  <si>
    <t>artichoke</t>
  </si>
  <si>
    <t>Cynara</t>
  </si>
  <si>
    <t>cardunculus</t>
  </si>
  <si>
    <t>Cynara cardunculus</t>
  </si>
  <si>
    <t>Bee Unique ID changed from 2094 to 2144 due to duplication</t>
  </si>
  <si>
    <t>chinese forget me not</t>
  </si>
  <si>
    <t>Cynoglossum</t>
  </si>
  <si>
    <t>amabile</t>
  </si>
  <si>
    <t>Cynoglossum amabile</t>
  </si>
  <si>
    <t>dahlia</t>
  </si>
  <si>
    <t>Dahlia</t>
  </si>
  <si>
    <t>Dahlia sp. A</t>
  </si>
  <si>
    <t>Queen Anne's Lace</t>
  </si>
  <si>
    <t>Daucus</t>
  </si>
  <si>
    <t>carota</t>
  </si>
  <si>
    <t>Daucus carota</t>
  </si>
  <si>
    <t>two pinned bees 312 &amp; 313</t>
  </si>
  <si>
    <t>Hylaeus sp_H</t>
  </si>
  <si>
    <t>2 poll (2175+2176)</t>
  </si>
  <si>
    <t>damaged</t>
  </si>
  <si>
    <t>Hylaeus damaged</t>
  </si>
  <si>
    <t>foxglove</t>
  </si>
  <si>
    <t>Plantaginaceae</t>
  </si>
  <si>
    <t>Digitalis</t>
  </si>
  <si>
    <t>Digitalis sp. A</t>
  </si>
  <si>
    <t>foxglove, pale pink</t>
  </si>
  <si>
    <t>Giant Foxglove</t>
  </si>
  <si>
    <t>Fingertips</t>
  </si>
  <si>
    <t>Crassulaceae</t>
  </si>
  <si>
    <t>Dudleya</t>
  </si>
  <si>
    <t>edulis</t>
  </si>
  <si>
    <t>Dudleya edulis</t>
  </si>
  <si>
    <t>queen</t>
  </si>
  <si>
    <t>coneflower</t>
  </si>
  <si>
    <t>Echinacea</t>
  </si>
  <si>
    <t>Echinacea sp. A</t>
  </si>
  <si>
    <t>seaside buckwheat</t>
  </si>
  <si>
    <t>Polygonaceae</t>
  </si>
  <si>
    <t>Erigonum</t>
  </si>
  <si>
    <t>latifolium</t>
  </si>
  <si>
    <t>Erigonum latifolium</t>
  </si>
  <si>
    <t>coastal wild buckwheat</t>
  </si>
  <si>
    <t>wild buckwheat</t>
  </si>
  <si>
    <t>Erigonum sp. A</t>
  </si>
  <si>
    <t>California poppy</t>
  </si>
  <si>
    <t>Papaveraceae</t>
  </si>
  <si>
    <t>Eschscholzia</t>
  </si>
  <si>
    <t>Eschscholzia californica</t>
  </si>
  <si>
    <t>Lasioglossum sp_D</t>
  </si>
  <si>
    <t>2 poll (1113+1114)</t>
  </si>
  <si>
    <t>fennel</t>
  </si>
  <si>
    <t>Foeniculum</t>
  </si>
  <si>
    <t>Foeniculum vulgare</t>
  </si>
  <si>
    <t>4 poll (2103+2104+2105+2106)</t>
  </si>
  <si>
    <t>Hylaeus sp_E</t>
  </si>
  <si>
    <t>two pinned bees 308 &amp; 309</t>
  </si>
  <si>
    <t>2 poll (1843+1844)</t>
  </si>
  <si>
    <t>2 poll (1678+1729)</t>
  </si>
  <si>
    <t>strawberry</t>
  </si>
  <si>
    <t>Rosaceae</t>
  </si>
  <si>
    <t>Fragaria</t>
  </si>
  <si>
    <t>x ananassa</t>
  </si>
  <si>
    <t>Fragaria x ananassa</t>
  </si>
  <si>
    <t>Gaillardia pulchella</t>
  </si>
  <si>
    <t>Gaillardia</t>
  </si>
  <si>
    <t>pulchella</t>
  </si>
  <si>
    <t>Narrowleaf Bedstraw</t>
  </si>
  <si>
    <t>Rubiaceae</t>
  </si>
  <si>
    <t>Galium</t>
  </si>
  <si>
    <t>angustifolium</t>
  </si>
  <si>
    <t>Galium angustifolium</t>
  </si>
  <si>
    <t>red cranesbill</t>
  </si>
  <si>
    <t>Geraniaceae</t>
  </si>
  <si>
    <t>Geranium</t>
  </si>
  <si>
    <t>sanguineum</t>
  </si>
  <si>
    <t>Geranium sanguineum</t>
  </si>
  <si>
    <t>gladiolus</t>
  </si>
  <si>
    <t>Iridaceae</t>
  </si>
  <si>
    <t>Gladiolus</t>
  </si>
  <si>
    <t>Gladiolus sp. A</t>
  </si>
  <si>
    <t>sunflower</t>
  </si>
  <si>
    <t>Helianthus</t>
  </si>
  <si>
    <t>annuus</t>
  </si>
  <si>
    <t>Helianthus annuus</t>
  </si>
  <si>
    <t>occidentalis</t>
  </si>
  <si>
    <t>Bombus occidentalis</t>
  </si>
  <si>
    <t>unknown</t>
  </si>
  <si>
    <t>diptera</t>
  </si>
  <si>
    <t>diptera sp_B</t>
  </si>
  <si>
    <t>2 poll (13382+1383)</t>
  </si>
  <si>
    <t>2 poll (1382+1383)</t>
  </si>
  <si>
    <t>communis</t>
  </si>
  <si>
    <t>Melissodes communis</t>
  </si>
  <si>
    <t>2 poll (1908+1909)</t>
  </si>
  <si>
    <t>drosophilid sp_A</t>
  </si>
  <si>
    <t>alkali heliotrope</t>
  </si>
  <si>
    <t>Heliotropium</t>
  </si>
  <si>
    <t>curassavicum</t>
  </si>
  <si>
    <t>Heliotropium curassavicum</t>
  </si>
  <si>
    <t>Warty Dandelion</t>
  </si>
  <si>
    <t>Helminthotheca</t>
  </si>
  <si>
    <t>echiodes</t>
  </si>
  <si>
    <t>Helminthotheca echiodes</t>
  </si>
  <si>
    <t>wild mustard</t>
  </si>
  <si>
    <t>Hirschfeldia</t>
  </si>
  <si>
    <t>incana</t>
  </si>
  <si>
    <t>Hirschfeldia incana</t>
  </si>
  <si>
    <t>rotundata</t>
  </si>
  <si>
    <t>Megachile rotundata</t>
  </si>
  <si>
    <t>2 poll (2250+2251)</t>
  </si>
  <si>
    <t>3 poll (2245+2246+2247)</t>
  </si>
  <si>
    <t>2 poll (65+66)</t>
  </si>
  <si>
    <t>2 poll (836+837)</t>
  </si>
  <si>
    <t>muscid sp_C</t>
  </si>
  <si>
    <t>2 poll (542+543)</t>
  </si>
  <si>
    <t>Volucellini</t>
  </si>
  <si>
    <t>Copestylum</t>
  </si>
  <si>
    <t>marginatum</t>
  </si>
  <si>
    <t>Copestylum marginatum</t>
  </si>
  <si>
    <t>bluebell</t>
  </si>
  <si>
    <t>Hyacinthoides</t>
  </si>
  <si>
    <t>non-scripta</t>
  </si>
  <si>
    <t>Hyacinthoides non-scripta</t>
  </si>
  <si>
    <t>morning glory</t>
  </si>
  <si>
    <t>Ipomoea</t>
  </si>
  <si>
    <t>Ipomoea sp. A</t>
  </si>
  <si>
    <t>oceanside</t>
  </si>
  <si>
    <t>ipomopsis</t>
  </si>
  <si>
    <t>Polemoniaceae</t>
  </si>
  <si>
    <t>Ipomopsis</t>
  </si>
  <si>
    <t>Ipomopsis sp. A</t>
  </si>
  <si>
    <t>red ipomopsis</t>
  </si>
  <si>
    <t>Lettuce</t>
  </si>
  <si>
    <t>Lactuca</t>
  </si>
  <si>
    <t>sativa</t>
  </si>
  <si>
    <t>Lactuca sativa</t>
  </si>
  <si>
    <t>tabaniformis</t>
  </si>
  <si>
    <t>Xylocopa tabaniformis</t>
  </si>
  <si>
    <t>squash - gourd</t>
  </si>
  <si>
    <t>Lagenaria</t>
  </si>
  <si>
    <t>siceraria</t>
  </si>
  <si>
    <t>Lagenaria siceraria</t>
  </si>
  <si>
    <t>Anthidini</t>
  </si>
  <si>
    <t>Anthidium</t>
  </si>
  <si>
    <t>maculosum</t>
  </si>
  <si>
    <t>Anthidium maculosum</t>
  </si>
  <si>
    <t>rosemary</t>
  </si>
  <si>
    <t>Rosmarinus</t>
  </si>
  <si>
    <t>Lamiaceae Rosmarinus</t>
  </si>
  <si>
    <t>Henbit Deadnettle</t>
  </si>
  <si>
    <t>Lamium</t>
  </si>
  <si>
    <t>amplexicaule</t>
  </si>
  <si>
    <t>Lamium amplexicaule</t>
  </si>
  <si>
    <t>creeping lantana</t>
  </si>
  <si>
    <t>Lantana</t>
  </si>
  <si>
    <t>montevidensis</t>
  </si>
  <si>
    <t>Lantana montevidensis</t>
  </si>
  <si>
    <t>2 poll (1314+1315)</t>
  </si>
  <si>
    <t>Lycaenidae</t>
  </si>
  <si>
    <t>Eumaeini</t>
  </si>
  <si>
    <t>Strymon</t>
  </si>
  <si>
    <t>melinus</t>
  </si>
  <si>
    <t>Strymon melinus</t>
  </si>
  <si>
    <t>lantana</t>
  </si>
  <si>
    <t>Lantana sp. A</t>
  </si>
  <si>
    <t>sweet pea</t>
  </si>
  <si>
    <t>Fabaceae</t>
  </si>
  <si>
    <t>Lathryus</t>
  </si>
  <si>
    <t>odoratus</t>
  </si>
  <si>
    <t>Lathryus odoratus</t>
  </si>
  <si>
    <t>carpenter bee</t>
  </si>
  <si>
    <t>Red Pea</t>
  </si>
  <si>
    <t>Lathyrus</t>
  </si>
  <si>
    <t>cicera</t>
  </si>
  <si>
    <t>Lathyrus cicera</t>
  </si>
  <si>
    <t>lavender</t>
  </si>
  <si>
    <t>Lavendula</t>
  </si>
  <si>
    <t>Lavendula sp. A</t>
  </si>
  <si>
    <t>Anthophorini</t>
  </si>
  <si>
    <t>Anthophora</t>
  </si>
  <si>
    <t>Anthophora sp_A</t>
  </si>
  <si>
    <t>angelarum</t>
  </si>
  <si>
    <t>Megachile angelarum</t>
  </si>
  <si>
    <t>network, number changed to 2408 (doubles)</t>
  </si>
  <si>
    <t>spanish lavender</t>
  </si>
  <si>
    <t>stoechas</t>
  </si>
  <si>
    <t>Lavendula stoechas</t>
  </si>
  <si>
    <t>iNaturalist</t>
  </si>
  <si>
    <t>Peppergrass</t>
  </si>
  <si>
    <t>Lepidium</t>
  </si>
  <si>
    <t>virginicum</t>
  </si>
  <si>
    <t>Lepidium virginicum</t>
  </si>
  <si>
    <t>Leucanthemum</t>
  </si>
  <si>
    <t>Leucanthemum sp. A</t>
  </si>
  <si>
    <t>Polyommatini</t>
  </si>
  <si>
    <t>Brephidium</t>
  </si>
  <si>
    <t>exilis</t>
  </si>
  <si>
    <t>Brephidium exilis</t>
  </si>
  <si>
    <t>unable to ID</t>
  </si>
  <si>
    <t>shasta daisy</t>
  </si>
  <si>
    <t>superbum</t>
  </si>
  <si>
    <t>Leucanthemum superbum</t>
  </si>
  <si>
    <t>Tree Privet</t>
  </si>
  <si>
    <t>Oleaceae</t>
  </si>
  <si>
    <t>ligustrum</t>
  </si>
  <si>
    <t>lucidum</t>
  </si>
  <si>
    <t>ligustrum lucidum</t>
  </si>
  <si>
    <t>Statis</t>
  </si>
  <si>
    <t>Plumbaginaceae</t>
  </si>
  <si>
    <t>Limonium</t>
  </si>
  <si>
    <t>Limonium sp. A</t>
  </si>
  <si>
    <t>sweet alyssum</t>
  </si>
  <si>
    <t>Lobularia</t>
  </si>
  <si>
    <t>maritima</t>
  </si>
  <si>
    <t>Lobularia maritima</t>
  </si>
  <si>
    <t>tachinid sp_C</t>
  </si>
  <si>
    <t>anthomyid sp_B</t>
  </si>
  <si>
    <t>2 poll (587+588)</t>
  </si>
  <si>
    <t>lomelosia</t>
  </si>
  <si>
    <t>Caprifoliaceae</t>
  </si>
  <si>
    <t>Lomelsosia</t>
  </si>
  <si>
    <t>Lomelsosia sp.</t>
  </si>
  <si>
    <t>calliphorid sp_A</t>
  </si>
  <si>
    <t>Honeysuckle</t>
  </si>
  <si>
    <t>Lonicera</t>
  </si>
  <si>
    <t>Lonicera sp. A</t>
  </si>
  <si>
    <t>2 poll (1356+1357)</t>
  </si>
  <si>
    <t>goji berry</t>
  </si>
  <si>
    <t>Lycium</t>
  </si>
  <si>
    <t>barbarum</t>
  </si>
  <si>
    <t>Lycium barbarum</t>
  </si>
  <si>
    <t>Malvella</t>
  </si>
  <si>
    <t>Malvella sp. A</t>
  </si>
  <si>
    <t>chamomile</t>
  </si>
  <si>
    <t>Matricaria</t>
  </si>
  <si>
    <t>chamomilla</t>
  </si>
  <si>
    <t>Matricaria chamomilla</t>
  </si>
  <si>
    <t>2 poll (705+706)</t>
  </si>
  <si>
    <t>2 poll (194+195)</t>
  </si>
  <si>
    <t>Lemon Balm</t>
  </si>
  <si>
    <t>Melissa</t>
  </si>
  <si>
    <t>Melissa officinalis</t>
  </si>
  <si>
    <t>mint</t>
  </si>
  <si>
    <t>Mentha</t>
  </si>
  <si>
    <t>Mentha sp. A</t>
  </si>
  <si>
    <t>2 poll (49+50)</t>
  </si>
  <si>
    <t>Sawfly</t>
  </si>
  <si>
    <t>Agridae</t>
  </si>
  <si>
    <t>agrid</t>
  </si>
  <si>
    <t>agrid sp_A</t>
  </si>
  <si>
    <t>Spearmint</t>
  </si>
  <si>
    <t>spicata</t>
  </si>
  <si>
    <t>Mentha spicata</t>
  </si>
  <si>
    <t>apple mint</t>
  </si>
  <si>
    <t>suaveolens</t>
  </si>
  <si>
    <t>Mentha suaveolens</t>
  </si>
  <si>
    <t>forget-me-not</t>
  </si>
  <si>
    <t>Myosotis</t>
  </si>
  <si>
    <t>Myosotis sp. A</t>
  </si>
  <si>
    <t>catnip</t>
  </si>
  <si>
    <t>Nepeta</t>
  </si>
  <si>
    <t>cataria</t>
  </si>
  <si>
    <t>Nepeta cataria</t>
  </si>
  <si>
    <t>Nerium Oleander</t>
  </si>
  <si>
    <t>Nereum</t>
  </si>
  <si>
    <t>oleander</t>
  </si>
  <si>
    <t>Nereum oleander</t>
  </si>
  <si>
    <t>Nigella</t>
  </si>
  <si>
    <t>Ranunculaceae</t>
  </si>
  <si>
    <t>damascena</t>
  </si>
  <si>
    <t>Nigella damascena</t>
  </si>
  <si>
    <t>love-in-a-mist</t>
  </si>
  <si>
    <t>basil</t>
  </si>
  <si>
    <t>Ocimum</t>
  </si>
  <si>
    <t>basilicum</t>
  </si>
  <si>
    <t>Ocimum basilicum</t>
  </si>
  <si>
    <t>oregano, ornamental</t>
  </si>
  <si>
    <t>Origanum</t>
  </si>
  <si>
    <t>libanoticum</t>
  </si>
  <si>
    <t>Origanum libanoticum</t>
  </si>
  <si>
    <t>oregano</t>
  </si>
  <si>
    <t>Origanum vulgare</t>
  </si>
  <si>
    <t>3 poll (2261+2262+2263)</t>
  </si>
  <si>
    <t>Nymphalidae</t>
  </si>
  <si>
    <t>Junoniini</t>
  </si>
  <si>
    <t>Junonia</t>
  </si>
  <si>
    <t>grisea</t>
  </si>
  <si>
    <t>Junonia grisea</t>
  </si>
  <si>
    <t>2 poll (1227+1228)</t>
  </si>
  <si>
    <t>oxalis</t>
  </si>
  <si>
    <t>Oxalidaceae</t>
  </si>
  <si>
    <t>Oxalis</t>
  </si>
  <si>
    <t>Oxalis sp. A</t>
  </si>
  <si>
    <t>platyptiliini</t>
  </si>
  <si>
    <t>passion fruit</t>
  </si>
  <si>
    <t>Passifloraceae</t>
  </si>
  <si>
    <t>Passiflora</t>
  </si>
  <si>
    <t>Passiflora edulis</t>
  </si>
  <si>
    <t>Lache</t>
  </si>
  <si>
    <t>Pavonia</t>
  </si>
  <si>
    <t>cavaniles</t>
  </si>
  <si>
    <t>Pavonia cavaniles</t>
  </si>
  <si>
    <t>geranium</t>
  </si>
  <si>
    <t>Pelargonium</t>
  </si>
  <si>
    <t>Pelargonium sp. A</t>
  </si>
  <si>
    <t>hot rock penstemon</t>
  </si>
  <si>
    <t>Penstemon</t>
  </si>
  <si>
    <t>deustus</t>
  </si>
  <si>
    <t>Penstemon deustus</t>
  </si>
  <si>
    <t>Lady Henley Penstemon</t>
  </si>
  <si>
    <t>Penstemon sp. A</t>
  </si>
  <si>
    <t>Purple Penstemon</t>
  </si>
  <si>
    <t>Penstemon sp. B</t>
  </si>
  <si>
    <t>purple penstemon</t>
  </si>
  <si>
    <t>Hoplitis</t>
  </si>
  <si>
    <t>Hoplitis sp_B</t>
  </si>
  <si>
    <t>parsley</t>
  </si>
  <si>
    <t>Petroselinum</t>
  </si>
  <si>
    <t>crispum</t>
  </si>
  <si>
    <t>Petroselinum crispum</t>
  </si>
  <si>
    <t>pole bean</t>
  </si>
  <si>
    <t>Phaseolus</t>
  </si>
  <si>
    <t>Phaseolus vulgaris</t>
  </si>
  <si>
    <t>scarlet runner bean</t>
  </si>
  <si>
    <t>poop fly</t>
  </si>
  <si>
    <t>frog fruit</t>
  </si>
  <si>
    <t>Phyla</t>
  </si>
  <si>
    <t>nodiflora</t>
  </si>
  <si>
    <t>Phyla nodiflora</t>
  </si>
  <si>
    <t>2 poll (213+214)</t>
  </si>
  <si>
    <t>2 pollinators 1 bag (2/2), body in 3 pieces - put in blue vial</t>
  </si>
  <si>
    <t>tomatillo</t>
  </si>
  <si>
    <t>Physalis</t>
  </si>
  <si>
    <t>philadelphica</t>
  </si>
  <si>
    <t>Physalis philadelphica</t>
  </si>
  <si>
    <t>3 poll (2185+2186+2187)</t>
  </si>
  <si>
    <t>network</t>
  </si>
  <si>
    <t>Purple Pea</t>
  </si>
  <si>
    <t>Pisum</t>
  </si>
  <si>
    <t>Pisum sativum</t>
  </si>
  <si>
    <t>plantago</t>
  </si>
  <si>
    <t>Plantago</t>
  </si>
  <si>
    <t>lanceota</t>
  </si>
  <si>
    <t>Plantago lanceota</t>
  </si>
  <si>
    <t>balloon plant</t>
  </si>
  <si>
    <t>Campanulaceae</t>
  </si>
  <si>
    <t>Platycodon</t>
  </si>
  <si>
    <t>grandiflorus</t>
  </si>
  <si>
    <t>Platycodon grandiflorus</t>
  </si>
  <si>
    <t>Seablush</t>
  </si>
  <si>
    <t>Plectritis</t>
  </si>
  <si>
    <t>Plectritis sp. A</t>
  </si>
  <si>
    <t>field seablush</t>
  </si>
  <si>
    <t>Plectritus</t>
  </si>
  <si>
    <t>congesta</t>
  </si>
  <si>
    <t>Plectritus congesta</t>
  </si>
  <si>
    <t>Primrose</t>
  </si>
  <si>
    <t>Primulaceae</t>
  </si>
  <si>
    <t>Primula</t>
  </si>
  <si>
    <t>Primula vulgaris</t>
  </si>
  <si>
    <t>common primrose</t>
  </si>
  <si>
    <t>pomegranate</t>
  </si>
  <si>
    <t>Lythraceae</t>
  </si>
  <si>
    <t>Punica</t>
  </si>
  <si>
    <t>granatum</t>
  </si>
  <si>
    <t>Punica granatum</t>
  </si>
  <si>
    <t>Polyommatinae</t>
  </si>
  <si>
    <t>Icaricia</t>
  </si>
  <si>
    <t>acmon</t>
  </si>
  <si>
    <t>Icaricia acmon</t>
  </si>
  <si>
    <t>wild radish</t>
  </si>
  <si>
    <t>Raphanus</t>
  </si>
  <si>
    <t>raphanistrum</t>
  </si>
  <si>
    <t>Raphanus raphanistrum</t>
  </si>
  <si>
    <t>radish</t>
  </si>
  <si>
    <t>Raphanus sativus</t>
  </si>
  <si>
    <t>Villa</t>
  </si>
  <si>
    <t>Villa sp_B</t>
  </si>
  <si>
    <t>Raphanus sp. A</t>
  </si>
  <si>
    <t>network, has corbicula pollen vial</t>
  </si>
  <si>
    <t>7.5 mins</t>
  </si>
  <si>
    <t>Weld</t>
  </si>
  <si>
    <t>Resedaceae</t>
  </si>
  <si>
    <t>Reseda</t>
  </si>
  <si>
    <t>luteola</t>
  </si>
  <si>
    <t>Reseda luteola</t>
  </si>
  <si>
    <t>rhubarb</t>
  </si>
  <si>
    <t>Rheum</t>
  </si>
  <si>
    <t>rhabarbarum</t>
  </si>
  <si>
    <t>Rheum rhabarbarum</t>
  </si>
  <si>
    <t>Rose</t>
  </si>
  <si>
    <t>Rosa</t>
  </si>
  <si>
    <t>Rosa sp. A</t>
  </si>
  <si>
    <t>Raspberry</t>
  </si>
  <si>
    <t>Rubus</t>
  </si>
  <si>
    <t>idaeus</t>
  </si>
  <si>
    <t>Rubus idaeus</t>
  </si>
  <si>
    <t>blackberry</t>
  </si>
  <si>
    <t>ursinus</t>
  </si>
  <si>
    <t>Rubus ursinus</t>
  </si>
  <si>
    <t>2 poll (973+974)</t>
  </si>
  <si>
    <t>black-eyed susan</t>
  </si>
  <si>
    <t>Rudbeckia</t>
  </si>
  <si>
    <t>Rudbeckia hirta</t>
  </si>
  <si>
    <t>Ruda</t>
  </si>
  <si>
    <t>Rutaceae</t>
  </si>
  <si>
    <t>Ruta</t>
  </si>
  <si>
    <t>Ruta graveolens</t>
  </si>
  <si>
    <t>sage, white</t>
  </si>
  <si>
    <t>Salvia</t>
  </si>
  <si>
    <t>apiana</t>
  </si>
  <si>
    <t>Salvia apiana</t>
  </si>
  <si>
    <t>sage, tropical</t>
  </si>
  <si>
    <t>coccinea</t>
  </si>
  <si>
    <t>Salvia coccinea</t>
  </si>
  <si>
    <t>Salvia Dark Dancer</t>
  </si>
  <si>
    <t>greggii</t>
  </si>
  <si>
    <t>Salvia greggii</t>
  </si>
  <si>
    <t>sage, Mexican bush</t>
  </si>
  <si>
    <t>leucantha</t>
  </si>
  <si>
    <t>Salvia leucantha</t>
  </si>
  <si>
    <t>sage, black</t>
  </si>
  <si>
    <t>Salvia mellifera</t>
  </si>
  <si>
    <t>sage, limelight</t>
  </si>
  <si>
    <t>mexicana</t>
  </si>
  <si>
    <t>Salvia mexicana</t>
  </si>
  <si>
    <t>sage</t>
  </si>
  <si>
    <t>Salvia officinalis</t>
  </si>
  <si>
    <t>garden sage</t>
  </si>
  <si>
    <t>urbana</t>
  </si>
  <si>
    <t>Anthophora urbana</t>
  </si>
  <si>
    <t>corbicula pollen</t>
  </si>
  <si>
    <t>salvia</t>
  </si>
  <si>
    <t>Salvia sp.</t>
  </si>
  <si>
    <t>Red Salvia</t>
  </si>
  <si>
    <t>Salvia sp. A</t>
  </si>
  <si>
    <t>2 poll (501+502)</t>
  </si>
  <si>
    <t>Salvia sp. B</t>
  </si>
  <si>
    <t>sage, ornamental</t>
  </si>
  <si>
    <t>santolina</t>
  </si>
  <si>
    <t>Santolina</t>
  </si>
  <si>
    <t>chamecyparissus</t>
  </si>
  <si>
    <t>Santolina chamecyparissus</t>
  </si>
  <si>
    <t>Lasioglossum sp_H</t>
  </si>
  <si>
    <t>Scabiosa</t>
  </si>
  <si>
    <t>Dipsacaceae</t>
  </si>
  <si>
    <t>atropurpurea</t>
  </si>
  <si>
    <t>Scabiosa atropurpurea</t>
  </si>
  <si>
    <t>Sixalix</t>
  </si>
  <si>
    <t>Sixalix?</t>
  </si>
  <si>
    <t>sweet scabious</t>
  </si>
  <si>
    <t>scabiosa</t>
  </si>
  <si>
    <t>scabiosa atropurpurea</t>
  </si>
  <si>
    <t>Sedum sp.</t>
  </si>
  <si>
    <t>Sedum</t>
  </si>
  <si>
    <t>Sedum sp. A</t>
  </si>
  <si>
    <t>tomato</t>
  </si>
  <si>
    <t>Solanum</t>
  </si>
  <si>
    <t>lycopersicum</t>
  </si>
  <si>
    <t>Solanum lycopersicum</t>
  </si>
  <si>
    <t>Velvety Goldenrod</t>
  </si>
  <si>
    <t>Solidago</t>
  </si>
  <si>
    <t>mollis</t>
  </si>
  <si>
    <t>Solidago mollis</t>
  </si>
  <si>
    <t>sow thistle</t>
  </si>
  <si>
    <t>Sonchus</t>
  </si>
  <si>
    <t>Sonchus sp. A</t>
  </si>
  <si>
    <t>stachys</t>
  </si>
  <si>
    <t>Stachys</t>
  </si>
  <si>
    <t>byzantina</t>
  </si>
  <si>
    <t>Stachys byzantina</t>
  </si>
  <si>
    <t>Symphytotrichum</t>
  </si>
  <si>
    <t>Symphytotrichum sp. A</t>
  </si>
  <si>
    <t>2 poll (1208+1209)</t>
  </si>
  <si>
    <t>comfry, common</t>
  </si>
  <si>
    <t>Symphytum</t>
  </si>
  <si>
    <t>Symphytum sp. A</t>
  </si>
  <si>
    <t>2 poll (938+939)</t>
  </si>
  <si>
    <t>marigold</t>
  </si>
  <si>
    <t>Tagetes</t>
  </si>
  <si>
    <t>Tagetes sp. A</t>
  </si>
  <si>
    <t>Tephritidae</t>
  </si>
  <si>
    <t>tephritid</t>
  </si>
  <si>
    <t>tephritid sp_A</t>
  </si>
  <si>
    <t>3 pollinators, 1 bag 570-572</t>
  </si>
  <si>
    <t>2 pollinators, 1 bag 573-574</t>
  </si>
  <si>
    <t>fever few</t>
  </si>
  <si>
    <t>Tanacetum</t>
  </si>
  <si>
    <t>parthenium</t>
  </si>
  <si>
    <t>Tanacetum parthenium</t>
  </si>
  <si>
    <t>tenax</t>
  </si>
  <si>
    <t>Eristalis tenax</t>
  </si>
  <si>
    <t>Bacchini</t>
  </si>
  <si>
    <t>Platycheirus</t>
  </si>
  <si>
    <t>Platycheirus sp_A</t>
  </si>
  <si>
    <t>2 poll (1270+1271)</t>
  </si>
  <si>
    <t>dandelion</t>
  </si>
  <si>
    <t>Taraxacum</t>
  </si>
  <si>
    <t>officinale</t>
  </si>
  <si>
    <t>Taraxacum officinale</t>
  </si>
  <si>
    <t>thyme, lemon</t>
  </si>
  <si>
    <t>Thymus</t>
  </si>
  <si>
    <t>citriodorus</t>
  </si>
  <si>
    <t>Thymus citriodorus</t>
  </si>
  <si>
    <t>thyme</t>
  </si>
  <si>
    <t>Thymus vulgaris</t>
  </si>
  <si>
    <t>2 poll (503+504)</t>
  </si>
  <si>
    <t>tachinid sp_A</t>
  </si>
  <si>
    <t>Heriades sp_B</t>
  </si>
  <si>
    <t>6 pollinators 1 bag (1/6)</t>
  </si>
  <si>
    <t>6 pollinators 1 bag (2/6)</t>
  </si>
  <si>
    <t>6 pollinators 1 bag (3/6)</t>
  </si>
  <si>
    <t>6 pollinators 1 bag (4/6)</t>
  </si>
  <si>
    <t>6 pollinators 1 bag (5/6)</t>
  </si>
  <si>
    <t>6 pollinators 1 bag (6/6)</t>
  </si>
  <si>
    <t>2 poll (197+198)</t>
  </si>
  <si>
    <t>detached leg (glued on paper and pinned underneath)</t>
  </si>
  <si>
    <t>nasturtium</t>
  </si>
  <si>
    <t>Tropaeolaceae</t>
  </si>
  <si>
    <t>Tropaeolum</t>
  </si>
  <si>
    <t>majus</t>
  </si>
  <si>
    <t>Tropaeolum majus</t>
  </si>
  <si>
    <t>violetta</t>
  </si>
  <si>
    <t>Verbascum</t>
  </si>
  <si>
    <t>phoenicium</t>
  </si>
  <si>
    <t>Verbascum phoenicium</t>
  </si>
  <si>
    <t>purple vervain</t>
  </si>
  <si>
    <t>Verbena</t>
  </si>
  <si>
    <t>bonariensis</t>
  </si>
  <si>
    <t>Verbena bonariensis</t>
  </si>
  <si>
    <t>vervain</t>
  </si>
  <si>
    <t>Verbena officinalis</t>
  </si>
  <si>
    <t>Lepidanthrax</t>
  </si>
  <si>
    <t>Lepidanthrax sp_A</t>
  </si>
  <si>
    <t>2 poll (979+980)</t>
  </si>
  <si>
    <t>Long-leaved speedwell</t>
  </si>
  <si>
    <t>Veronica</t>
  </si>
  <si>
    <t>longifolia</t>
  </si>
  <si>
    <t>Veronica longifolia</t>
  </si>
  <si>
    <t>2 poll (1020+1021)</t>
  </si>
  <si>
    <t>corn</t>
  </si>
  <si>
    <t>Poaceae</t>
  </si>
  <si>
    <t>Zea</t>
  </si>
  <si>
    <t>mays</t>
  </si>
  <si>
    <t>Zea mays</t>
  </si>
  <si>
    <t>zinnia</t>
  </si>
  <si>
    <t>Zinnia</t>
  </si>
  <si>
    <t>elegans</t>
  </si>
  <si>
    <t>Zinnia elegans</t>
  </si>
  <si>
    <t>moth</t>
  </si>
  <si>
    <t>Row Labels</t>
  </si>
  <si>
    <t>(blank)</t>
  </si>
  <si>
    <t>Grand Total</t>
  </si>
  <si>
    <t>Native</t>
  </si>
  <si>
    <t>FlowerColor</t>
  </si>
  <si>
    <t>FlowerShape</t>
  </si>
  <si>
    <t>WhitePink</t>
  </si>
  <si>
    <t>Dish</t>
  </si>
  <si>
    <t>PinkPurpleRedWhiteYellow</t>
  </si>
  <si>
    <t>Not Native</t>
  </si>
  <si>
    <t>White to Pink or Light Green</t>
  </si>
  <si>
    <t>Other</t>
  </si>
  <si>
    <t>U</t>
  </si>
  <si>
    <t>Purple</t>
  </si>
  <si>
    <t>White</t>
  </si>
  <si>
    <t>PurplePink YellowOrange</t>
  </si>
  <si>
    <t>Tube</t>
  </si>
  <si>
    <t>YellowRed</t>
  </si>
  <si>
    <t>YellowGreen</t>
  </si>
  <si>
    <t>RedOrangeYellow</t>
  </si>
  <si>
    <t>Green-White</t>
  </si>
  <si>
    <t>Pale Green</t>
  </si>
  <si>
    <t>BluePurpleWhite</t>
  </si>
  <si>
    <t>Yellow</t>
  </si>
  <si>
    <t>YellowWhite</t>
  </si>
  <si>
    <t>OrangeYellow</t>
  </si>
  <si>
    <t>PinkPurple</t>
  </si>
  <si>
    <t>PinkRedWhite</t>
  </si>
  <si>
    <t>Gullet</t>
  </si>
  <si>
    <t>PinkWhite</t>
  </si>
  <si>
    <t>YellowWhitePink</t>
  </si>
  <si>
    <t>PurpleWhite</t>
  </si>
  <si>
    <t>PurplePinkYellow</t>
  </si>
  <si>
    <t>Orange</t>
  </si>
  <si>
    <t>BluePurple</t>
  </si>
  <si>
    <t>Blue</t>
  </si>
  <si>
    <t>OrangePinkYellowWhite</t>
  </si>
  <si>
    <t>RedPurpleYellow</t>
  </si>
  <si>
    <t>RedYellow</t>
  </si>
  <si>
    <t>PurplePink</t>
  </si>
  <si>
    <t>WhiteBluePurple</t>
  </si>
  <si>
    <t>VioletWhite</t>
  </si>
  <si>
    <t>RedWhitePurple</t>
  </si>
  <si>
    <t>YellowBlue</t>
  </si>
  <si>
    <t>RedPurple</t>
  </si>
  <si>
    <t>Flag</t>
  </si>
  <si>
    <t>WhitePinkPurple</t>
  </si>
  <si>
    <t>WhiteYellow</t>
  </si>
  <si>
    <t>BlueWhiteYellow</t>
  </si>
  <si>
    <t>White+-Yellow to Red-Purple</t>
  </si>
  <si>
    <t>PurpleBlue</t>
  </si>
  <si>
    <t>WhiteRed</t>
  </si>
  <si>
    <t>BrownGreen</t>
  </si>
  <si>
    <t>OrangeRedYellow</t>
  </si>
  <si>
    <t>PurplePinkYellowWhite</t>
  </si>
  <si>
    <t>YellowBrown</t>
  </si>
  <si>
    <t>WhitePurple</t>
  </si>
  <si>
    <t>Red</t>
  </si>
  <si>
    <t>Pink</t>
  </si>
  <si>
    <t>PurplePinkWite</t>
  </si>
  <si>
    <t>VioletPinkWhite</t>
  </si>
  <si>
    <t>RedOrangePinkYellow</t>
  </si>
  <si>
    <t>OrangeYellowRedPink</t>
  </si>
  <si>
    <t>YellowPurple</t>
  </si>
  <si>
    <t>Flies</t>
  </si>
  <si>
    <t>Observed</t>
  </si>
  <si>
    <t>Expected</t>
  </si>
  <si>
    <t>Minus U</t>
  </si>
  <si>
    <t>Bees</t>
  </si>
  <si>
    <t>Butterflies</t>
  </si>
  <si>
    <t>% out of 1400</t>
  </si>
  <si>
    <t>Total minus U</t>
  </si>
  <si>
    <t>% of 1299</t>
  </si>
  <si>
    <t>To calculate expected - it is taking the observed times the relative abundance of that flower shape in the community.</t>
  </si>
  <si>
    <t>So for instance, 53.4% of all visited plants have dish flowers.</t>
  </si>
  <si>
    <t>Flies visited 232 plants total.</t>
  </si>
  <si>
    <t>So you multiply the number of fly visits (232) times the representation in the community (53.4%) to get 123.9 visits to dish flowers expected.</t>
  </si>
  <si>
    <t>Hymenoptera Total</t>
  </si>
  <si>
    <t>chi-square test</t>
  </si>
  <si>
    <t>p-value</t>
  </si>
  <si>
    <t>All other bees</t>
  </si>
  <si>
    <t>all other bees</t>
  </si>
  <si>
    <t>Total</t>
  </si>
  <si>
    <t>Honey bee</t>
  </si>
  <si>
    <t xml:space="preserve"> all other bees</t>
  </si>
  <si>
    <t>expected</t>
  </si>
  <si>
    <t>observed</t>
  </si>
  <si>
    <t>Column Labels</t>
  </si>
  <si>
    <t>Count of Collector</t>
  </si>
  <si>
    <t>None</t>
  </si>
  <si>
    <t>Green</t>
  </si>
  <si>
    <t>SingleFlColor</t>
  </si>
  <si>
    <t>% of 1176</t>
  </si>
  <si>
    <t>Chisq test</t>
  </si>
  <si>
    <t>Native Status</t>
  </si>
  <si>
    <t>Wild Bees</t>
  </si>
  <si>
    <t>Diptera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</si>
</sst>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"/>
    <numFmt numFmtId="166" formatCode="0.00000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E3A38"/>
      <name val="Calibri"/>
      <family val="2"/>
      <scheme val="minor"/>
    </font>
    <font>
      <sz val="12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3" fillId="3" borderId="0" xfId="1"/>
    <xf numFmtId="0" fontId="1" fillId="5" borderId="0" xfId="0" applyFont="1" applyFill="1"/>
    <xf numFmtId="0" fontId="1" fillId="5" borderId="1" xfId="0" applyFont="1" applyFill="1" applyBorder="1"/>
    <xf numFmtId="166" fontId="0" fillId="0" borderId="0" xfId="0" applyNumberFormat="1"/>
    <xf numFmtId="0" fontId="0" fillId="5" borderId="0" xfId="0" applyFill="1"/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/>
    <xf numFmtId="0" fontId="4" fillId="0" borderId="0" xfId="0" applyFont="1"/>
    <xf numFmtId="0" fontId="0" fillId="0" borderId="0" xfId="0" pivotButton="1"/>
    <xf numFmtId="0" fontId="0" fillId="6" borderId="0" xfId="0" applyFill="1"/>
    <xf numFmtId="0" fontId="5" fillId="3" borderId="0" xfId="1" applyFon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Shape!$A$4</c:f>
              <c:strCache>
                <c:ptCount val="1"/>
                <c:pt idx="0">
                  <c:v>Dish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Shape!$B$3:$D$3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Shape!$B$4:$D$4</c:f>
              <c:numCache>
                <c:formatCode>General</c:formatCode>
                <c:ptCount val="3"/>
                <c:pt idx="0">
                  <c:v>163</c:v>
                </c:pt>
                <c:pt idx="1">
                  <c:v>563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D-DE44-A6E0-3D6D80BEB4A9}"/>
            </c:ext>
          </c:extLst>
        </c:ser>
        <c:ser>
          <c:idx val="1"/>
          <c:order val="1"/>
          <c:tx>
            <c:strRef>
              <c:f>Shape!$A$5</c:f>
              <c:strCache>
                <c:ptCount val="1"/>
                <c:pt idx="0">
                  <c:v>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Shape!$B$3:$D$3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Shape!$B$5:$D$5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D-DE44-A6E0-3D6D80BEB4A9}"/>
            </c:ext>
          </c:extLst>
        </c:ser>
        <c:ser>
          <c:idx val="2"/>
          <c:order val="2"/>
          <c:tx>
            <c:strRef>
              <c:f>Shape!$A$6</c:f>
              <c:strCache>
                <c:ptCount val="1"/>
                <c:pt idx="0">
                  <c:v>Gullet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Shape!$B$3:$D$3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Shape!$B$6:$D$6</c:f>
              <c:numCache>
                <c:formatCode>General</c:formatCode>
                <c:ptCount val="3"/>
                <c:pt idx="0">
                  <c:v>18</c:v>
                </c:pt>
                <c:pt idx="1">
                  <c:v>73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D-DE44-A6E0-3D6D80BEB4A9}"/>
            </c:ext>
          </c:extLst>
        </c:ser>
        <c:ser>
          <c:idx val="3"/>
          <c:order val="3"/>
          <c:tx>
            <c:strRef>
              <c:f>Shape!$A$7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Shape!$B$3:$D$3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Shape!$B$7:$D$7</c:f>
              <c:numCache>
                <c:formatCode>General</c:formatCode>
                <c:ptCount val="3"/>
                <c:pt idx="0">
                  <c:v>13</c:v>
                </c:pt>
                <c:pt idx="1">
                  <c:v>54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ED-DE44-A6E0-3D6D80BEB4A9}"/>
            </c:ext>
          </c:extLst>
        </c:ser>
        <c:ser>
          <c:idx val="4"/>
          <c:order val="4"/>
          <c:tx>
            <c:strRef>
              <c:f>Shape!$A$8</c:f>
              <c:strCache>
                <c:ptCount val="1"/>
                <c:pt idx="0">
                  <c:v>Tube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Shape!$B$3:$D$3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Shape!$B$8:$D$8</c:f>
              <c:numCache>
                <c:formatCode>General</c:formatCode>
                <c:ptCount val="3"/>
                <c:pt idx="0">
                  <c:v>36</c:v>
                </c:pt>
                <c:pt idx="1">
                  <c:v>421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ED-DE44-A6E0-3D6D80BE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02544432"/>
        <c:axId val="401648304"/>
      </c:barChart>
      <c:catAx>
        <c:axId val="402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48304"/>
        <c:crosses val="autoZero"/>
        <c:auto val="1"/>
        <c:lblAlgn val="ctr"/>
        <c:lblOffset val="100"/>
        <c:noMultiLvlLbl val="0"/>
      </c:catAx>
      <c:valAx>
        <c:axId val="4016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Visitation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Native!$A$3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Native!$B$2:$D$2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Native!$B$3:$D$3</c:f>
              <c:numCache>
                <c:formatCode>General</c:formatCode>
                <c:ptCount val="3"/>
                <c:pt idx="0">
                  <c:v>6</c:v>
                </c:pt>
                <c:pt idx="1">
                  <c:v>159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3-E347-98FA-650C4753A878}"/>
            </c:ext>
          </c:extLst>
        </c:ser>
        <c:ser>
          <c:idx val="1"/>
          <c:order val="1"/>
          <c:tx>
            <c:strRef>
              <c:f>Native!$A$4</c:f>
              <c:strCache>
                <c:ptCount val="1"/>
                <c:pt idx="0">
                  <c:v>Not 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Native!$B$2:$D$2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Native!$B$4:$D$4</c:f>
              <c:numCache>
                <c:formatCode>General</c:formatCode>
                <c:ptCount val="3"/>
                <c:pt idx="0">
                  <c:v>212</c:v>
                </c:pt>
                <c:pt idx="1">
                  <c:v>874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3-E347-98FA-650C4753A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53209183"/>
        <c:axId val="1453131551"/>
      </c:barChart>
      <c:catAx>
        <c:axId val="14532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31551"/>
        <c:crosses val="autoZero"/>
        <c:auto val="1"/>
        <c:lblAlgn val="ctr"/>
        <c:lblOffset val="100"/>
        <c:noMultiLvlLbl val="0"/>
      </c:catAx>
      <c:valAx>
        <c:axId val="14531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Visitation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0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'Native BeeSpp'!$A$11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'Native BeeSpp'!$B$10:$C$10</c:f>
              <c:strCache>
                <c:ptCount val="2"/>
                <c:pt idx="0">
                  <c:v>Apis mellifera</c:v>
                </c:pt>
                <c:pt idx="1">
                  <c:v>all other bees</c:v>
                </c:pt>
              </c:strCache>
            </c:strRef>
          </c:cat>
          <c:val>
            <c:numRef>
              <c:f>'Native BeeSpp'!$B$11:$C$11</c:f>
              <c:numCache>
                <c:formatCode>General</c:formatCode>
                <c:ptCount val="2"/>
                <c:pt idx="0">
                  <c:v>48</c:v>
                </c:pt>
                <c:pt idx="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0-5C41-A5A7-7E8E33D297AE}"/>
            </c:ext>
          </c:extLst>
        </c:ser>
        <c:ser>
          <c:idx val="1"/>
          <c:order val="1"/>
          <c:tx>
            <c:strRef>
              <c:f>'Native BeeSpp'!$A$12</c:f>
              <c:strCache>
                <c:ptCount val="1"/>
                <c:pt idx="0">
                  <c:v>Not 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'Native BeeSpp'!$B$10:$C$10</c:f>
              <c:strCache>
                <c:ptCount val="2"/>
                <c:pt idx="0">
                  <c:v>Apis mellifera</c:v>
                </c:pt>
                <c:pt idx="1">
                  <c:v>all other bees</c:v>
                </c:pt>
              </c:strCache>
            </c:strRef>
          </c:cat>
          <c:val>
            <c:numRef>
              <c:f>'Native BeeSpp'!$B$12:$C$12</c:f>
              <c:numCache>
                <c:formatCode>General</c:formatCode>
                <c:ptCount val="2"/>
                <c:pt idx="0">
                  <c:v>373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0-5C41-A5A7-7E8E33D2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41755135"/>
        <c:axId val="1441756863"/>
      </c:barChart>
      <c:catAx>
        <c:axId val="14417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6863"/>
        <c:crosses val="autoZero"/>
        <c:auto val="1"/>
        <c:lblAlgn val="ctr"/>
        <c:lblOffset val="100"/>
        <c:noMultiLvlLbl val="0"/>
      </c:catAx>
      <c:valAx>
        <c:axId val="14417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Visitation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Color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Color!$B$1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Color!$B$2:$B$4</c:f>
              <c:numCache>
                <c:formatCode>General</c:formatCode>
                <c:ptCount val="3"/>
                <c:pt idx="0">
                  <c:v>2</c:v>
                </c:pt>
                <c:pt idx="1">
                  <c:v>107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8-42C3-B6F3-42D9CF5508E0}"/>
            </c:ext>
          </c:extLst>
        </c:ser>
        <c:ser>
          <c:idx val="1"/>
          <c:order val="1"/>
          <c:tx>
            <c:strRef>
              <c:f>Color!$C$1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Color!$C$2:$C$4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8-42C3-B6F3-42D9CF5508E0}"/>
            </c:ext>
          </c:extLst>
        </c:ser>
        <c:ser>
          <c:idx val="2"/>
          <c:order val="2"/>
          <c:tx>
            <c:strRef>
              <c:f>Color!$D$1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Color!$D$2:$D$4</c:f>
              <c:numCache>
                <c:formatCode>General</c:formatCode>
                <c:ptCount val="3"/>
                <c:pt idx="0">
                  <c:v>8</c:v>
                </c:pt>
                <c:pt idx="1">
                  <c:v>105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8-42C3-B6F3-42D9CF5508E0}"/>
            </c:ext>
          </c:extLst>
        </c:ser>
        <c:ser>
          <c:idx val="3"/>
          <c:order val="3"/>
          <c:tx>
            <c:strRef>
              <c:f>Color!$E$1</c:f>
              <c:strCache>
                <c:ptCount val="1"/>
                <c:pt idx="0">
                  <c:v>Pink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Color!$E$2:$E$4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D8-42C3-B6F3-42D9CF5508E0}"/>
            </c:ext>
          </c:extLst>
        </c:ser>
        <c:ser>
          <c:idx val="4"/>
          <c:order val="4"/>
          <c:tx>
            <c:strRef>
              <c:f>Color!$F$1</c:f>
              <c:strCache>
                <c:ptCount val="1"/>
                <c:pt idx="0">
                  <c:v>Purple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Color!$F$2:$F$4</c:f>
              <c:numCache>
                <c:formatCode>General</c:formatCode>
                <c:ptCount val="3"/>
                <c:pt idx="0">
                  <c:v>6</c:v>
                </c:pt>
                <c:pt idx="1">
                  <c:v>172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D8-42C3-B6F3-42D9CF5508E0}"/>
            </c:ext>
          </c:extLst>
        </c:ser>
        <c:ser>
          <c:idx val="5"/>
          <c:order val="5"/>
          <c:tx>
            <c:strRef>
              <c:f>Color!$G$1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Color!$G$2:$G$4</c:f>
              <c:numCache>
                <c:formatCode>General</c:formatCode>
                <c:ptCount val="3"/>
                <c:pt idx="0">
                  <c:v>4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D8-42C3-B6F3-42D9CF5508E0}"/>
            </c:ext>
          </c:extLst>
        </c:ser>
        <c:ser>
          <c:idx val="6"/>
          <c:order val="6"/>
          <c:tx>
            <c:strRef>
              <c:f>Color!$H$1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Color!$H$2:$H$4</c:f>
              <c:numCache>
                <c:formatCode>General</c:formatCode>
                <c:ptCount val="3"/>
                <c:pt idx="0">
                  <c:v>137</c:v>
                </c:pt>
                <c:pt idx="1">
                  <c:v>225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D8-42C3-B6F3-42D9CF5508E0}"/>
            </c:ext>
          </c:extLst>
        </c:ser>
        <c:ser>
          <c:idx val="7"/>
          <c:order val="7"/>
          <c:tx>
            <c:strRef>
              <c:f>Color!$I$1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Color!$A$2:$A$4</c:f>
              <c:strCache>
                <c:ptCount val="3"/>
                <c:pt idx="0">
                  <c:v>Diptera</c:v>
                </c:pt>
                <c:pt idx="1">
                  <c:v>Hymenoptera</c:v>
                </c:pt>
                <c:pt idx="2">
                  <c:v>Lepidoptera</c:v>
                </c:pt>
              </c:strCache>
            </c:strRef>
          </c:cat>
          <c:val>
            <c:numRef>
              <c:f>Color!$I$2:$I$4</c:f>
              <c:numCache>
                <c:formatCode>General</c:formatCode>
                <c:ptCount val="3"/>
                <c:pt idx="0">
                  <c:v>41</c:v>
                </c:pt>
                <c:pt idx="1">
                  <c:v>303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D8-42C3-B6F3-42D9CF550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859567"/>
        <c:axId val="739857167"/>
      </c:barChart>
      <c:catAx>
        <c:axId val="7398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57167"/>
        <c:crosses val="autoZero"/>
        <c:auto val="1"/>
        <c:lblAlgn val="ctr"/>
        <c:lblOffset val="100"/>
        <c:noMultiLvlLbl val="0"/>
      </c:catAx>
      <c:valAx>
        <c:axId val="7398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485588</xdr:colOff>
      <xdr:row>1</xdr:row>
      <xdr:rowOff>137458</xdr:rowOff>
    </xdr:from>
    <xdr:to>
      <xdr:col>14</xdr:col>
      <xdr:colOff>791882</xdr:colOff>
      <xdr:row>16</xdr:row>
      <xdr:rowOff>179293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4E8F6-7612-2BC6-C662-47398D0B9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486833</xdr:colOff>
      <xdr:row>0</xdr:row>
      <xdr:rowOff>50132</xdr:rowOff>
    </xdr:from>
    <xdr:to>
      <xdr:col>13</xdr:col>
      <xdr:colOff>80433</xdr:colOff>
      <xdr:row>13</xdr:row>
      <xdr:rowOff>151732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07FA4-CCF6-D098-1D98-9FACBFFD4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94717</xdr:colOff>
      <xdr:row>9</xdr:row>
      <xdr:rowOff>2969</xdr:rowOff>
    </xdr:from>
    <xdr:to>
      <xdr:col>13</xdr:col>
      <xdr:colOff>773182</xdr:colOff>
      <xdr:row>19</xdr:row>
      <xdr:rowOff>9317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AB0F46-52D2-94CD-5E8B-3B20176FB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650874</xdr:colOff>
      <xdr:row>2</xdr:row>
      <xdr:rowOff>9524</xdr:rowOff>
    </xdr:from>
    <xdr:to>
      <xdr:col>18</xdr:col>
      <xdr:colOff>346074</xdr:colOff>
      <xdr:row>15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9794D-B0E5-067B-7874-11B44B4F7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 Kuskie" refreshedDate="45936.827386805555" createdVersion="8" refreshedVersion="8" minRefreshableVersion="3" recordCount="1450" xr:uid="{1EB6B402-BF8D-4695-AC87-3C79158EB081}">
  <cacheSource type="worksheet">
    <worksheetSource ref="A1:AB1451" sheet="PollPlantData_noUNK"/>
  </cacheSource>
  <cacheFields count="28">
    <cacheField name="index" numFmtId="0">
      <sharedItems containsBlank="1" containsMixedTypes="1" containsNumber="1" containsInteger="1" minValue="1" maxValue="1788"/>
    </cacheField>
    <cacheField name="UniqueID" numFmtId="0">
      <sharedItems containsSemiMixedTypes="0" containsString="0" containsNumber="1" containsInteger="1" minValue="1" maxValue="2431"/>
    </cacheField>
    <cacheField name="DateCollected" numFmtId="14">
      <sharedItems containsSemiMixedTypes="0" containsNonDate="0" containsDate="1" containsString="0" minDate="2021-07-07T00:00:00" maxDate="2021-07-12T00:00:00"/>
    </cacheField>
    <cacheField name="Site" numFmtId="0">
      <sharedItems/>
    </cacheField>
    <cacheField name="Collector" numFmtId="0">
      <sharedItems/>
    </cacheField>
    <cacheField name="Method" numFmtId="0">
      <sharedItems/>
    </cacheField>
    <cacheField name="PollinatorOrder" numFmtId="0">
      <sharedItems count="3">
        <s v="Hymenoptera"/>
        <s v="Diptera"/>
        <s v="Lepidoptera"/>
      </sharedItems>
    </cacheField>
    <cacheField name="PollinatorGroupGeneral" numFmtId="0">
      <sharedItems/>
    </cacheField>
    <cacheField name="PollinatorFamily" numFmtId="0">
      <sharedItems count="22">
        <s v="Apidae"/>
        <s v="Halictidae"/>
        <s v="Syrphidae"/>
        <s v="Pieridae"/>
        <s v="Calliphoridae"/>
        <s v="Megachilidae"/>
        <s v="Hesperiidae"/>
        <s v="Colletdidae"/>
        <s v="Anthomyiidae"/>
        <s v="Crambidae"/>
        <s v="Muscidae"/>
        <s v="Sarcophagidae"/>
        <s v="Tachinidae"/>
        <s v="Drosophilidae"/>
        <s v="unknown"/>
        <s v="Bombyliidae"/>
        <s v="Rhagionidae"/>
        <s v="Lycaenidae"/>
        <s v="Geometridae"/>
        <s v="Tephritidae"/>
        <s v="Agridae"/>
        <s v="Nymphalidae"/>
      </sharedItems>
    </cacheField>
    <cacheField name="PollinatorTribe" numFmtId="0">
      <sharedItems containsBlank="1"/>
    </cacheField>
    <cacheField name="PollinatorGenus" numFmtId="0">
      <sharedItems/>
    </cacheField>
    <cacheField name="PollinatorSpecies" numFmtId="0">
      <sharedItems/>
    </cacheField>
    <cacheField name="PollGenusSpeciesUSE" numFmtId="0">
      <sharedItems count="100">
        <s v="Bombus vosnesenskii"/>
        <s v="Bombus californicus"/>
        <s v="Apis mellifera"/>
        <s v="Ceratina acantha"/>
        <s v="Halictus tripartitus"/>
        <s v="Allograpta obliqua"/>
        <s v="Bombus caliginosus"/>
        <s v="Pieris rapae"/>
        <s v="Lasioglossum sp_G"/>
        <s v="Ceratina nanula"/>
        <s v="Lucila sp_A"/>
        <s v="Syritta pipiens"/>
        <s v="Megachile sp_A"/>
        <s v="Diadasia rinconis"/>
        <s v="Xylocopa tabaniformis"/>
        <s v="Anthophora urbana"/>
        <s v="Anthophora sp_A"/>
        <s v="Hylephila phyleus"/>
        <s v="Hylaeus sp_B"/>
        <s v="Lasioglossum sp_D"/>
        <s v="Lasioglossum sp_C"/>
        <s v="Peponapis pruinosa"/>
        <s v="Lasioglossum sp_F"/>
        <s v="Hylaeus sp_A"/>
        <s v="anthomyid sp_A"/>
        <s v="Pyrausta volupialis"/>
        <s v="Lucila sp_B"/>
        <s v="muscid sp_B"/>
        <s v="sarcophagid sp_A"/>
        <s v="tachinid sp_B"/>
        <s v="drosophilid sp_B"/>
        <s v="Megachile perihirta"/>
        <s v="Halictus ligatus"/>
        <s v="Melissodes sp_C"/>
        <s v="Bombus occidentalis"/>
        <s v="diptera sp_B"/>
        <s v="Melissodes communis"/>
        <s v="drosophilid sp_A"/>
        <s v="Melissodes sp_A"/>
        <s v="Melissodes sp_B"/>
        <s v="Sphaerophoria sulphuripes"/>
        <s v="Heriades sp_A"/>
        <s v="Hylaeus sp_D"/>
        <s v="Hylaeus sp_C"/>
        <s v="Agapostemon texanus"/>
        <s v="Paragus haemorrhous"/>
        <s v="Xylocopa sonorina"/>
        <s v="Lasioglossum sp_B"/>
        <s v="Hemipenthes sp_A"/>
        <s v="rhagionid sp_A"/>
        <s v="Lasioglossum sp_A"/>
        <s v="Eupeodes fumipennis"/>
        <s v="Toxomerus marginatus"/>
        <s v="Pyrausta californicalis"/>
        <s v="Strymon melinus"/>
        <s v="Hylaeus damaged"/>
        <s v="Megachile angelarum"/>
        <s v="Bombus flavifrons"/>
        <s v="Megachile sp_B"/>
        <s v="Xeromelecta californica"/>
        <s v="Eupithecia miserulata"/>
        <s v="Eristalis arbustorum"/>
        <s v="tachinid sp_G"/>
        <s v="tachinid sp_H"/>
        <s v="Sphaerophoria contigua"/>
        <s v="calliphorid sp_D"/>
        <s v="tachinid sp_D"/>
        <s v="calliphorid sp_B"/>
        <s v="muscid sp_A"/>
        <s v="anthomyid sp_C"/>
        <s v="tachinid sp_A"/>
        <s v="Heriades sp_B"/>
        <s v="tephritid sp_A"/>
        <s v="calliphorid sp_A"/>
        <s v="agrid sp_A"/>
        <s v="Hoplitis sp_B"/>
        <s v="Brephidium exilis"/>
        <s v="muscid sp_C"/>
        <s v="Lasioglossum sp_E"/>
        <s v="Lasioglossum sp_K"/>
        <s v="Eristalis hirta"/>
        <s v="Lasioglossum sp_L"/>
        <s v="Allograpta exotica"/>
        <s v="Hylaeus sp_H"/>
        <s v="Anthidium maculosum"/>
        <s v="tachinid sp_C"/>
        <s v="anthomyid sp_B"/>
        <s v="Icaricia acmon"/>
        <s v="Villa sp_B"/>
        <s v="tachinid sp_E"/>
        <s v="Megachile centuncularis"/>
        <s v="Junonia grisea"/>
        <s v="Lepidanthrax sp_A"/>
        <s v="Burnsius albescens"/>
        <s v="Hylaeus sp_E"/>
        <s v="Megachile rotundata"/>
        <s v="Copestylum marginatum"/>
        <s v="Lasioglossum sp_H"/>
        <s v="Eristalis tenax"/>
        <s v="Platycheirus sp_A"/>
      </sharedItems>
    </cacheField>
    <cacheField name="PollinatorSex" numFmtId="0">
      <sharedItems containsBlank="1"/>
    </cacheField>
    <cacheField name="FlowerCollectedOn" numFmtId="0">
      <sharedItems/>
    </cacheField>
    <cacheField name="PlantType" numFmtId="0">
      <sharedItems/>
    </cacheField>
    <cacheField name="PlantFamily" numFmtId="0">
      <sharedItems/>
    </cacheField>
    <cacheField name="PlantGenus" numFmtId="0">
      <sharedItems/>
    </cacheField>
    <cacheField name="PlantSpecies" numFmtId="0">
      <sharedItems/>
    </cacheField>
    <cacheField name="PlantGenusSpeciesUSE" numFmtId="0">
      <sharedItems/>
    </cacheField>
    <cacheField name="Native" numFmtId="0">
      <sharedItems/>
    </cacheField>
    <cacheField name="FlowerColor" numFmtId="0">
      <sharedItems/>
    </cacheField>
    <cacheField name="SingleFlColor" numFmtId="0">
      <sharedItems count="10">
        <s v="Blue"/>
        <s v="None"/>
        <s v="Purple"/>
        <s v="U"/>
        <s v="Green"/>
        <s v="Orange"/>
        <s v="Red"/>
        <s v="Yellow"/>
        <s v="Pink"/>
        <s v="White"/>
      </sharedItems>
    </cacheField>
    <cacheField name="FlowerShape" numFmtId="0">
      <sharedItems count="6">
        <s v="Dish"/>
        <s v="Tube"/>
        <s v="Gullet"/>
        <s v="Other"/>
        <s v="Flag"/>
        <s v="U"/>
      </sharedItems>
    </cacheField>
    <cacheField name="AllPollBeeOnly" numFmtId="0">
      <sharedItems count="3">
        <s v="AllPoll"/>
        <s v="BeeOnly"/>
        <s v="officinalis"/>
      </sharedItems>
    </cacheField>
    <cacheField name="PollenNectar" numFmtId="0">
      <sharedItems/>
    </cacheField>
    <cacheField name="PinnedBy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0">
  <r>
    <n v="876"/>
    <n v="956"/>
    <d v="2021-07-11T00:00:00"/>
    <s v="Chadwick"/>
    <s v="Jenny Hsu"/>
    <s v="Netting"/>
    <x v="0"/>
    <s v="BumbleBee"/>
    <x v="0"/>
    <s v="Bombini"/>
    <s v="Bombus"/>
    <s v="vosnesenskii"/>
    <x v="0"/>
    <s v="male"/>
    <s v="chinese forget me not"/>
    <s v="ornamental"/>
    <s v="Boraginaceae"/>
    <s v="Cynoglossum"/>
    <s v="amabile"/>
    <s v="Cynoglossum amabile"/>
    <s v="Not Native"/>
    <s v="Blue"/>
    <x v="0"/>
    <x v="0"/>
    <x v="0"/>
    <s v="NA"/>
    <s v="Jenny Hsu"/>
    <m/>
  </r>
  <r>
    <n v="893"/>
    <n v="1021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s v="2 poll (1020+1021)"/>
  </r>
  <r>
    <n v="892"/>
    <n v="1020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s v="2 poll (1020+1021)"/>
  </r>
  <r>
    <n v="902"/>
    <n v="1030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900"/>
    <n v="1028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896"/>
    <n v="1024"/>
    <d v="2021-07-11T00:00:00"/>
    <s v="Chadwick"/>
    <s v="Sofie Andrad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873"/>
    <n v="953"/>
    <d v="2021-07-11T00:00:00"/>
    <s v="Chadwick"/>
    <s v="Jenny Hsu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864"/>
    <n v="944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847"/>
    <n v="85"/>
    <d v="2021-07-11T00:00:00"/>
    <s v="Chadwick"/>
    <s v="Jenny Hsu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1"/>
    <s v="NA"/>
    <s v="Jenny Hsu"/>
    <m/>
  </r>
  <r>
    <n v="889"/>
    <n v="1017"/>
    <d v="2021-07-11T00:00:00"/>
    <s v="Chadwick"/>
    <s v="Gabriella Pardee"/>
    <s v="Netting"/>
    <x v="0"/>
    <s v="BumbleBee"/>
    <x v="0"/>
    <s v="Bombini"/>
    <s v="Bombus"/>
    <s v="vosnesenskii"/>
    <x v="0"/>
    <s v="male"/>
    <s v="Long-leaved speedwell"/>
    <s v="weed"/>
    <s v="Plantaginaceae"/>
    <s v="Veronica"/>
    <s v="longifolia"/>
    <s v="Veronica longifolia"/>
    <s v="Not Native"/>
    <s v="BluePurple"/>
    <x v="1"/>
    <x v="0"/>
    <x v="0"/>
    <s v="NA"/>
    <s v="Jenny Hsu"/>
    <m/>
  </r>
  <r>
    <n v="1397"/>
    <n v="2144"/>
    <d v="2021-07-10T00:00:00"/>
    <s v="CoyoteCreek"/>
    <s v="Gabriella Pardee"/>
    <s v="Netting"/>
    <x v="0"/>
    <s v="BumbleBee"/>
    <x v="0"/>
    <s v="Bombini"/>
    <s v="Bombus"/>
    <s v="californicus"/>
    <x v="1"/>
    <s v="male"/>
    <s v="artichoke"/>
    <s v="crop"/>
    <s v="Asteraceae"/>
    <s v="Cynara"/>
    <s v="cardunculus"/>
    <s v="Cynara cardunculus"/>
    <s v="Not Native"/>
    <s v="BluePurple"/>
    <x v="2"/>
    <x v="1"/>
    <x v="1"/>
    <s v="NA"/>
    <s v="Jenny Hsu"/>
    <s v="Bee Unique ID changed from 2094 to 2144 due to duplication"/>
  </r>
  <r>
    <n v="1307"/>
    <n v="2004"/>
    <d v="2021-07-08T00:00:00"/>
    <s v="MIIS"/>
    <s v="Gabriella Pardee"/>
    <s v="Netting"/>
    <x v="0"/>
    <s v="HoneyBee"/>
    <x v="0"/>
    <s v="Apini"/>
    <s v="Apis"/>
    <s v="mellifera"/>
    <x v="2"/>
    <s v="female"/>
    <s v="artichoke"/>
    <s v="crop"/>
    <s v="Asteraceae"/>
    <s v="Cynara"/>
    <s v="cardunculus"/>
    <s v="Cynara cardunculus"/>
    <s v="Not Native"/>
    <s v="BluePurple"/>
    <x v="2"/>
    <x v="1"/>
    <x v="0"/>
    <s v="Pollen"/>
    <s v="Jenny Hsu"/>
    <m/>
  </r>
  <r>
    <n v="1293"/>
    <n v="1990"/>
    <d v="2021-07-08T00:00:00"/>
    <s v="MIIS"/>
    <s v="Stacy Philpott"/>
    <s v="Netting"/>
    <x v="0"/>
    <s v="HoneyBee"/>
    <x v="0"/>
    <s v="Apini"/>
    <s v="Apis"/>
    <s v="mellifera"/>
    <x v="2"/>
    <s v="female"/>
    <s v="artichoke"/>
    <s v="crop"/>
    <s v="Asteraceae"/>
    <s v="Cynara"/>
    <s v="cardunculus"/>
    <s v="Cynara cardunculus"/>
    <s v="Not Native"/>
    <s v="BluePurple"/>
    <x v="2"/>
    <x v="1"/>
    <x v="0"/>
    <s v="NA"/>
    <s v="Jenny Hsu"/>
    <m/>
  </r>
  <r>
    <n v="1284"/>
    <n v="1931"/>
    <d v="2021-07-08T00:00:00"/>
    <s v="MIIS"/>
    <s v="Gabriella Pardee"/>
    <s v="Netting"/>
    <x v="0"/>
    <s v="HoneyBee"/>
    <x v="0"/>
    <s v="Apini"/>
    <s v="Apis"/>
    <s v="mellifera"/>
    <x v="2"/>
    <s v="female"/>
    <s v="artichoke"/>
    <s v="crop"/>
    <s v="Asteraceae"/>
    <s v="Cynara"/>
    <s v="cardunculus"/>
    <s v="Cynara cardunculus"/>
    <s v="Not Native"/>
    <s v="BluePurple"/>
    <x v="2"/>
    <x v="1"/>
    <x v="1"/>
    <s v="Pollen"/>
    <s v="Jenny Hsu"/>
    <m/>
  </r>
  <r>
    <n v="1312"/>
    <n v="2009"/>
    <d v="2021-07-08T00:00:00"/>
    <s v="MIIS"/>
    <s v="Gabriella Pardee"/>
    <s v="Netting"/>
    <x v="0"/>
    <s v="BumbleBee"/>
    <x v="0"/>
    <s v="Bombini"/>
    <s v="Bombus"/>
    <s v="vosnesenskii"/>
    <x v="0"/>
    <s v="male"/>
    <s v="artichoke"/>
    <s v="crop"/>
    <s v="Asteraceae"/>
    <s v="Cynara"/>
    <s v="cardunculus"/>
    <s v="Cynara cardunculus"/>
    <s v="Not Native"/>
    <s v="BluePurple"/>
    <x v="2"/>
    <x v="1"/>
    <x v="0"/>
    <s v="Pollen"/>
    <s v="Jenny Hsu"/>
    <m/>
  </r>
  <r>
    <n v="1316"/>
    <n v="2013"/>
    <d v="2021-07-08T00:00:00"/>
    <s v="MIIS"/>
    <s v="Gabriella Pardee"/>
    <s v="Netting"/>
    <x v="0"/>
    <s v="OtherBee"/>
    <x v="0"/>
    <s v="Ceratinini"/>
    <s v="Ceratina"/>
    <s v="acantha"/>
    <x v="3"/>
    <s v="female"/>
    <s v="artichoke"/>
    <s v="crop"/>
    <s v="Asteraceae"/>
    <s v="Cynara"/>
    <s v="cardunculus"/>
    <s v="Cynara cardunculus"/>
    <s v="Not Native"/>
    <s v="BluePurple"/>
    <x v="2"/>
    <x v="1"/>
    <x v="0"/>
    <s v="Pollen"/>
    <s v="Jenny Hsu"/>
    <m/>
  </r>
  <r>
    <n v="1288"/>
    <n v="1935"/>
    <d v="2021-07-08T00:00:00"/>
    <s v="MIIS"/>
    <s v="Edith Gonzales"/>
    <s v="Netting"/>
    <x v="0"/>
    <s v="SweatBee"/>
    <x v="1"/>
    <s v="Halictini"/>
    <s v="Halictus"/>
    <s v="tripartitus"/>
    <x v="4"/>
    <s v="female"/>
    <s v="artichoke"/>
    <s v="crop"/>
    <s v="Asteraceae"/>
    <s v="Cynara"/>
    <s v="cardunculus"/>
    <s v="Cynara cardunculus"/>
    <s v="Not Native"/>
    <s v="BluePurple"/>
    <x v="2"/>
    <x v="1"/>
    <x v="1"/>
    <s v="NA"/>
    <s v="Jenny Hsu"/>
    <m/>
  </r>
  <r>
    <n v="771"/>
    <n v="668"/>
    <d v="2021-07-08T00:00:00"/>
    <s v="Natividad"/>
    <s v="Jenny Hsu"/>
    <s v="Netting"/>
    <x v="0"/>
    <s v="HoneyBee"/>
    <x v="0"/>
    <s v="Apini"/>
    <s v="Apis"/>
    <s v="mellifera"/>
    <x v="2"/>
    <s v="female"/>
    <s v="artichoke"/>
    <s v="crop"/>
    <s v="Asteraceae"/>
    <s v="Cynara"/>
    <s v="cardunculus"/>
    <s v="Cynara cardunculus"/>
    <s v="Not Native"/>
    <s v="BluePurple"/>
    <x v="2"/>
    <x v="1"/>
    <x v="0"/>
    <s v="NA"/>
    <s v="Jenny Hsu"/>
    <m/>
  </r>
  <r>
    <n v="765"/>
    <n v="1246"/>
    <d v="2021-07-08T00:00:00"/>
    <s v="Natividad"/>
    <s v="Gabriella Pardee"/>
    <s v="Netting"/>
    <x v="0"/>
    <s v="BumbleBee"/>
    <x v="0"/>
    <s v="Bombini"/>
    <s v="Bombus"/>
    <s v="vosnesenskii"/>
    <x v="0"/>
    <s v="male"/>
    <s v="artichoke"/>
    <s v="crop"/>
    <s v="Asteraceae"/>
    <s v="Cynara"/>
    <s v="cardunculus"/>
    <s v="Cynara cardunculus"/>
    <s v="Not Native"/>
    <s v="BluePurple"/>
    <x v="2"/>
    <x v="1"/>
    <x v="0"/>
    <s v="NA"/>
    <s v="Jenny Hsu"/>
    <m/>
  </r>
  <r>
    <n v="748"/>
    <n v="1229"/>
    <d v="2021-07-08T00:00:00"/>
    <s v="Natividad"/>
    <s v="Gabriella Pardee"/>
    <s v="Netting"/>
    <x v="0"/>
    <s v="BumbleBee"/>
    <x v="0"/>
    <s v="Bombini"/>
    <s v="Bombus"/>
    <s v="vosnesenskii"/>
    <x v="0"/>
    <s v="male"/>
    <s v="artichoke"/>
    <s v="crop"/>
    <s v="Asteraceae"/>
    <s v="Cynara"/>
    <s v="cardunculus"/>
    <s v="Cynara cardunculus"/>
    <s v="Not Native"/>
    <s v="BluePurple"/>
    <x v="2"/>
    <x v="1"/>
    <x v="0"/>
    <s v="NA"/>
    <s v="Jenny Hsu"/>
    <m/>
  </r>
  <r>
    <n v="744"/>
    <n v="1225"/>
    <d v="2021-07-08T00:00:00"/>
    <s v="Natividad"/>
    <s v="Gabriella Pardee"/>
    <s v="Netting"/>
    <x v="0"/>
    <s v="BumbleBee"/>
    <x v="0"/>
    <s v="Bombini"/>
    <s v="Bombus"/>
    <s v="vosnesenskii"/>
    <x v="0"/>
    <s v="female"/>
    <s v="artichoke"/>
    <s v="crop"/>
    <s v="Asteraceae"/>
    <s v="Cynara"/>
    <s v="cardunculus"/>
    <s v="Cynara cardunculus"/>
    <s v="Not Native"/>
    <s v="BluePurple"/>
    <x v="2"/>
    <x v="1"/>
    <x v="0"/>
    <s v="Pollen"/>
    <s v="Jenny Hsu"/>
    <m/>
  </r>
  <r>
    <n v="738"/>
    <n v="545"/>
    <d v="2021-07-08T00:00:00"/>
    <s v="Natividad"/>
    <s v="Stacy Philpott"/>
    <s v="Netting"/>
    <x v="0"/>
    <s v="BumbleBee"/>
    <x v="0"/>
    <s v="Bombini"/>
    <s v="Bombus"/>
    <s v="vosnesenskii"/>
    <x v="0"/>
    <s v="male"/>
    <s v="artichoke"/>
    <s v="crop"/>
    <s v="Asteraceae"/>
    <s v="Cynara"/>
    <s v="cardunculus"/>
    <s v="Cynara cardunculus"/>
    <s v="Not Native"/>
    <s v="BluePurple"/>
    <x v="2"/>
    <x v="1"/>
    <x v="0"/>
    <s v="NA"/>
    <s v="Jenny Hsu"/>
    <m/>
  </r>
  <r>
    <n v="727"/>
    <n v="1160"/>
    <d v="2021-07-08T00:00:00"/>
    <s v="Natividad"/>
    <s v="Jenny Hsu"/>
    <s v="Netting"/>
    <x v="0"/>
    <s v="BumbleBee"/>
    <x v="0"/>
    <s v="Bombini"/>
    <s v="Bombus"/>
    <s v="vosnesenskii"/>
    <x v="0"/>
    <s v="female"/>
    <s v="artichoke"/>
    <s v="crop"/>
    <s v="Asteraceae"/>
    <s v="Cynara"/>
    <s v="cardunculus"/>
    <s v="Cynara cardunculus"/>
    <s v="Not Native"/>
    <s v="BluePurple"/>
    <x v="2"/>
    <x v="1"/>
    <x v="1"/>
    <s v="NA"/>
    <s v="Jenny Hsu"/>
    <m/>
  </r>
  <r>
    <n v="372"/>
    <n v="468"/>
    <d v="2021-07-08T00:00:00"/>
    <s v="Salinas"/>
    <s v="Edith Gonzales"/>
    <s v="Netting"/>
    <x v="1"/>
    <s v="Hoverfly"/>
    <x v="2"/>
    <s v="Syrphini"/>
    <s v="Allograpta"/>
    <s v="obliqua"/>
    <x v="5"/>
    <m/>
    <s v="artichoke"/>
    <s v="crop"/>
    <s v="Asteraceae"/>
    <s v="Cynara"/>
    <s v="cardunculus"/>
    <s v="Cynara cardunculus"/>
    <s v="Not Native"/>
    <s v="BluePurple"/>
    <x v="2"/>
    <x v="1"/>
    <x v="0"/>
    <s v="NA"/>
    <s v="Robyn Fowler"/>
    <m/>
  </r>
  <r>
    <n v="1594"/>
    <n v="581"/>
    <d v="2021-07-11T00:00:00"/>
    <s v="Trescony"/>
    <s v="Robyn Fowler"/>
    <s v="Netting"/>
    <x v="0"/>
    <s v="HoneyBee"/>
    <x v="0"/>
    <s v="Apini"/>
    <s v="Apis"/>
    <s v="mellifera"/>
    <x v="2"/>
    <s v="female"/>
    <s v="artichoke"/>
    <s v="crop"/>
    <s v="Asteraceae"/>
    <s v="Cynara"/>
    <s v="cardunculus"/>
    <s v="Cynara cardunculus"/>
    <s v="Not Native"/>
    <s v="BluePurple"/>
    <x v="2"/>
    <x v="1"/>
    <x v="0"/>
    <s v="NA"/>
    <s v="Sofie Andrade"/>
    <m/>
  </r>
  <r>
    <n v="252"/>
    <n v="1378"/>
    <d v="2021-07-07T00:00:00"/>
    <s v="Apto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s v="2 pollinators 1 bag (1/2)"/>
  </r>
  <r>
    <n v="253"/>
    <n v="1379"/>
    <d v="2021-07-07T00:00:00"/>
    <s v="Apto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s v="2 pollinators 1 bag (2/2)"/>
  </r>
  <r>
    <n v="1741"/>
    <n v="828"/>
    <d v="2021-07-07T00:00:00"/>
    <s v="Apto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599"/>
    <n v="23"/>
    <d v="2021-07-07T00:00:00"/>
    <s v="Aptos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Genesis Perez"/>
    <m/>
  </r>
  <r>
    <n v="254"/>
    <n v="1380"/>
    <d v="2021-07-07T00:00:00"/>
    <s v="Aptos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251"/>
    <n v="1302"/>
    <d v="2021-07-07T00:00:00"/>
    <s v="Aptos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249"/>
    <n v="1300"/>
    <d v="2021-07-07T00:00:00"/>
    <s v="Aptos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1"/>
    <n v="1"/>
    <d v="2021-07-07T00:00:00"/>
    <s v="Aptos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Gabriella Pardee"/>
    <m/>
  </r>
  <r>
    <n v="18"/>
    <n v="21"/>
    <d v="2021-07-07T00:00:00"/>
    <s v="Aptos"/>
    <s v="Jenny Hsu"/>
    <s v="Netting"/>
    <x v="0"/>
    <s v="BumbleBee"/>
    <x v="0"/>
    <s v="Bombini"/>
    <s v="Bombus"/>
    <s v="caliginosus"/>
    <x v="6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Azucena Lucatero"/>
    <m/>
  </r>
  <r>
    <n v="898"/>
    <n v="1026"/>
    <d v="2021-07-11T00:00:00"/>
    <s v="Chadwick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894"/>
    <n v="1022"/>
    <d v="2021-07-11T00:00:00"/>
    <s v="Chadwick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661"/>
    <n v="432"/>
    <d v="2021-07-11T00:00:00"/>
    <s v="Grange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573"/>
    <n v="318"/>
    <d v="2021-07-11T00:00:00"/>
    <s v="Grange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Sofie Andrade"/>
    <m/>
  </r>
  <r>
    <n v="169"/>
    <n v="1255"/>
    <d v="2021-07-11T00:00:00"/>
    <s v="Grange"/>
    <s v="Sofie Andrad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1660"/>
    <n v="431"/>
    <d v="2021-07-11T00:00:00"/>
    <s v="Grange"/>
    <s v="Jenny Hsu"/>
    <s v="Netting"/>
    <x v="0"/>
    <s v="BumbleBee"/>
    <x v="0"/>
    <s v="Bombini"/>
    <s v="Bombus"/>
    <s v="vosnesenskii"/>
    <x v="0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589"/>
    <n v="457"/>
    <d v="2021-07-11T00:00:00"/>
    <s v="Grange"/>
    <s v="Sofie Andrade"/>
    <s v="Netting"/>
    <x v="2"/>
    <s v="Butterfly"/>
    <x v="3"/>
    <s v="Pierini"/>
    <s v="Pieris"/>
    <s v="rapae"/>
    <x v="7"/>
    <s v="M"/>
    <s v="borage"/>
    <s v="ornamental"/>
    <s v="Boraginaceae"/>
    <s v="Borago"/>
    <s v="officinalis"/>
    <s v="Borago officinalis"/>
    <s v="Not Native"/>
    <s v="BluePurpleWhite"/>
    <x v="0"/>
    <x v="0"/>
    <x v="0"/>
    <s v="NA"/>
    <s v="Sofie Andrade"/>
    <m/>
  </r>
  <r>
    <n v="613"/>
    <n v="1384"/>
    <d v="2021-07-09T00:00:00"/>
    <s v="Guadalupe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93"/>
    <n v="100"/>
    <d v="2021-07-09T00:00:00"/>
    <s v="Guadalup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Edith Gonzales"/>
    <m/>
  </r>
  <r>
    <n v="92"/>
    <n v="99"/>
    <d v="2021-07-09T00:00:00"/>
    <s v="Guadalupe"/>
    <s v="Gabriella Pardee"/>
    <s v="Netting"/>
    <x v="0"/>
    <s v="SweatBee"/>
    <x v="1"/>
    <s v="Halictini"/>
    <s v="Lasioglossum"/>
    <s v="sp_G"/>
    <x v="8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Edith Gonzales"/>
    <m/>
  </r>
  <r>
    <n v="780"/>
    <n v="1309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999"/>
    <n v="1355"/>
    <d v="2021-07-08T00:00:00"/>
    <s v="MEarth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995"/>
    <n v="1351"/>
    <d v="2021-07-08T00:00:00"/>
    <s v="MEarth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976"/>
    <n v="1284"/>
    <d v="2021-07-08T00:00:00"/>
    <s v="MEarth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1006"/>
    <n v="1362"/>
    <d v="2021-07-08T00:00:00"/>
    <s v="MEarth"/>
    <s v="Edith Gonzales"/>
    <s v="Netting"/>
    <x v="0"/>
    <s v="BumbleBee"/>
    <x v="0"/>
    <s v="Bombini"/>
    <s v="Bombus"/>
    <s v="caliginosus"/>
    <x v="6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320"/>
    <n v="2017"/>
    <d v="2021-07-08T00:00:00"/>
    <s v="MII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313"/>
    <n v="2010"/>
    <d v="2021-07-08T00:00:00"/>
    <s v="MII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308"/>
    <n v="2005"/>
    <d v="2021-07-08T00:00:00"/>
    <s v="MIIS"/>
    <s v="Edith Gonzales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280"/>
    <n v="1927"/>
    <d v="2021-07-08T00:00:00"/>
    <s v="MIIS"/>
    <s v="Stacy Philpott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718"/>
    <n v="1151"/>
    <d v="2021-07-08T00:00:00"/>
    <s v="PacificGrov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Pollen"/>
    <s v="Jenny Hsu"/>
    <m/>
  </r>
  <r>
    <n v="713"/>
    <n v="1146"/>
    <d v="2021-07-08T00:00:00"/>
    <s v="PacificGrove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712"/>
    <n v="1145"/>
    <d v="2021-07-08T00:00:00"/>
    <s v="PacificGrove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706"/>
    <n v="1139"/>
    <d v="2021-07-08T00:00:00"/>
    <s v="PacificGrov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ectar"/>
    <s v="Jenny Hsu"/>
    <m/>
  </r>
  <r>
    <n v="700"/>
    <n v="417"/>
    <d v="2021-07-08T00:00:00"/>
    <s v="PacificGrov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ectar"/>
    <s v="Jenny Hsu"/>
    <m/>
  </r>
  <r>
    <n v="697"/>
    <n v="1082"/>
    <d v="2021-07-08T00:00:00"/>
    <s v="PacificGrove"/>
    <s v="Edith Gonzales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688"/>
    <n v="1073"/>
    <d v="2021-07-08T00:00:00"/>
    <s v="PacificGrove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679"/>
    <n v="1064"/>
    <d v="2021-07-08T00:00:00"/>
    <s v="PacificGrov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Pollen"/>
    <s v="Jenny Hsu"/>
    <m/>
  </r>
  <r>
    <n v="675"/>
    <n v="1060"/>
    <d v="2021-07-08T00:00:00"/>
    <s v="PacificGrove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Pollen"/>
    <s v="Jenny Hsu"/>
    <m/>
  </r>
  <r>
    <n v="668"/>
    <n v="295"/>
    <d v="2021-07-08T00:00:00"/>
    <s v="PacificGrove"/>
    <s v="Stacy Philpott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664"/>
    <n v="291"/>
    <d v="2021-07-08T00:00:00"/>
    <s v="PacificGrove"/>
    <s v="Edith Gonzales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662"/>
    <n v="289"/>
    <d v="2021-07-08T00:00:00"/>
    <s v="PacificGrove"/>
    <s v="Stacy Philpott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693"/>
    <n v="1078"/>
    <d v="2021-07-08T00:00:00"/>
    <s v="PacificGrove"/>
    <s v="Stacy Philpott"/>
    <s v="Netting"/>
    <x v="0"/>
    <s v="BumbleBee"/>
    <x v="0"/>
    <s v="Bombini"/>
    <s v="Bombus"/>
    <s v="vosnesenskii"/>
    <x v="0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302"/>
    <n v="118"/>
    <d v="2021-07-08T00:00:00"/>
    <s v="Salina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301"/>
    <n v="117"/>
    <d v="2021-07-08T00:00:00"/>
    <s v="Salinas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300"/>
    <n v="914"/>
    <d v="2021-07-08T00:00:00"/>
    <s v="Salinas"/>
    <s v="Edith Gonzales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298"/>
    <n v="912"/>
    <d v="2021-07-08T00:00:00"/>
    <s v="Salinas"/>
    <s v="Stacy Philpott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296"/>
    <n v="910"/>
    <d v="2021-07-08T00:00:00"/>
    <s v="Salinas"/>
    <s v="Gabriella Pardee"/>
    <s v="Netting"/>
    <x v="0"/>
    <s v="BumbleBee"/>
    <x v="0"/>
    <s v="Bombini"/>
    <s v="Bombus"/>
    <s v="vosnesenskii"/>
    <x v="0"/>
    <s v="female"/>
    <s v="borage"/>
    <s v="ornamental"/>
    <s v="Boraginaceae"/>
    <s v="Borago"/>
    <s v="officinalis"/>
    <s v="Borago officinalis"/>
    <s v="Not Native"/>
    <s v="BluePurpleWhite"/>
    <x v="0"/>
    <x v="0"/>
    <x v="1"/>
    <s v="Pollen"/>
    <s v="Robyn Fowler"/>
    <m/>
  </r>
  <r>
    <n v="1725"/>
    <n v="812"/>
    <d v="2021-07-07T00:00:00"/>
    <s v="SeniorCenter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s v="bee"/>
  </r>
  <r>
    <n v="1723"/>
    <n v="810"/>
    <d v="2021-07-07T00:00:00"/>
    <s v="SeniorCenter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s v="bee"/>
  </r>
  <r>
    <n v="1719"/>
    <n v="806"/>
    <d v="2021-07-07T00:00:00"/>
    <s v="SeniorCenter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s v="bee"/>
  </r>
  <r>
    <n v="586"/>
    <n v="685"/>
    <d v="2021-07-07T00:00:00"/>
    <s v="SeniorCenter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585"/>
    <n v="684"/>
    <d v="2021-07-07T00:00:00"/>
    <s v="SeniorCenter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584"/>
    <n v="683"/>
    <d v="2021-07-07T00:00:00"/>
    <s v="SeniorCenter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581"/>
    <n v="680"/>
    <d v="2021-07-07T00:00:00"/>
    <s v="SeniorCenter"/>
    <s v="Azucena Luctaero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577"/>
    <n v="676"/>
    <d v="2021-07-07T00:00:00"/>
    <s v="SeniorCenter"/>
    <s v="Sofie Andrad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Jenny Hsu"/>
    <m/>
  </r>
  <r>
    <n v="235"/>
    <n v="1210"/>
    <d v="2021-07-07T00:00:00"/>
    <s v="SeniorCenter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1734"/>
    <n v="821"/>
    <d v="2021-07-07T00:00:00"/>
    <s v="SeniorCenter"/>
    <s v="Gabriella Pardee"/>
    <s v="Netting"/>
    <x v="0"/>
    <s v="BumbleBee"/>
    <x v="0"/>
    <s v="Bombini"/>
    <s v="Bombus"/>
    <s v="caliginosus"/>
    <x v="6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239"/>
    <n v="1214"/>
    <d v="2021-07-07T00:00:00"/>
    <s v="SeniorCenter"/>
    <s v="Gabriella Pardee"/>
    <s v="Netting"/>
    <x v="0"/>
    <s v="BumbleBee"/>
    <x v="0"/>
    <s v="Bombini"/>
    <s v="Bombus"/>
    <s v="caliginosus"/>
    <x v="6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184"/>
    <n v="1340"/>
    <d v="2021-07-11T00:00:00"/>
    <s v="Trescony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s v="has corbicula pollen vial"/>
  </r>
  <r>
    <n v="1684"/>
    <n v="563"/>
    <d v="2021-07-11T00:00:00"/>
    <s v="Trescony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682"/>
    <n v="455"/>
    <d v="2021-07-11T00:00:00"/>
    <s v="Trescony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680"/>
    <n v="453"/>
    <d v="2021-07-11T00:00:00"/>
    <s v="Trescony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668"/>
    <n v="441"/>
    <d v="2021-07-11T00:00:00"/>
    <s v="Trescony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anine Tan"/>
    <m/>
  </r>
  <r>
    <n v="1591"/>
    <n v="578"/>
    <d v="2021-07-11T00:00:00"/>
    <s v="Trescony"/>
    <s v="Robyn Fowler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Sofie Andrade"/>
    <m/>
  </r>
  <r>
    <n v="555"/>
    <n v="186"/>
    <d v="2021-07-11T00:00:00"/>
    <s v="Trescony"/>
    <s v="Sofie Andrad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545"/>
    <n v="176"/>
    <d v="2021-07-11T00:00:00"/>
    <s v="Trescony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203"/>
    <n v="1429"/>
    <d v="2021-07-11T00:00:00"/>
    <s v="Trescony"/>
    <s v="Gabriella Parde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Robyn Fowler"/>
    <m/>
  </r>
  <r>
    <n v="189"/>
    <n v="1345"/>
    <d v="2021-07-11T00:00:00"/>
    <s v="Trescony"/>
    <s v="Sofie Andrade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187"/>
    <n v="1343"/>
    <d v="2021-07-11T00:00:00"/>
    <s v="Trescony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1"/>
    <s v="NA"/>
    <s v="Robyn Fowler"/>
    <m/>
  </r>
  <r>
    <n v="949"/>
    <n v="1125"/>
    <d v="2021-07-07T00:00:00"/>
    <s v="WVIMiJardinVerde"/>
    <s v="Jenny Hsu"/>
    <s v="Netting"/>
    <x v="0"/>
    <s v="HoneyBee"/>
    <x v="0"/>
    <s v="Apini"/>
    <s v="Apis"/>
    <s v="mellifera"/>
    <x v="2"/>
    <s v="female"/>
    <s v="borage"/>
    <s v="ornamental"/>
    <s v="Boraginaceae"/>
    <s v="Borago"/>
    <s v="officinalis"/>
    <s v="Borago officinalis"/>
    <s v="Not Native"/>
    <s v="BluePurpleWhite"/>
    <x v="0"/>
    <x v="0"/>
    <x v="0"/>
    <s v="NA"/>
    <s v="Jenny Hsu"/>
    <m/>
  </r>
  <r>
    <n v="1380"/>
    <n v="2077"/>
    <d v="2021-07-09T00:00:00"/>
    <s v="Berryessa"/>
    <s v="Gabriella Pardee"/>
    <s v="Netting"/>
    <x v="0"/>
    <s v="OtherBee"/>
    <x v="0"/>
    <s v="Ceratinini"/>
    <s v="Ceratina"/>
    <s v="nanula"/>
    <x v="9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s v="2 poll (2176+2177)"/>
  </r>
  <r>
    <n v="1383"/>
    <n v="2080"/>
    <d v="2021-07-09T00:00:00"/>
    <s v="Berryessa"/>
    <s v="Gabriella Pardee"/>
    <s v="Netting"/>
    <x v="0"/>
    <s v="SweatBee"/>
    <x v="1"/>
    <s v="Halictini"/>
    <s v="Halictus"/>
    <s v="tripartitus"/>
    <x v="4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s v="2 poll (2179+2180)"/>
  </r>
  <r>
    <n v="1382"/>
    <n v="2079"/>
    <d v="2021-07-09T00:00:00"/>
    <s v="Berryessa"/>
    <s v="Gabriella Pardee"/>
    <s v="Netting"/>
    <x v="0"/>
    <s v="SweatBee"/>
    <x v="1"/>
    <s v="Halictini"/>
    <s v="Halictus"/>
    <s v="tripartitus"/>
    <x v="4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s v="2 poll (2179+2180)"/>
  </r>
  <r>
    <n v="1426"/>
    <n v="2173"/>
    <d v="2021-07-10T00:00:00"/>
    <s v="CoyoteCreek"/>
    <s v="Gabriella Pardee"/>
    <s v="Netting"/>
    <x v="1"/>
    <s v="OtherFly"/>
    <x v="4"/>
    <s v="Lucilini"/>
    <s v="Lucila"/>
    <s v="sp_A"/>
    <x v="10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1781"/>
    <n v="1499"/>
    <d v="2021-07-10T00:00:00"/>
    <s v="CoyoteCreek"/>
    <s v="Gabriella Pardee"/>
    <s v="Netting"/>
    <x v="1"/>
    <s v="Hoverfly"/>
    <x v="2"/>
    <s v="Milesini"/>
    <s v="Syritta"/>
    <s v="pipiens"/>
    <x v="11"/>
    <m/>
    <s v="cornflower"/>
    <s v="ornamental"/>
    <s v="Asteraceae"/>
    <s v="Centaurea"/>
    <s v="cyanus"/>
    <s v="Centaurea cyanus"/>
    <s v="Not Native"/>
    <s v="BluePurpleWhite"/>
    <x v="0"/>
    <x v="0"/>
    <x v="0"/>
    <s v="Nectar"/>
    <s v="Janine Tan"/>
    <s v="2 pollinators; 1 bag 1499-1500"/>
  </r>
  <r>
    <n v="1423"/>
    <n v="2170"/>
    <d v="2021-07-10T00:00:00"/>
    <s v="CoyoteCreek"/>
    <s v="Gabriella Pardee"/>
    <s v="Netting"/>
    <x v="0"/>
    <s v="OtherBee"/>
    <x v="5"/>
    <s v="Megachilini"/>
    <s v="Megachile"/>
    <s v="sp_A"/>
    <x v="12"/>
    <s v="female"/>
    <s v="cornflower"/>
    <s v="ornamental"/>
    <s v="Asteraceae"/>
    <s v="Centaurea"/>
    <s v="cyanus"/>
    <s v="Centaurea cyanus"/>
    <s v="Not Native"/>
    <s v="BluePurpleWhite"/>
    <x v="0"/>
    <x v="0"/>
    <x v="0"/>
    <s v="Pollen"/>
    <s v="Jenny Hsu"/>
    <m/>
  </r>
  <r>
    <n v="1437"/>
    <n v="2234"/>
    <d v="2021-07-10T00:00:00"/>
    <s v="CoyoteCreek"/>
    <s v="Jenny Hsu"/>
    <s v="Netting"/>
    <x v="0"/>
    <s v="HoneyBee"/>
    <x v="0"/>
    <s v="Apini"/>
    <s v="Apis"/>
    <s v="mellifera"/>
    <x v="2"/>
    <s v="female"/>
    <s v="cornflower, pink"/>
    <s v="ornamental"/>
    <s v="Asteraceae"/>
    <s v="Centaurea"/>
    <s v="sp."/>
    <s v="Centaurea cyanus"/>
    <s v="Not Native"/>
    <s v="BluePurpleWhite"/>
    <x v="0"/>
    <x v="0"/>
    <x v="0"/>
    <s v="NA"/>
    <s v="Jenny Hsu"/>
    <m/>
  </r>
  <r>
    <n v="1398"/>
    <n v="2145"/>
    <d v="2021-07-10T00:00:00"/>
    <s v="CoyoteCreek"/>
    <s v="Jenny Hsu"/>
    <s v="Netting"/>
    <x v="0"/>
    <s v="HoneyBee"/>
    <x v="0"/>
    <s v="Apini"/>
    <s v="Apis"/>
    <s v="mellifera"/>
    <x v="2"/>
    <s v="female"/>
    <s v="cornflower, pink"/>
    <s v="ornamental"/>
    <s v="Asteraceae"/>
    <s v="Centaurea"/>
    <s v="sp."/>
    <s v="Centaurea cyanus"/>
    <s v="Not Native"/>
    <s v="BluePurpleWhite"/>
    <x v="0"/>
    <x v="0"/>
    <x v="1"/>
    <s v="NA"/>
    <s v="Jenny Hsu"/>
    <m/>
  </r>
  <r>
    <n v="1463"/>
    <n v="2260"/>
    <d v="2021-07-11T00:00:00"/>
    <s v="FarmGardenUCSC"/>
    <s v="Gabriella Pardee"/>
    <s v="Netting"/>
    <x v="0"/>
    <s v="HoneyBee"/>
    <x v="0"/>
    <s v="Apini"/>
    <s v="Apis"/>
    <s v="mellifera"/>
    <x v="2"/>
    <s v="female"/>
    <s v="cornflower, pink"/>
    <s v="ornamental"/>
    <s v="Asteraceae"/>
    <s v="Centaurea"/>
    <s v="sp."/>
    <s v="Centaurea cyanus"/>
    <s v="Not Native"/>
    <s v="BluePurpleWhite"/>
    <x v="0"/>
    <x v="0"/>
    <x v="0"/>
    <s v="Pollen"/>
    <s v="Jenny Hsu"/>
    <m/>
  </r>
  <r>
    <n v="1492"/>
    <n v="2339"/>
    <d v="2021-07-11T00:00:00"/>
    <s v="FarmGardenUCSC"/>
    <s v="Gabriella Pardee"/>
    <s v="Netting"/>
    <x v="0"/>
    <s v="OtherBee"/>
    <x v="0"/>
    <s v="Emphorini"/>
    <s v="Diadasia"/>
    <s v="rinconis"/>
    <x v="13"/>
    <s v="male"/>
    <s v="cornflower, pink"/>
    <s v="ornamental"/>
    <s v="Asteraceae"/>
    <s v="Centaurea"/>
    <s v="sp."/>
    <s v="Centaurea cyanus"/>
    <s v="Not Native"/>
    <s v="BluePurpleWhite"/>
    <x v="0"/>
    <x v="0"/>
    <x v="0"/>
    <s v="Pollen"/>
    <s v="Jenny Hsu"/>
    <m/>
  </r>
  <r>
    <n v="1488"/>
    <n v="2335"/>
    <d v="2021-07-11T00:00:00"/>
    <s v="FarmGardenUCSC"/>
    <s v="Gabriella Pardee"/>
    <s v="Netting"/>
    <x v="0"/>
    <s v="OtherBee"/>
    <x v="0"/>
    <s v="Emphorini"/>
    <s v="Diadasia"/>
    <s v="rinconis"/>
    <x v="13"/>
    <s v="male"/>
    <s v="cornflower, pink"/>
    <s v="ornamental"/>
    <s v="Asteraceae"/>
    <s v="Centaurea"/>
    <s v="sp."/>
    <s v="Centaurea cyanus"/>
    <s v="Not Native"/>
    <s v="BluePurpleWhite"/>
    <x v="0"/>
    <x v="0"/>
    <x v="0"/>
    <s v="NA"/>
    <s v="Jenny Hsu"/>
    <m/>
  </r>
  <r>
    <n v="831"/>
    <n v="1408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807"/>
    <n v="794"/>
    <d v="2021-07-10T00:00:00"/>
    <s v="HomelessGardenProject"/>
    <s v="Stacy Philpott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803"/>
    <n v="1332"/>
    <d v="2021-07-10T00:00:00"/>
    <s v="HomelessGardenProject"/>
    <s v="Jenny Hsu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801"/>
    <n v="1330"/>
    <d v="2021-07-10T00:00:00"/>
    <s v="HomelessGardenProject"/>
    <s v="Stacy Philpott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1260"/>
    <n v="1907"/>
    <d v="2021-07-10T00:00:00"/>
    <s v="LaColina"/>
    <s v="Jenny Hsu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1251"/>
    <n v="1848"/>
    <d v="2021-07-10T00:00:00"/>
    <s v="LaColina"/>
    <s v="Jenny Hsu"/>
    <s v="Netting"/>
    <x v="0"/>
    <s v="SweatBee"/>
    <x v="1"/>
    <s v="Halictini"/>
    <s v="Lasioglossum"/>
    <s v="sp_G"/>
    <x v="8"/>
    <s v="female"/>
    <s v="cornflower, pink"/>
    <s v="ornamental"/>
    <s v="Asteraceae"/>
    <s v="Centaurea"/>
    <s v="sp."/>
    <s v="Centaurea cyanus"/>
    <s v="Not Native"/>
    <s v="BluePurpleWhite"/>
    <x v="0"/>
    <x v="0"/>
    <x v="0"/>
    <s v="NA"/>
    <s v="Jenny Hsu"/>
    <m/>
  </r>
  <r>
    <n v="715"/>
    <n v="1148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Pollen"/>
    <s v="Jenny Hsu"/>
    <m/>
  </r>
  <r>
    <n v="695"/>
    <n v="1080"/>
    <d v="2021-07-08T00:00:00"/>
    <s v="PacificGrove"/>
    <s v="Stacy Philpott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687"/>
    <n v="1072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Pollen"/>
    <s v="Jenny Hsu"/>
    <m/>
  </r>
  <r>
    <n v="684"/>
    <n v="1069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Pollen"/>
    <s v="Jenny Hsu"/>
    <m/>
  </r>
  <r>
    <n v="677"/>
    <n v="1062"/>
    <d v="2021-07-08T00:00:00"/>
    <s v="PacificGrove"/>
    <s v="Edith Gonzales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669"/>
    <n v="1054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1"/>
    <s v="Pollen"/>
    <s v="Jenny Hsu"/>
    <m/>
  </r>
  <r>
    <n v="663"/>
    <n v="290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1"/>
    <s v="Pollen"/>
    <s v="Jenny Hsu"/>
    <m/>
  </r>
  <r>
    <n v="661"/>
    <n v="998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1"/>
    <s v="NA"/>
    <s v="Jenny Hsu"/>
    <m/>
  </r>
  <r>
    <n v="660"/>
    <n v="997"/>
    <d v="2021-07-08T00:00:00"/>
    <s v="PacificGrove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1"/>
    <s v="Pollen"/>
    <s v="Jenny Hsu"/>
    <m/>
  </r>
  <r>
    <n v="689"/>
    <n v="1074"/>
    <d v="2021-07-08T00:00:00"/>
    <s v="PacificGrove"/>
    <s v="Stacy Philpott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702"/>
    <n v="419"/>
    <d v="2021-07-08T00:00:00"/>
    <s v="PacificGrove"/>
    <s v="Gabriella Pardee"/>
    <s v="Netting"/>
    <x v="0"/>
    <s v="BumbleBee"/>
    <x v="0"/>
    <s v="Bombini"/>
    <s v="Bombus"/>
    <s v="vosnesenskii"/>
    <x v="0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enny Hsu"/>
    <m/>
  </r>
  <r>
    <n v="666"/>
    <n v="293"/>
    <d v="2021-07-08T00:00:00"/>
    <s v="PacificGrove"/>
    <s v="Gabriella Pardee"/>
    <s v="Netting"/>
    <x v="0"/>
    <s v="SweatBee"/>
    <x v="1"/>
    <s v="Halictini"/>
    <s v="Halictus"/>
    <s v="tripartitus"/>
    <x v="4"/>
    <s v="female"/>
    <s v="cornflower"/>
    <s v="ornamental"/>
    <s v="Asteraceae"/>
    <s v="Centaurea"/>
    <s v="cyanus"/>
    <s v="Centaurea cyanus"/>
    <s v="Not Native"/>
    <s v="BluePurpleWhite"/>
    <x v="0"/>
    <x v="0"/>
    <x v="1"/>
    <s v="Pollen"/>
    <s v="Jenny Hsu"/>
    <m/>
  </r>
  <r>
    <n v="665"/>
    <n v="292"/>
    <d v="2021-07-08T00:00:00"/>
    <s v="PacificGrove"/>
    <s v="Jenny Hsu"/>
    <s v="Netting"/>
    <x v="0"/>
    <s v="HoneyBee"/>
    <x v="0"/>
    <s v="Apini"/>
    <s v="Apis"/>
    <s v="mellifera"/>
    <x v="2"/>
    <s v="female"/>
    <s v="cornflower, pink"/>
    <s v="ornamental"/>
    <s v="Asteraceae"/>
    <s v="Centaurea"/>
    <s v="sp."/>
    <s v="Centaurea cyanus"/>
    <s v="Not Native"/>
    <s v="BluePurpleWhite"/>
    <x v="0"/>
    <x v="0"/>
    <x v="1"/>
    <s v="NA"/>
    <s v="Jenny Hsu"/>
    <m/>
  </r>
  <r>
    <n v="1713"/>
    <n v="800"/>
    <d v="2021-07-07T00:00:00"/>
    <s v="SeniorCenter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Janine Tan"/>
    <m/>
  </r>
  <r>
    <n v="227"/>
    <n v="1127"/>
    <d v="2021-07-07T00:00:00"/>
    <s v="SeniorCenter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Robyn Fowler"/>
    <m/>
  </r>
  <r>
    <n v="204"/>
    <n v="1430"/>
    <d v="2021-07-11T00:00:00"/>
    <s v="Trescony"/>
    <s v="Gabriella Pardee"/>
    <s v="Netting"/>
    <x v="0"/>
    <s v="HoneyBee"/>
    <x v="0"/>
    <s v="Apini"/>
    <s v="Apis"/>
    <s v="mellifera"/>
    <x v="2"/>
    <s v="female"/>
    <s v="cornflower"/>
    <s v="ornamental"/>
    <s v="Asteraceae"/>
    <s v="Centaurea"/>
    <s v="cyanus"/>
    <s v="Centaurea cyanus"/>
    <s v="Not Native"/>
    <s v="BluePurpleWhite"/>
    <x v="0"/>
    <x v="0"/>
    <x v="0"/>
    <s v="NA"/>
    <s v="Robyn Fowler"/>
    <m/>
  </r>
  <r>
    <n v="255"/>
    <n v="1381"/>
    <d v="2021-07-07T00:00:00"/>
    <s v="Aptos"/>
    <s v="Gabriella Pardee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Robyn Fowler"/>
    <m/>
  </r>
  <r>
    <n v="1753"/>
    <n v="91"/>
    <d v="2021-07-07T00:00:00"/>
    <s v="Aptos"/>
    <s v="Sofie Andrade"/>
    <s v="Netting"/>
    <x v="0"/>
    <s v="BumbleBee"/>
    <x v="0"/>
    <s v="Bombini"/>
    <s v="Bombus"/>
    <s v="vosnesenskii"/>
    <x v="0"/>
    <s v="male"/>
    <s v="garden sage"/>
    <s v="crop"/>
    <s v="Lamiaceae"/>
    <s v="Salvia"/>
    <s v="officinalis"/>
    <s v="Salvia officinalis"/>
    <s v="Not Native"/>
    <s v="BluePurpleWhite"/>
    <x v="2"/>
    <x v="2"/>
    <x v="0"/>
    <s v="NA"/>
    <s v="Janine Tan"/>
    <m/>
  </r>
  <r>
    <n v="2"/>
    <n v="2"/>
    <d v="2021-07-07T00:00:00"/>
    <s v="Aptos"/>
    <s v="Jenny Hsu"/>
    <s v="Netting"/>
    <x v="0"/>
    <s v="SweatBee"/>
    <x v="1"/>
    <s v="Halictini"/>
    <s v="Halictus"/>
    <s v="tripartitus"/>
    <x v="4"/>
    <s v="female"/>
    <s v="sage"/>
    <s v="crop"/>
    <s v="Lamiaceae"/>
    <s v="Salvia"/>
    <s v="officinalis"/>
    <s v="Salvia officinalis"/>
    <s v="Not Native"/>
    <s v="BluePurpleWhite"/>
    <x v="2"/>
    <x v="2"/>
    <x v="1"/>
    <s v="NA"/>
    <s v="Gabriella Pardee"/>
    <m/>
  </r>
  <r>
    <n v="895"/>
    <n v="1023"/>
    <d v="2021-07-11T00:00:00"/>
    <s v="Chadwick"/>
    <s v="Sofie Andrade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906"/>
    <n v="1034"/>
    <d v="2021-07-11T00:00:00"/>
    <s v="Chadwick"/>
    <s v="Robyn Fowler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905"/>
    <n v="1033"/>
    <d v="2021-07-11T00:00:00"/>
    <s v="Chadwick"/>
    <s v="Sofie Andrade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91"/>
    <n v="1019"/>
    <d v="2021-07-11T00:00:00"/>
    <s v="Chadwick"/>
    <s v="Robyn Fowler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79"/>
    <n v="207"/>
    <d v="2021-07-11T00:00:00"/>
    <s v="Chadwick"/>
    <s v="Gabriella Pardee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69"/>
    <n v="949"/>
    <d v="2021-07-11T00:00:00"/>
    <s v="Chadwick"/>
    <s v="Jenny Hsu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63"/>
    <n v="943"/>
    <d v="2021-07-11T00:00:00"/>
    <s v="Chadwick"/>
    <s v="Gabriella Pardee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54"/>
    <n v="934"/>
    <d v="2021-07-11T00:00:00"/>
    <s v="Chadwick"/>
    <s v="Sofie Andrade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1"/>
    <s v="NA"/>
    <s v="Jenny Hsu"/>
    <m/>
  </r>
  <r>
    <n v="871"/>
    <n v="951"/>
    <d v="2021-07-11T00:00:00"/>
    <s v="Chadwick"/>
    <s v="Jenny Hsu"/>
    <s v="Netting"/>
    <x v="0"/>
    <s v="CarpenterBee"/>
    <x v="0"/>
    <s v="Xylocopini"/>
    <s v="Xylocopa"/>
    <s v="tabaniformis"/>
    <x v="14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40"/>
    <n v="1086"/>
    <d v="2021-07-09T00:00:00"/>
    <s v="CharlesStreet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Robyn Fowler"/>
    <m/>
  </r>
  <r>
    <n v="501"/>
    <n v="790"/>
    <d v="2021-07-09T00:00:00"/>
    <s v="CharlesStreet"/>
    <s v="Jenny Hsu"/>
    <s v="Netting"/>
    <x v="0"/>
    <s v="CarpenterBee"/>
    <x v="0"/>
    <s v="Xylocopini"/>
    <s v="Xylocopa"/>
    <s v="tabaniformis"/>
    <x v="14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462"/>
    <n v="2259"/>
    <d v="2021-07-11T00:00:00"/>
    <s v="FarmGardenUCSC"/>
    <s v="Jenny Hsu"/>
    <s v="Netting"/>
    <x v="0"/>
    <s v="BumbleBee"/>
    <x v="0"/>
    <s v="Bombini"/>
    <s v="Bombus"/>
    <s v="californicus"/>
    <x v="1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507"/>
    <n v="2404"/>
    <d v="2021-07-11T00:00:00"/>
    <s v="FarmGardenUCSC"/>
    <s v="Sofie Andrade"/>
    <s v="Netting"/>
    <x v="0"/>
    <s v="BumbleBee"/>
    <x v="0"/>
    <s v="Bombini"/>
    <s v="Bombus"/>
    <s v="vosnesenskii"/>
    <x v="0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662"/>
    <n v="433"/>
    <d v="2021-07-11T00:00:00"/>
    <s v="Grange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anine Tan"/>
    <m/>
  </r>
  <r>
    <n v="521"/>
    <n v="61"/>
    <d v="2021-07-11T00:00:00"/>
    <s v="Grange"/>
    <s v="Gabriella Pardee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Pollen"/>
    <s v="Jenny Hsu"/>
    <m/>
  </r>
  <r>
    <n v="621"/>
    <n v="218"/>
    <d v="2021-07-09T00:00:00"/>
    <s v="Guadalupe"/>
    <s v="Jenny Hsu"/>
    <s v="Netting"/>
    <x v="0"/>
    <s v="OtherBee"/>
    <x v="0"/>
    <s v="Anthophorini"/>
    <s v="Anthophora"/>
    <s v="urbana"/>
    <x v="15"/>
    <s v="female"/>
    <s v="sage"/>
    <s v="crop"/>
    <s v="Lamiaceae"/>
    <s v="Salvia"/>
    <s v="officinalis"/>
    <s v="Salvia officinalis"/>
    <s v="Not Native"/>
    <s v="BluePurpleWhite"/>
    <x v="2"/>
    <x v="2"/>
    <x v="1"/>
    <s v="NA"/>
    <s v="Jenny Hsu"/>
    <m/>
  </r>
  <r>
    <n v="292"/>
    <n v="906"/>
    <d v="2021-07-09T00:00:00"/>
    <s v="Guadalupe"/>
    <s v="Jenny Hsu"/>
    <s v="Netting"/>
    <x v="2"/>
    <s v="Butterfly"/>
    <x v="3"/>
    <s v="Pierini"/>
    <s v="Pieris"/>
    <s v="rapae"/>
    <x v="7"/>
    <s v="M"/>
    <s v="sage"/>
    <s v="crop"/>
    <s v="Lamiaceae"/>
    <s v="Salvia"/>
    <s v="officinalis"/>
    <s v="Salvia officinalis"/>
    <s v="Not Native"/>
    <s v="BluePurpleWhite"/>
    <x v="2"/>
    <x v="2"/>
    <x v="0"/>
    <s v="NA"/>
    <s v="Robyn Fowler"/>
    <m/>
  </r>
  <r>
    <n v="837"/>
    <n v="1414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22"/>
    <n v="1399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819"/>
    <n v="1396"/>
    <d v="2021-07-10T00:00:00"/>
    <s v="HomelessGardenProject"/>
    <s v="Azucena Luctaero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074"/>
    <n v="377"/>
    <d v="2021-07-10T00:00:00"/>
    <s v="LagunaSeca"/>
    <s v="Azucena Luctaero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988"/>
    <n v="712"/>
    <d v="2021-07-08T00:00:00"/>
    <s v="MEarth"/>
    <s v="Gabriella Pardee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027"/>
    <n v="841"/>
    <d v="2021-07-08T00:00:00"/>
    <s v="MEarth"/>
    <s v="Jenny Hsu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002"/>
    <n v="1358"/>
    <d v="2021-07-08T00:00:00"/>
    <s v="MEarth"/>
    <s v="Jenny Hsu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425"/>
    <n v="1478"/>
    <d v="2021-07-07T00:00:00"/>
    <s v="Pajaro"/>
    <s v="Jenny Hsu"/>
    <s v="Netting"/>
    <x v="0"/>
    <s v="OtherBee"/>
    <x v="0"/>
    <s v="Anthophorini"/>
    <s v="Anthophora"/>
    <s v="sp_A"/>
    <x v="16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Robyn Fowler"/>
    <m/>
  </r>
  <r>
    <n v="1127"/>
    <n v="1574"/>
    <d v="2021-07-07T00:00:00"/>
    <s v="Pajaro"/>
    <s v="Gabriella Pardee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419"/>
    <n v="1472"/>
    <d v="2021-07-07T00:00:00"/>
    <s v="Pajaro"/>
    <s v="Jenny Hsu"/>
    <s v="Netting"/>
    <x v="0"/>
    <s v="BumbleBee"/>
    <x v="0"/>
    <s v="Bombini"/>
    <s v="Bombus"/>
    <s v="vosnesenskii"/>
    <x v="0"/>
    <s v="male"/>
    <s v="sage"/>
    <s v="crop"/>
    <s v="Lamiaceae"/>
    <s v="Salvia"/>
    <s v="officinalis"/>
    <s v="Salvia officinalis"/>
    <s v="Not Native"/>
    <s v="BluePurpleWhite"/>
    <x v="2"/>
    <x v="2"/>
    <x v="0"/>
    <s v="NA"/>
    <s v="Robyn Fowler"/>
    <m/>
  </r>
  <r>
    <n v="299"/>
    <n v="913"/>
    <d v="2021-07-08T00:00:00"/>
    <s v="Salinas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1"/>
    <s v="NA"/>
    <s v="Robyn Fowler"/>
    <m/>
  </r>
  <r>
    <n v="297"/>
    <n v="911"/>
    <d v="2021-07-08T00:00:00"/>
    <s v="Salinas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1"/>
    <s v="NA"/>
    <s v="Robyn Fowler"/>
    <m/>
  </r>
  <r>
    <n v="542"/>
    <n v="173"/>
    <d v="2021-07-11T00:00:00"/>
    <s v="Trescony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s v="corbicula pollen"/>
  </r>
  <r>
    <n v="552"/>
    <n v="183"/>
    <d v="2021-07-11T00:00:00"/>
    <s v="Trescony"/>
    <s v="Jenny Hsu"/>
    <s v="Netting"/>
    <x v="0"/>
    <s v="HoneyBee"/>
    <x v="0"/>
    <s v="Apini"/>
    <s v="Apis"/>
    <s v="mellifera"/>
    <x v="2"/>
    <s v="female"/>
    <s v="sage"/>
    <s v="crop"/>
    <s v="Lamiaceae"/>
    <s v="Salvia"/>
    <s v="officinalis"/>
    <s v="Salvia officinalis"/>
    <s v="Not Native"/>
    <s v="BluePurpleWhite"/>
    <x v="2"/>
    <x v="2"/>
    <x v="0"/>
    <s v="NA"/>
    <s v="Jenny Hsu"/>
    <m/>
  </r>
  <r>
    <n v="1033"/>
    <n v="1437"/>
    <d v="2021-07-10T00:00:00"/>
    <s v="LagunaSeca"/>
    <s v="Stacy Philpott"/>
    <s v="Netting"/>
    <x v="0"/>
    <s v="CarpenterBee"/>
    <x v="0"/>
    <s v="Xylocopini"/>
    <s v="Xylocopa"/>
    <s v="tabaniformis"/>
    <x v="14"/>
    <s v="female"/>
    <s v="salvia"/>
    <s v="ornamental"/>
    <s v="Lamiaceae"/>
    <s v="Salvia"/>
    <s v="sp."/>
    <s v="Salvia sp."/>
    <s v="U"/>
    <s v="BluePurpleWhite"/>
    <x v="3"/>
    <x v="2"/>
    <x v="1"/>
    <s v="NA"/>
    <s v="Jenny Hsu"/>
    <m/>
  </r>
  <r>
    <n v="890"/>
    <n v="1018"/>
    <d v="2021-07-11T00:00:00"/>
    <s v="Chadwick"/>
    <s v="Robyn Fowler"/>
    <s v="Netting"/>
    <x v="0"/>
    <s v="HoneyBee"/>
    <x v="0"/>
    <s v="Apini"/>
    <s v="Apis"/>
    <s v="mellifera"/>
    <x v="2"/>
    <s v="female"/>
    <s v="forget-me-not"/>
    <s v="ornamental"/>
    <s v="Boraginaceae"/>
    <s v="Myosotis"/>
    <s v="sp."/>
    <s v="Myosotis sp. A"/>
    <s v="U"/>
    <s v="BlueWhiteYellow"/>
    <x v="0"/>
    <x v="1"/>
    <x v="0"/>
    <s v="NA"/>
    <s v="Jenny Hsu"/>
    <m/>
  </r>
  <r>
    <n v="888"/>
    <n v="1016"/>
    <d v="2021-07-11T00:00:00"/>
    <s v="Chadwick"/>
    <s v="Sofie Andrade"/>
    <s v="Netting"/>
    <x v="0"/>
    <s v="HoneyBee"/>
    <x v="0"/>
    <s v="Apini"/>
    <s v="Apis"/>
    <s v="mellifera"/>
    <x v="2"/>
    <s v="female"/>
    <s v="forget-me-not"/>
    <s v="ornamental"/>
    <s v="Boraginaceae"/>
    <s v="Myosotis"/>
    <s v="sp."/>
    <s v="Myosotis sp. A"/>
    <s v="U"/>
    <s v="BlueWhiteYellow"/>
    <x v="0"/>
    <x v="1"/>
    <x v="0"/>
    <s v="NA"/>
    <s v="Jenny Hsu"/>
    <m/>
  </r>
  <r>
    <n v="880"/>
    <n v="208"/>
    <d v="2021-07-11T00:00:00"/>
    <s v="Chadwick"/>
    <s v="Robyn Fowler"/>
    <s v="Netting"/>
    <x v="0"/>
    <s v="HoneyBee"/>
    <x v="0"/>
    <s v="Apini"/>
    <s v="Apis"/>
    <s v="mellifera"/>
    <x v="2"/>
    <s v="female"/>
    <s v="forget-me-not"/>
    <s v="ornamental"/>
    <s v="Boraginaceae"/>
    <s v="Myosotis"/>
    <s v="sp."/>
    <s v="Myosotis sp. A"/>
    <s v="U"/>
    <s v="BlueWhiteYellow"/>
    <x v="0"/>
    <x v="1"/>
    <x v="0"/>
    <s v="NA"/>
    <s v="Jenny Hsu"/>
    <m/>
  </r>
  <r>
    <n v="860"/>
    <n v="940"/>
    <d v="2021-07-11T00:00:00"/>
    <s v="Chadwick"/>
    <s v="Gabriella Pardee"/>
    <s v="Netting"/>
    <x v="0"/>
    <s v="BumbleBee"/>
    <x v="0"/>
    <s v="Bombini"/>
    <s v="Bombus"/>
    <s v="vosnesenskii"/>
    <x v="0"/>
    <s v="male"/>
    <s v="forget-me-not"/>
    <s v="ornamental"/>
    <s v="Boraginaceae"/>
    <s v="Myosotis"/>
    <s v="sp."/>
    <s v="Myosotis sp. A"/>
    <s v="U"/>
    <s v="BlueWhiteYellow"/>
    <x v="0"/>
    <x v="1"/>
    <x v="0"/>
    <s v="NA"/>
    <s v="Jenny Hsu"/>
    <m/>
  </r>
  <r>
    <n v="846"/>
    <n v="84"/>
    <d v="2021-07-11T00:00:00"/>
    <s v="Chadwick"/>
    <s v="Gabriella Pardee"/>
    <s v="Netting"/>
    <x v="0"/>
    <s v="BumbleBee"/>
    <x v="0"/>
    <s v="Bombini"/>
    <s v="Bombus"/>
    <s v="vosnesenskii"/>
    <x v="0"/>
    <s v="male"/>
    <s v="forget-me-not"/>
    <s v="ornamental"/>
    <s v="Boraginaceae"/>
    <s v="Myosotis"/>
    <s v="sp."/>
    <s v="Myosotis sp. A"/>
    <s v="U"/>
    <s v="BlueWhiteYellow"/>
    <x v="0"/>
    <x v="1"/>
    <x v="1"/>
    <s v="NA"/>
    <s v="Jenny Hsu"/>
    <m/>
  </r>
  <r>
    <n v="404"/>
    <n v="500"/>
    <d v="2021-07-07T00:00:00"/>
    <s v="ValleVerde"/>
    <s v="Jenny Hsu"/>
    <s v="Netting"/>
    <x v="2"/>
    <s v="Butterfly"/>
    <x v="6"/>
    <s v="Hesperiini"/>
    <s v="Hylephila"/>
    <s v="phyleus"/>
    <x v="17"/>
    <s v="M"/>
    <s v="plantago"/>
    <s v="weed"/>
    <s v="Plantaginaceae"/>
    <s v="Plantago"/>
    <s v="lanceota"/>
    <s v="Plantago lanceota"/>
    <s v="Not Native"/>
    <s v="BrownGreen"/>
    <x v="3"/>
    <x v="3"/>
    <x v="0"/>
    <s v="NA"/>
    <s v="Robyn Fowler"/>
    <m/>
  </r>
  <r>
    <n v="1042"/>
    <n v="1446"/>
    <d v="2021-07-10T00:00:00"/>
    <s v="LagunaSeca"/>
    <s v="Gabriella Pardee"/>
    <s v="Netting"/>
    <x v="0"/>
    <s v="OtherBee"/>
    <x v="7"/>
    <s v="Colletini"/>
    <s v="Hylaeus"/>
    <s v="sp_B"/>
    <x v="18"/>
    <s v="female"/>
    <s v="milkweed, narrowleaf"/>
    <s v="ornamental"/>
    <s v="Apocynaceae"/>
    <s v="Asclepias"/>
    <s v="fascicularis"/>
    <s v="Asclepias fascicularis"/>
    <s v="Native"/>
    <s v="Green-White"/>
    <x v="3"/>
    <x v="3"/>
    <x v="0"/>
    <s v="NA"/>
    <s v="Jenny Hsu"/>
    <m/>
  </r>
  <r>
    <n v="1037"/>
    <n v="1441"/>
    <d v="2021-07-10T00:00:00"/>
    <s v="LagunaSeca"/>
    <s v="Gabriella Pardee"/>
    <s v="Netting"/>
    <x v="0"/>
    <s v="OtherBee"/>
    <x v="7"/>
    <s v="Colletini"/>
    <s v="Hylaeus"/>
    <s v="sp_B"/>
    <x v="18"/>
    <s v="female"/>
    <s v="milkweed, narrowleaf"/>
    <s v="ornamental"/>
    <s v="Apocynaceae"/>
    <s v="Asclepias"/>
    <s v="fascicularis"/>
    <s v="Asclepias fascicularis"/>
    <s v="Native"/>
    <s v="Green-White"/>
    <x v="3"/>
    <x v="3"/>
    <x v="1"/>
    <s v="NA"/>
    <s v="Jenny Hsu"/>
    <m/>
  </r>
  <r>
    <n v="973"/>
    <n v="1281"/>
    <d v="2021-07-08T00:00:00"/>
    <s v="MEarth"/>
    <s v="Gabriella Pardee"/>
    <s v="Netting"/>
    <x v="0"/>
    <s v="HoneyBee"/>
    <x v="0"/>
    <s v="Apini"/>
    <s v="Apis"/>
    <s v="mellifera"/>
    <x v="2"/>
    <s v="female"/>
    <s v="asparagus"/>
    <s v="crop"/>
    <s v="Asparagaceae"/>
    <s v="Asparagus"/>
    <s v="officinalis"/>
    <s v="Asparagus officinalis"/>
    <s v="Not Native"/>
    <s v="Green-White"/>
    <x v="4"/>
    <x v="1"/>
    <x v="1"/>
    <s v="Pollen"/>
    <s v="Jenny Hsu"/>
    <m/>
  </r>
  <r>
    <n v="996"/>
    <n v="1352"/>
    <d v="2021-07-08T00:00:00"/>
    <s v="MEarth"/>
    <s v="Gabriella Pardee"/>
    <s v="Netting"/>
    <x v="0"/>
    <s v="BumbleBee"/>
    <x v="0"/>
    <s v="Bombini"/>
    <s v="Bombus"/>
    <s v="vosnesenskii"/>
    <x v="0"/>
    <s v="female"/>
    <s v="asparagus"/>
    <s v="crop"/>
    <s v="Asparagaceae"/>
    <s v="Asparagus"/>
    <s v="officinalis"/>
    <s v="Asparagus officinalis"/>
    <s v="Not Native"/>
    <s v="Green-White"/>
    <x v="4"/>
    <x v="1"/>
    <x v="0"/>
    <s v="NA"/>
    <s v="Jenny Hsu"/>
    <m/>
  </r>
  <r>
    <n v="1759"/>
    <n v="97"/>
    <d v="2021-07-07T00:00:00"/>
    <s v="Aptos"/>
    <s v="Jenny Hsu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anine Tan"/>
    <m/>
  </r>
  <r>
    <n v="602"/>
    <n v="701"/>
    <d v="2021-07-07T00:00:00"/>
    <s v="Aptos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259"/>
    <n v="1465"/>
    <d v="2021-07-07T00:00:00"/>
    <s v="Aptos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Robyn Fowler"/>
    <m/>
  </r>
  <r>
    <n v="503"/>
    <n v="792"/>
    <d v="2021-07-09T00:00:00"/>
    <s v="CharlesStreet"/>
    <s v="Robyn Fowler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561"/>
    <n v="306"/>
    <d v="2021-07-09T00:00:00"/>
    <s v="CharlesStreet"/>
    <s v="Jenny Hsu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Sofie Andrade"/>
    <m/>
  </r>
  <r>
    <n v="1555"/>
    <n v="299"/>
    <d v="2021-07-09T00:00:00"/>
    <s v="CharlesStreet"/>
    <s v="Jenny Hsu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Sofie Andrade"/>
    <m/>
  </r>
  <r>
    <n v="513"/>
    <n v="53"/>
    <d v="2021-07-09T00:00:00"/>
    <s v="CharlesStreet"/>
    <s v="Jenny Hsu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33"/>
    <n v="1009"/>
    <d v="2021-07-09T00:00:00"/>
    <s v="CharlesStreet"/>
    <s v="Robyn Fowler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Robyn Fowler"/>
    <m/>
  </r>
  <r>
    <n v="512"/>
    <n v="52"/>
    <d v="2021-07-09T00:00:00"/>
    <s v="CharlesStreet"/>
    <s v="Robyn Fowler"/>
    <s v="Netting"/>
    <x v="0"/>
    <s v="OtherBee"/>
    <x v="0"/>
    <s v="Ceratinini"/>
    <s v="Ceratina"/>
    <s v="acantha"/>
    <x v="3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576"/>
    <n v="321"/>
    <d v="2021-07-09T00:00:00"/>
    <s v="CharlesStreet"/>
    <s v="Gabriella Pardee"/>
    <s v="Netting"/>
    <x v="0"/>
    <s v="SweatBee"/>
    <x v="1"/>
    <s v="Halictini"/>
    <s v="Lasioglossum"/>
    <s v="sp_G"/>
    <x v="8"/>
    <m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Sofie Andrade"/>
    <m/>
  </r>
  <r>
    <n v="147"/>
    <n v="1093"/>
    <d v="2021-07-09T00:00:00"/>
    <s v="CharlesStreet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Robyn Fowler"/>
    <m/>
  </r>
  <r>
    <n v="1775"/>
    <n v="1493"/>
    <d v="2021-07-10T00:00:00"/>
    <s v="CoyoteCreek"/>
    <s v="Gabriella Pardee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anine Tan"/>
    <m/>
  </r>
  <r>
    <n v="1404"/>
    <n v="2151"/>
    <d v="2021-07-10T00:00:00"/>
    <s v="CoyoteCreek"/>
    <s v="Jenny Hsu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Jenny Hsu"/>
    <m/>
  </r>
  <r>
    <n v="1580"/>
    <n v="323"/>
    <d v="2021-07-11T00:00:00"/>
    <s v="Grange"/>
    <s v="Gabriella Pardee"/>
    <s v="Netting"/>
    <x v="0"/>
    <s v="SweatBee"/>
    <x v="1"/>
    <s v="Halictini"/>
    <s v="Lasioglossum"/>
    <s v="sp_D"/>
    <x v="19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Sofie Andrade"/>
    <m/>
  </r>
  <r>
    <n v="274"/>
    <n v="888"/>
    <d v="2021-07-09T00:00:00"/>
    <s v="Guadalupe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Robyn Fowler"/>
    <m/>
  </r>
  <r>
    <n v="1219"/>
    <n v="1816"/>
    <d v="2021-07-10T00:00:00"/>
    <s v="LaColina"/>
    <s v="Jenny Hsu"/>
    <s v="Netting"/>
    <x v="0"/>
    <s v="BumbleBee"/>
    <x v="0"/>
    <s v="Bombini"/>
    <s v="Bombus"/>
    <s v="caliginosus"/>
    <x v="6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Jenny Hsu"/>
    <m/>
  </r>
  <r>
    <n v="1249"/>
    <n v="1846"/>
    <d v="2021-07-10T00:00:00"/>
    <s v="LaColina"/>
    <s v="Gabriella Pardee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1240"/>
    <n v="1837"/>
    <d v="2021-07-10T00:00:00"/>
    <s v="LaColina"/>
    <s v="Stacy Philpott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26"/>
    <n v="1823"/>
    <d v="2021-07-10T00:00:00"/>
    <s v="LaColina"/>
    <s v="Jenny Hsu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23"/>
    <n v="1820"/>
    <d v="2021-07-10T00:00:00"/>
    <s v="LaColina"/>
    <s v="Stacy Philpott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18"/>
    <n v="1815"/>
    <d v="2021-07-10T00:00:00"/>
    <s v="LaColina"/>
    <s v="Stacy Philpott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Jenny Hsu"/>
    <m/>
  </r>
  <r>
    <n v="1060"/>
    <n v="125"/>
    <d v="2021-07-10T00:00:00"/>
    <s v="LagunaSeca"/>
    <s v="Gabriella Pardee"/>
    <s v="Netting"/>
    <x v="0"/>
    <s v="OtherBee"/>
    <x v="0"/>
    <s v="Ceratinini"/>
    <s v="Ceratina"/>
    <s v="nanula"/>
    <x v="9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058"/>
    <n v="123"/>
    <d v="2021-07-10T00:00:00"/>
    <s v="LagunaSeca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051"/>
    <n v="1455"/>
    <d v="2021-07-10T00:00:00"/>
    <s v="LagunaSeca"/>
    <s v="Azucena Luctaero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040"/>
    <n v="1444"/>
    <d v="2021-07-10T00:00:00"/>
    <s v="LagunaSeca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Jenny Hsu"/>
    <m/>
  </r>
  <r>
    <n v="1301"/>
    <n v="1998"/>
    <d v="2021-07-08T00:00:00"/>
    <s v="MIIS"/>
    <s v="Gabriella Parde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1321"/>
    <n v="2018"/>
    <d v="2021-07-08T00:00:00"/>
    <s v="MIIS"/>
    <s v="Gabriella Pardee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324"/>
    <n v="2021"/>
    <d v="2021-07-08T00:00:00"/>
    <s v="MIIS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1300"/>
    <n v="1997"/>
    <d v="2021-07-08T00:00:00"/>
    <s v="MIIS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1283"/>
    <n v="1930"/>
    <d v="2021-07-08T00:00:00"/>
    <s v="MIIS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Pollen"/>
    <s v="Jenny Hsu"/>
    <m/>
  </r>
  <r>
    <n v="1306"/>
    <n v="2003"/>
    <d v="2021-07-08T00:00:00"/>
    <s v="MIIS"/>
    <s v="Edith Gonzales"/>
    <s v="Netting"/>
    <x v="0"/>
    <s v="SweatBee"/>
    <x v="1"/>
    <s v="Halictini"/>
    <s v="Lasioglossum"/>
    <s v="sp_C"/>
    <x v="2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314"/>
    <n v="2011"/>
    <d v="2021-07-08T00:00:00"/>
    <s v="MIIS"/>
    <s v="Gabriella Pardee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98"/>
    <n v="1995"/>
    <d v="2021-07-08T00:00:00"/>
    <s v="MIIS"/>
    <s v="Stacy Philpott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79"/>
    <n v="1926"/>
    <d v="2021-07-08T00:00:00"/>
    <s v="MIIS"/>
    <s v="Stacy Philpott"/>
    <s v="Netting"/>
    <x v="0"/>
    <s v="SweatBee"/>
    <x v="1"/>
    <s v="Halictini"/>
    <s v="Lasioglossum"/>
    <s v="sp_G"/>
    <x v="8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Jenny Hsu"/>
    <m/>
  </r>
  <r>
    <n v="719"/>
    <n v="1152"/>
    <d v="2021-07-08T00:00:00"/>
    <s v="PacificGrove"/>
    <s v="Gabriella Parde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717"/>
    <n v="1150"/>
    <d v="2021-07-08T00:00:00"/>
    <s v="PacificGrove"/>
    <s v="Gabriella Parde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Pollen"/>
    <s v="Jenny Hsu"/>
    <m/>
  </r>
  <r>
    <n v="699"/>
    <n v="416"/>
    <d v="2021-07-08T00:00:00"/>
    <s v="PacificGrove"/>
    <s v="Edith Gonzales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696"/>
    <n v="1081"/>
    <d v="2021-07-08T00:00:00"/>
    <s v="PacificGrove"/>
    <s v="Edith Gonzales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187"/>
    <n v="1734"/>
    <d v="2021-07-09T00:00:00"/>
    <s v="Prusch"/>
    <s v="Jenny Hsu"/>
    <s v="Netting"/>
    <x v="0"/>
    <s v="BumbleBee"/>
    <x v="0"/>
    <s v="Bombini"/>
    <s v="Bombus"/>
    <s v="caliginosus"/>
    <x v="6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11"/>
    <n v="1758"/>
    <d v="2021-07-09T00:00:00"/>
    <s v="Prusch"/>
    <s v="Robyn Fowler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210"/>
    <n v="1757"/>
    <d v="2021-07-09T00:00:00"/>
    <s v="Prusch"/>
    <s v="Robyn Fowler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306"/>
    <n v="122"/>
    <d v="2021-07-08T00:00:00"/>
    <s v="Salinas"/>
    <s v="Gabriella Pardee"/>
    <s v="Netting"/>
    <x v="0"/>
    <s v="BumbleBee"/>
    <x v="0"/>
    <s v="Bombini"/>
    <s v="Bombus"/>
    <s v="vosnesenskii"/>
    <x v="0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Robyn Fowler"/>
    <m/>
  </r>
  <r>
    <n v="565"/>
    <n v="196"/>
    <d v="2021-07-11T00:00:00"/>
    <s v="Trescony"/>
    <s v="Gabriella Pardee"/>
    <s v="Netting"/>
    <x v="0"/>
    <s v="OtherBee"/>
    <x v="0"/>
    <s v="Ceratinini"/>
    <s v="Ceratina"/>
    <s v="acantha"/>
    <x v="3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1690"/>
    <n v="569"/>
    <d v="2021-07-11T00:00:00"/>
    <s v="Trescony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anine Tan"/>
    <m/>
  </r>
  <r>
    <n v="937"/>
    <n v="1113"/>
    <d v="2021-07-07T00:00:00"/>
    <s v="WVIMiJardinVerde"/>
    <s v="Gabriella Parde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s v="2 poll (1113+1114)"/>
  </r>
  <r>
    <n v="946"/>
    <n v="1122"/>
    <d v="2021-07-07T00:00:00"/>
    <s v="WVIMiJardinVerde"/>
    <s v="Sofie Andrad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912"/>
    <n v="1040"/>
    <d v="2021-07-07T00:00:00"/>
    <s v="WVIMiJardinVerde"/>
    <s v="Azucena Luctaero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909"/>
    <n v="1037"/>
    <d v="2021-07-07T00:00:00"/>
    <s v="WVIMiJardinVerde"/>
    <s v="Jenny Hsu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m/>
  </r>
  <r>
    <n v="415"/>
    <n v="1184"/>
    <d v="2021-07-07T00:00:00"/>
    <s v="WVIMiJardinVerde"/>
    <s v="Gabriella Pardee"/>
    <s v="Netting"/>
    <x v="0"/>
    <s v="HoneyBee"/>
    <x v="0"/>
    <s v="Apini"/>
    <s v="Apis"/>
    <s v="mellifera"/>
    <x v="2"/>
    <s v="female"/>
    <s v="California poppy"/>
    <s v="ornamental"/>
    <s v="Papaveraceae"/>
    <s v="Eschscholzia"/>
    <s v="californica"/>
    <s v="Eschscholzia californica"/>
    <s v="Native"/>
    <s v="Orange"/>
    <x v="5"/>
    <x v="0"/>
    <x v="1"/>
    <s v="NA"/>
    <s v="Robyn Fowler"/>
    <m/>
  </r>
  <r>
    <n v="938"/>
    <n v="1114"/>
    <d v="2021-07-07T00:00:00"/>
    <s v="WVIMiJardinVerde"/>
    <s v="Gabriella Pardee"/>
    <s v="Netting"/>
    <x v="0"/>
    <s v="SweatBee"/>
    <x v="1"/>
    <s v="Halictini"/>
    <s v="Halictus"/>
    <s v="tripartitus"/>
    <x v="4"/>
    <s v="female"/>
    <s v="California poppy"/>
    <s v="ornamental"/>
    <s v="Papaveraceae"/>
    <s v="Eschscholzia"/>
    <s v="californica"/>
    <s v="Eschscholzia californica"/>
    <s v="Native"/>
    <s v="Orange"/>
    <x v="5"/>
    <x v="0"/>
    <x v="0"/>
    <s v="NA"/>
    <s v="Jenny Hsu"/>
    <s v="2 poll (1113+1114)"/>
  </r>
  <r>
    <n v="223"/>
    <n v="1049"/>
    <d v="2021-07-11T00:00:00"/>
    <s v="BeachFlats"/>
    <s v="Jenny Hsu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1702"/>
    <n v="552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699"/>
    <n v="549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anine Tan"/>
    <m/>
  </r>
  <r>
    <n v="576"/>
    <n v="675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575"/>
    <n v="674"/>
    <d v="2021-07-11T00:00:00"/>
    <s v="BeachFlats"/>
    <s v="Jenny Hsu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572"/>
    <n v="203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571"/>
    <n v="202"/>
    <d v="2021-07-11T00:00:00"/>
    <s v="BeachFlats"/>
    <s v="Jenny Hsu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568"/>
    <n v="199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215"/>
    <n v="966"/>
    <d v="2021-07-11T00:00:00"/>
    <s v="BeachFlats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1707"/>
    <n v="557"/>
    <d v="2021-07-11T00:00:00"/>
    <s v="BeachFlats"/>
    <s v="Robyn Fowler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704"/>
    <n v="554"/>
    <d v="2021-07-11T00:00:00"/>
    <s v="BeachFlats"/>
    <s v="Robyn Fowler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698"/>
    <n v="548"/>
    <d v="2021-07-11T00:00:00"/>
    <s v="BeachFlats"/>
    <s v="Sofie Andrade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Janine Tan"/>
    <m/>
  </r>
  <r>
    <n v="214"/>
    <n v="965"/>
    <d v="2021-07-11T00:00:00"/>
    <s v="BeachFlats"/>
    <s v="Sofie Andrade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1355"/>
    <n v="2102"/>
    <d v="2021-07-09T00:00:00"/>
    <s v="Berryessa"/>
    <s v="Edith Gonzales"/>
    <s v="Netting"/>
    <x v="1"/>
    <s v="OtherFly"/>
    <x v="4"/>
    <s v="Lucilini"/>
    <s v="Lucila"/>
    <s v="sp_A"/>
    <x v="10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347"/>
    <n v="2094"/>
    <d v="2021-07-09T00:00:00"/>
    <s v="Berryessa"/>
    <s v="Sofie Andrade"/>
    <s v="Netting"/>
    <x v="0"/>
    <s v="SweatBee"/>
    <x v="1"/>
    <s v="Halictini"/>
    <s v="Lasioglossum"/>
    <s v="sp_F"/>
    <x v="22"/>
    <s v="male"/>
    <s v="squash, yellow"/>
    <s v="crop"/>
    <s v="Cucurbitaceae"/>
    <s v="Cucurbita"/>
    <s v="pepo"/>
    <s v="Cucurbita pepo"/>
    <s v="Not Native"/>
    <s v="Orange"/>
    <x v="5"/>
    <x v="1"/>
    <x v="0"/>
    <s v="NA"/>
    <s v="Jenny Hsu"/>
    <s v="misnumbered"/>
  </r>
  <r>
    <n v="141"/>
    <n v="1087"/>
    <d v="2021-07-09T00:00:00"/>
    <s v="CharlesStreet"/>
    <s v="Robyn Fowler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506"/>
    <n v="46"/>
    <d v="2021-07-09T00:00:00"/>
    <s v="CharlesStreet"/>
    <s v="Edith Gonzales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s v="2 poll (46+ 47)"/>
  </r>
  <r>
    <n v="507"/>
    <n v="47"/>
    <d v="2021-07-09T00:00:00"/>
    <s v="CharlesStreet"/>
    <s v="Edith Gonzales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s v="2 poll (46+47)"/>
  </r>
  <r>
    <n v="1559"/>
    <n v="303"/>
    <d v="2021-07-09T00:00:00"/>
    <s v="CharlesStreet"/>
    <s v="Edith Gonzales"/>
    <s v="Netting"/>
    <x v="0"/>
    <s v="SquashBee"/>
    <x v="0"/>
    <s v="Eucerini"/>
    <s v="Peponapis"/>
    <s v="pruinosa"/>
    <x v="21"/>
    <s v="male"/>
    <s v="squash, yellow"/>
    <s v="crop"/>
    <s v="Cucurbitaceae"/>
    <s v="Cucurbita"/>
    <s v="pepo"/>
    <s v="Cucurbita pepo"/>
    <s v="Not Native"/>
    <s v="Orange"/>
    <x v="5"/>
    <x v="1"/>
    <x v="1"/>
    <s v="NA"/>
    <s v="Sofie Andrade"/>
    <s v="two pinned bees 303 &amp; 304"/>
  </r>
  <r>
    <n v="1560"/>
    <n v="304"/>
    <d v="2021-07-09T00:00:00"/>
    <s v="CharlesStreet"/>
    <s v="Edith Gonzales"/>
    <s v="Netting"/>
    <x v="0"/>
    <s v="SquashBee"/>
    <x v="0"/>
    <s v="Eucerini"/>
    <s v="Peponapis"/>
    <s v="pruinosa"/>
    <x v="21"/>
    <s v="male"/>
    <s v="squash, yellow"/>
    <s v="crop"/>
    <s v="Cucurbitaceae"/>
    <s v="Cucurbita"/>
    <s v="pepo"/>
    <s v="Cucurbita pepo"/>
    <s v="Not Native"/>
    <s v="Orange"/>
    <x v="5"/>
    <x v="1"/>
    <x v="1"/>
    <s v="NA"/>
    <s v="Sofie Andrade"/>
    <s v="two pinned bees 303 &amp; 305"/>
  </r>
  <r>
    <n v="515"/>
    <n v="55"/>
    <d v="2021-07-09T00:00:00"/>
    <s v="CharlesStreet"/>
    <s v="Edith Gonzales"/>
    <s v="Netting"/>
    <x v="0"/>
    <s v="SquashBee"/>
    <x v="0"/>
    <s v="Eucerini"/>
    <s v="Peponapis"/>
    <s v="pruinosa"/>
    <x v="21"/>
    <s v="male"/>
    <s v="Pumpkin"/>
    <s v="crop"/>
    <s v="Cucurbitaceae"/>
    <s v="Cucurbita"/>
    <s v="pepo"/>
    <s v="Cucurbita pepo"/>
    <s v="Not Native"/>
    <s v="Orange"/>
    <x v="5"/>
    <x v="1"/>
    <x v="0"/>
    <s v="NA"/>
    <s v="Jenny Hsu"/>
    <m/>
  </r>
  <r>
    <n v="135"/>
    <n v="1011"/>
    <d v="2021-07-09T00:00:00"/>
    <s v="CharlesStreet"/>
    <s v="Jenny Hsu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517"/>
    <n v="57"/>
    <d v="2021-07-09T00:00:00"/>
    <s v="CharlesStreet"/>
    <s v="Gabriella Pardee"/>
    <s v="Netting"/>
    <x v="0"/>
    <s v="SquashBee"/>
    <x v="0"/>
    <s v="Eucerini"/>
    <s v="Peponapis"/>
    <s v="pruinosa"/>
    <x v="21"/>
    <s v="female"/>
    <s v="squash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516"/>
    <n v="56"/>
    <d v="2021-07-09T00:00:00"/>
    <s v="CharlesStreet"/>
    <s v="Gabriella Pardee"/>
    <s v="Netting"/>
    <x v="0"/>
    <s v="SquashBee"/>
    <x v="0"/>
    <s v="Eucerini"/>
    <s v="Peponapis"/>
    <s v="pruinosa"/>
    <x v="21"/>
    <s v="female"/>
    <s v="squash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1770"/>
    <n v="1488"/>
    <d v="2021-07-10T00:00:00"/>
    <s v="CoyoteCreek"/>
    <s v="Azucena Luctaero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anine Tan"/>
    <s v="bee"/>
  </r>
  <r>
    <n v="1772"/>
    <n v="1490"/>
    <d v="2021-07-10T00:00:00"/>
    <s v="CoyoteCreek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763"/>
    <n v="1481"/>
    <d v="2021-07-10T00:00:00"/>
    <s v="CoyoteCreek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Pollen"/>
    <s v="Janine Tan"/>
    <m/>
  </r>
  <r>
    <n v="1431"/>
    <n v="2178"/>
    <d v="2021-07-10T00:00:00"/>
    <s v="CoyoteCreek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399"/>
    <n v="2146"/>
    <d v="2021-07-10T00:00:00"/>
    <s v="CoyoteCreek"/>
    <s v="Stacy Philpott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1767"/>
    <n v="1485"/>
    <d v="2021-07-10T00:00:00"/>
    <s v="CoyoteCreek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434"/>
    <n v="2231"/>
    <d v="2021-07-10T00:00:00"/>
    <s v="CoyoteCreek"/>
    <s v="Jenny Hsu"/>
    <s v="Netting"/>
    <x v="0"/>
    <s v="OtherBee"/>
    <x v="7"/>
    <s v="Colletini"/>
    <s v="Hylaeus"/>
    <s v="sp_A"/>
    <x v="23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435"/>
    <n v="2232"/>
    <d v="2021-07-10T00:00:00"/>
    <s v="CoyoteCreek"/>
    <s v="Jenny Hsu"/>
    <s v="Netting"/>
    <x v="0"/>
    <s v="SweatBee"/>
    <x v="1"/>
    <s v="Halictini"/>
    <s v="Lasioglossum"/>
    <s v="sp_G"/>
    <x v="8"/>
    <s v="female"/>
    <s v="zucchini"/>
    <s v="crop"/>
    <s v="Cucurbitaceae"/>
    <s v="Cucurbita"/>
    <s v="pepo"/>
    <s v="Cucurbita pepo"/>
    <s v="Not Native"/>
    <s v="Orange"/>
    <x v="5"/>
    <x v="1"/>
    <x v="0"/>
    <s v="NA"/>
    <s v="Jenny Hsu"/>
    <m/>
  </r>
  <r>
    <n v="1582"/>
    <n v="325"/>
    <d v="2021-07-11T00:00:00"/>
    <s v="Grange"/>
    <s v="Robyn Fowler"/>
    <s v="Netting"/>
    <x v="1"/>
    <s v="OtherFly"/>
    <x v="8"/>
    <m/>
    <s v="anthomyid"/>
    <s v="sp_A"/>
    <x v="24"/>
    <m/>
    <s v="zucchini"/>
    <s v="crop"/>
    <s v="Cucurbitaceae"/>
    <s v="Cucurbita"/>
    <s v="pepo"/>
    <s v="Cucurbita pepo"/>
    <s v="Not Native"/>
    <s v="Orange"/>
    <x v="5"/>
    <x v="1"/>
    <x v="0"/>
    <s v="NA"/>
    <s v="Sofie Andrade"/>
    <m/>
  </r>
  <r>
    <n v="528"/>
    <n v="68"/>
    <d v="2021-07-11T00:00:00"/>
    <s v="Grange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575"/>
    <n v="320"/>
    <d v="2021-07-11T00:00:00"/>
    <s v="Grange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Sofie Andrade"/>
    <m/>
  </r>
  <r>
    <n v="1658"/>
    <n v="429"/>
    <d v="2021-07-11T00:00:00"/>
    <s v="Grange"/>
    <s v="Robyn Fowler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Janine Tan"/>
    <m/>
  </r>
  <r>
    <n v="1588"/>
    <n v="331"/>
    <d v="2021-07-11T00:00:00"/>
    <s v="Grange"/>
    <s v="Robyn Fowler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Sofie Andrade"/>
    <m/>
  </r>
  <r>
    <n v="523"/>
    <n v="63"/>
    <d v="2021-07-11T00:00:00"/>
    <s v="Grange"/>
    <s v="Robyn Fowler"/>
    <s v="Netting"/>
    <x v="0"/>
    <s v="SquashBee"/>
    <x v="0"/>
    <s v="Eucerini"/>
    <s v="Peponapis"/>
    <s v="pruinosa"/>
    <x v="21"/>
    <s v="male"/>
    <s v="zucchini"/>
    <s v="crop"/>
    <s v="Cucurbitaceae"/>
    <s v="Cucurbita"/>
    <s v="pepo"/>
    <s v="Cucurbita pepo"/>
    <s v="Not Native"/>
    <s v="Orange"/>
    <x v="5"/>
    <x v="1"/>
    <x v="0"/>
    <s v="NA"/>
    <s v="Jenny Hsu"/>
    <m/>
  </r>
  <r>
    <n v="1586"/>
    <n v="329"/>
    <d v="2021-07-11T00:00:00"/>
    <s v="Grange"/>
    <s v="Robyn Fowler"/>
    <s v="Netting"/>
    <x v="2"/>
    <s v="Moth"/>
    <x v="9"/>
    <s v="Platyptiliini"/>
    <s v="Pyrausta"/>
    <s v="volupialis"/>
    <x v="25"/>
    <s v="Unable to ID"/>
    <s v="zucchini"/>
    <s v="crop"/>
    <s v="Cucurbitaceae"/>
    <s v="Cucurbita"/>
    <s v="pepo"/>
    <s v="Cucurbita pepo"/>
    <s v="Not Native"/>
    <s v="Orange"/>
    <x v="5"/>
    <x v="1"/>
    <x v="0"/>
    <s v="NA"/>
    <s v="Sofie Andrade"/>
    <m/>
  </r>
  <r>
    <n v="1021"/>
    <n v="1377"/>
    <d v="2021-07-08T00:00:00"/>
    <s v="MEarth"/>
    <s v="Gabriella Pardee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003"/>
    <n v="1359"/>
    <d v="2021-07-08T00:00:00"/>
    <s v="MEarth"/>
    <s v="Jenny Hsu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979"/>
    <n v="1287"/>
    <d v="2021-07-08T00:00:00"/>
    <s v="MEarth"/>
    <s v="Jenny Hsu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968"/>
    <n v="1276"/>
    <d v="2021-07-08T00:00:00"/>
    <s v="MEarth"/>
    <s v="Stacy Philpott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1026"/>
    <n v="840"/>
    <d v="2021-07-08T00:00:00"/>
    <s v="MEarth"/>
    <s v="Gabriella Pardee"/>
    <s v="Netting"/>
    <x v="0"/>
    <s v="SquashBee"/>
    <x v="0"/>
    <s v="Eucerini"/>
    <s v="Peponapis"/>
    <s v="pruinosa"/>
    <x v="21"/>
    <s v="female"/>
    <s v="squash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970"/>
    <n v="1278"/>
    <d v="2021-07-08T00:00:00"/>
    <s v="MEarth"/>
    <s v="Edith Gonzales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969"/>
    <n v="1277"/>
    <d v="2021-07-08T00:00:00"/>
    <s v="MEarth"/>
    <s v="Stacy Philpott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Jenny Hsu"/>
    <m/>
  </r>
  <r>
    <n v="681"/>
    <n v="1066"/>
    <d v="2021-07-08T00:00:00"/>
    <s v="PacificGrove"/>
    <s v="Edith Gonzales"/>
    <s v="Netting"/>
    <x v="2"/>
    <s v="Butterfly"/>
    <x v="3"/>
    <s v="Pierini"/>
    <s v="Pieris"/>
    <s v="rapae"/>
    <x v="7"/>
    <s v="F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34"/>
    <n v="1581"/>
    <d v="2021-07-07T00:00:00"/>
    <s v="Pajaro"/>
    <s v="Jenny Hsu"/>
    <s v="Netting"/>
    <x v="1"/>
    <s v="OtherFly"/>
    <x v="4"/>
    <s v="Lucilini"/>
    <s v="Lucila"/>
    <s v="sp_B"/>
    <x v="26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53"/>
    <n v="1650"/>
    <d v="2021-07-07T00:00:00"/>
    <s v="Pajaro"/>
    <s v="Jenny Hsu"/>
    <s v="Netting"/>
    <x v="1"/>
    <s v="OtherFly"/>
    <x v="10"/>
    <m/>
    <s v="muscid"/>
    <s v="sp_B"/>
    <x v="27"/>
    <m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06"/>
    <n v="1206"/>
    <d v="2021-07-07T00:00:00"/>
    <s v="Pajaro"/>
    <s v="Jenny Hsu"/>
    <s v="Netting"/>
    <x v="1"/>
    <s v="OtherFly"/>
    <x v="10"/>
    <m/>
    <s v="muscid"/>
    <s v="sp_B"/>
    <x v="27"/>
    <m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35"/>
    <n v="1582"/>
    <d v="2021-07-07T00:00:00"/>
    <s v="Pajaro"/>
    <s v="Jenny Hsu"/>
    <s v="Netting"/>
    <x v="1"/>
    <s v="OtherFly"/>
    <x v="11"/>
    <m/>
    <s v="sarcophagid"/>
    <s v="sp_A"/>
    <x v="28"/>
    <m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43"/>
    <n v="1590"/>
    <d v="2021-07-07T00:00:00"/>
    <s v="Pajaro"/>
    <s v="Jenny Hsu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37"/>
    <n v="1584"/>
    <d v="2021-07-07T00:00:00"/>
    <s v="Pajaro"/>
    <s v="Azucena Luctaero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28"/>
    <n v="1575"/>
    <d v="2021-07-07T00:00:00"/>
    <s v="Pajaro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20"/>
    <n v="1567"/>
    <d v="2021-07-07T00:00:00"/>
    <s v="Pajaro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1119"/>
    <n v="1566"/>
    <d v="2021-07-07T00:00:00"/>
    <s v="Pajaro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104"/>
    <n v="1204"/>
    <d v="2021-07-07T00:00:00"/>
    <s v="Pajaro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Pollen"/>
    <s v="Jenny Hsu"/>
    <m/>
  </r>
  <r>
    <n v="200"/>
    <n v="1426"/>
    <d v="2021-07-11T00:00:00"/>
    <s v="Trescony"/>
    <s v="Robyn Fowler"/>
    <s v="Netting"/>
    <x v="0"/>
    <s v="HoneyBee"/>
    <x v="0"/>
    <s v="Apini"/>
    <s v="Apis"/>
    <s v="mellifera"/>
    <x v="2"/>
    <s v="female"/>
    <s v="zucchini"/>
    <s v="crop"/>
    <s v="Cucurbitaceae"/>
    <s v="Cucurbita"/>
    <s v="pepo"/>
    <s v="Cucurbita pepo"/>
    <s v="Not Native"/>
    <s v="Orange"/>
    <x v="5"/>
    <x v="1"/>
    <x v="0"/>
    <s v="NA"/>
    <s v="Robyn Fowler"/>
    <m/>
  </r>
  <r>
    <n v="188"/>
    <n v="1344"/>
    <d v="2021-07-11T00:00:00"/>
    <s v="Trescony"/>
    <s v="Jenny Hsu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1"/>
    <s v="NA"/>
    <s v="Robyn Fowler"/>
    <m/>
  </r>
  <r>
    <n v="403"/>
    <n v="499"/>
    <d v="2021-07-07T00:00:00"/>
    <s v="ValleVerde"/>
    <s v="Jenny Hsu"/>
    <s v="Netting"/>
    <x v="1"/>
    <s v="OtherFly"/>
    <x v="12"/>
    <m/>
    <s v="tachinid"/>
    <s v="sp_B"/>
    <x v="29"/>
    <m/>
    <s v="zucchini"/>
    <s v="crop"/>
    <s v="Cucurbitaceae"/>
    <s v="Cucurbita"/>
    <s v="pepo"/>
    <s v="Cucurbita pepo"/>
    <s v="Not Native"/>
    <s v="Orange"/>
    <x v="5"/>
    <x v="1"/>
    <x v="0"/>
    <s v="NA"/>
    <s v="Robyn Fowler"/>
    <s v="2 pollinators 1 bag (2/2)"/>
  </r>
  <r>
    <n v="402"/>
    <n v="498"/>
    <d v="2021-07-07T00:00:00"/>
    <s v="ValleVerde"/>
    <s v="Jenny Hsu"/>
    <s v="Netting"/>
    <x v="2"/>
    <s v="Butterfly"/>
    <x v="3"/>
    <s v="Pierini"/>
    <s v="Pieris"/>
    <s v="rapae"/>
    <x v="7"/>
    <s v="M"/>
    <s v="zucchini"/>
    <s v="crop"/>
    <s v="Cucurbitaceae"/>
    <s v="Cucurbita"/>
    <s v="pepo"/>
    <s v="Cucurbita pepo"/>
    <s v="Not Native"/>
    <s v="Orange"/>
    <x v="5"/>
    <x v="1"/>
    <x v="0"/>
    <s v="NA"/>
    <s v="Robyn Fowler"/>
    <s v="2 pollinators 1 bag (1/2)"/>
  </r>
  <r>
    <n v="924"/>
    <n v="1100"/>
    <d v="2021-07-07T00:00:00"/>
    <s v="WVIMiJardinVerde"/>
    <s v="Gabriella Pardee"/>
    <s v="Netting"/>
    <x v="1"/>
    <s v="OtherFly"/>
    <x v="13"/>
    <m/>
    <s v="drosophilid"/>
    <s v="sp_B"/>
    <x v="30"/>
    <m/>
    <s v="squash"/>
    <s v="crop"/>
    <s v="Cucurbitaceae"/>
    <s v="Cucurbita"/>
    <s v="pepo"/>
    <s v="Cucurbita pepo"/>
    <s v="Not Native"/>
    <s v="Orange"/>
    <x v="5"/>
    <x v="1"/>
    <x v="0"/>
    <s v="NA"/>
    <s v="Jenny Hsu"/>
    <s v="2 poll (1099+1100)"/>
  </r>
  <r>
    <n v="923"/>
    <n v="1099"/>
    <d v="2021-07-07T00:00:00"/>
    <s v="WVIMiJardinVerde"/>
    <s v="Gabriella Pardee"/>
    <s v="Netting"/>
    <x v="0"/>
    <s v="HoneyBee"/>
    <x v="0"/>
    <s v="Apini"/>
    <s v="Apis"/>
    <s v="mellifera"/>
    <x v="2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s v="2 poll (1099+1100)"/>
  </r>
  <r>
    <n v="934"/>
    <n v="1110"/>
    <d v="2021-07-07T00:00:00"/>
    <s v="WVIMiJardinVerde"/>
    <s v="Gabriella Pardee"/>
    <s v="Netting"/>
    <x v="0"/>
    <s v="SquashBee"/>
    <x v="0"/>
    <s v="Eucerini"/>
    <s v="Peponapis"/>
    <s v="pruinosa"/>
    <x v="21"/>
    <s v="male"/>
    <s v="female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942"/>
    <n v="1118"/>
    <d v="2021-07-07T00:00:00"/>
    <s v="WVIMiJardinVerde"/>
    <s v="Gabriella Pardee"/>
    <s v="Netting"/>
    <x v="0"/>
    <s v="SquashBee"/>
    <x v="0"/>
    <s v="Eucerini"/>
    <s v="Peponapis"/>
    <s v="pruinosa"/>
    <x v="21"/>
    <s v="male"/>
    <s v="squash"/>
    <s v="crop"/>
    <s v="Cucurbitaceae"/>
    <s v="Cucurbita"/>
    <s v="pepo"/>
    <s v="Cucurbita pepo"/>
    <s v="Not Native"/>
    <s v="Orange"/>
    <x v="5"/>
    <x v="1"/>
    <x v="0"/>
    <s v="Pollen"/>
    <s v="Jenny Hsu"/>
    <m/>
  </r>
  <r>
    <n v="929"/>
    <n v="1105"/>
    <d v="2021-07-07T00:00:00"/>
    <s v="WVIMiJardinVerde"/>
    <s v="Gabriella Pardee"/>
    <s v="Netting"/>
    <x v="0"/>
    <s v="SquashBee"/>
    <x v="0"/>
    <s v="Eucerini"/>
    <s v="Peponapis"/>
    <s v="pruinosa"/>
    <x v="21"/>
    <s v="female"/>
    <s v="squash"/>
    <s v="crop"/>
    <s v="Cucurbitaceae"/>
    <s v="Cucurbita"/>
    <s v="pepo"/>
    <s v="Cucurbita pepo"/>
    <s v="Not Native"/>
    <s v="Orange"/>
    <x v="5"/>
    <x v="1"/>
    <x v="0"/>
    <s v="NA"/>
    <s v="Jenny Hsu"/>
    <m/>
  </r>
  <r>
    <n v="139"/>
    <n v="1085"/>
    <d v="2021-07-09T00:00:00"/>
    <s v="CharlesStreet"/>
    <s v="Gabriella Pardee"/>
    <s v="Netting"/>
    <x v="0"/>
    <s v="OtherBee"/>
    <x v="5"/>
    <s v="Megachilini"/>
    <s v="Megachile"/>
    <s v="perihirta"/>
    <x v="31"/>
    <s v="female"/>
    <s v="zinnia"/>
    <s v="ornamental"/>
    <s v="Asteraceae"/>
    <s v="Zinnia"/>
    <s v="elegans"/>
    <s v="Zinnia elegans"/>
    <s v="Not Native"/>
    <s v="OrangePinkYellowWhite"/>
    <x v="1"/>
    <x v="0"/>
    <x v="0"/>
    <s v="Nectar"/>
    <s v="Robyn Fowler"/>
    <m/>
  </r>
  <r>
    <n v="502"/>
    <n v="791"/>
    <d v="2021-07-09T00:00:00"/>
    <s v="CharlesStreet"/>
    <s v="Robyn Fowler"/>
    <s v="Netting"/>
    <x v="0"/>
    <s v="OtherBee"/>
    <x v="5"/>
    <s v="Megachilini"/>
    <s v="Megachile"/>
    <s v="perihirta"/>
    <x v="31"/>
    <s v="female"/>
    <s v="zinnia"/>
    <s v="ornamental"/>
    <s v="Asteraceae"/>
    <s v="Zinnia"/>
    <s v="elegans"/>
    <s v="Zinnia elegans"/>
    <s v="Not Native"/>
    <s v="OrangePinkYellowWhite"/>
    <x v="1"/>
    <x v="0"/>
    <x v="0"/>
    <s v="NA"/>
    <s v="Jenny Hsu"/>
    <m/>
  </r>
  <r>
    <n v="138"/>
    <n v="1084"/>
    <d v="2021-07-09T00:00:00"/>
    <s v="CharlesStreet"/>
    <s v="Jenny Hsu"/>
    <s v="Netting"/>
    <x v="2"/>
    <s v="Butterfly"/>
    <x v="6"/>
    <s v="Hesperiini"/>
    <s v="Hylephila"/>
    <s v="phyleus"/>
    <x v="17"/>
    <s v="M"/>
    <s v="zinnia"/>
    <s v="ornamental"/>
    <s v="Asteraceae"/>
    <s v="Zinnia"/>
    <s v="elegans"/>
    <s v="Zinnia elegans"/>
    <s v="Not Native"/>
    <s v="OrangePinkYellowWhite"/>
    <x v="1"/>
    <x v="0"/>
    <x v="0"/>
    <s v="NA"/>
    <s v="Robyn Fowler"/>
    <s v="moth"/>
  </r>
  <r>
    <n v="1777"/>
    <n v="1495"/>
    <d v="2021-07-10T00:00:00"/>
    <s v="CoyoteCreek"/>
    <s v="Azucena Luctaero"/>
    <s v="Netting"/>
    <x v="0"/>
    <s v="SweatBee"/>
    <x v="1"/>
    <s v="Halictini"/>
    <s v="Halictus"/>
    <s v="ligatus"/>
    <x v="32"/>
    <s v="female"/>
    <s v="zinnia"/>
    <s v="ornamental"/>
    <s v="Asteraceae"/>
    <s v="Zinnia"/>
    <s v="elegans"/>
    <s v="Zinnia elegans"/>
    <s v="Not Native"/>
    <s v="OrangePinkYellowWhite"/>
    <x v="1"/>
    <x v="0"/>
    <x v="0"/>
    <s v="NA"/>
    <s v="Janine Tan"/>
    <s v="bee"/>
  </r>
  <r>
    <n v="811"/>
    <n v="798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zinnia"/>
    <s v="ornamental"/>
    <s v="Asteraceae"/>
    <s v="Zinnia"/>
    <s v="elegans"/>
    <s v="Zinnia elegans"/>
    <s v="Not Native"/>
    <s v="OrangePinkYellowWhite"/>
    <x v="1"/>
    <x v="0"/>
    <x v="0"/>
    <s v="NA"/>
    <s v="Jenny Hsu"/>
    <m/>
  </r>
  <r>
    <n v="802"/>
    <n v="1331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zinnia"/>
    <s v="ornamental"/>
    <s v="Asteraceae"/>
    <s v="Zinnia"/>
    <s v="elegans"/>
    <s v="Zinnia elegans"/>
    <s v="Not Native"/>
    <s v="OrangePinkYellowWhite"/>
    <x v="1"/>
    <x v="0"/>
    <x v="0"/>
    <s v="NA"/>
    <s v="Jenny Hsu"/>
    <m/>
  </r>
  <r>
    <n v="941"/>
    <n v="1117"/>
    <d v="2021-07-07T00:00:00"/>
    <s v="WVIMiJardinVerde"/>
    <s v="Azucena Luctaero"/>
    <s v="Netting"/>
    <x v="0"/>
    <s v="HoneyBee"/>
    <x v="0"/>
    <s v="Apini"/>
    <s v="Apis"/>
    <s v="mellifera"/>
    <x v="2"/>
    <s v="female"/>
    <s v="zinnia"/>
    <s v="ornamental"/>
    <s v="Asteraceae"/>
    <s v="Zinnia"/>
    <s v="elegans"/>
    <s v="Zinnia elegans"/>
    <s v="Not Native"/>
    <s v="OrangePinkYellowWhite"/>
    <x v="1"/>
    <x v="0"/>
    <x v="0"/>
    <s v="NA"/>
    <s v="Jenny Hsu"/>
    <m/>
  </r>
  <r>
    <n v="569"/>
    <n v="200"/>
    <d v="2021-07-11T00:00:00"/>
    <s v="BeachFlats"/>
    <s v="Jenny Hsu"/>
    <s v="Netting"/>
    <x v="0"/>
    <s v="BumbleBee"/>
    <x v="0"/>
    <s v="Bombini"/>
    <s v="Bombus"/>
    <s v="vosnesenskii"/>
    <x v="0"/>
    <s v="female"/>
    <s v="dahlia"/>
    <s v="ornamental"/>
    <s v="Asteraceae"/>
    <s v="Dahlia"/>
    <s v="sp."/>
    <s v="Dahlia sp. A"/>
    <s v="Not Native"/>
    <s v="OrangePinkYellowWhite"/>
    <x v="3"/>
    <x v="1"/>
    <x v="1"/>
    <s v="NA"/>
    <s v="Jenny Hsu"/>
    <m/>
  </r>
  <r>
    <n v="944"/>
    <n v="1120"/>
    <d v="2021-07-07T00:00:00"/>
    <s v="WVIMiJardinVerde"/>
    <s v="Sofie Andrade"/>
    <s v="Netting"/>
    <x v="0"/>
    <s v="HoneyBee"/>
    <x v="0"/>
    <s v="Apini"/>
    <s v="Apis"/>
    <s v="mellifera"/>
    <x v="2"/>
    <s v="female"/>
    <s v="dahlia"/>
    <s v="ornamental"/>
    <s v="Asteraceae"/>
    <s v="Dahlia"/>
    <s v="sp."/>
    <s v="Dahlia sp. A"/>
    <s v="Not Native"/>
    <s v="OrangePinkYellowWhite"/>
    <x v="3"/>
    <x v="1"/>
    <x v="0"/>
    <s v="NA"/>
    <s v="Jenny Hsu"/>
    <m/>
  </r>
  <r>
    <n v="168"/>
    <n v="1254"/>
    <d v="2021-07-11T00:00:00"/>
    <s v="Grange"/>
    <s v="Gabriella Pardee"/>
    <s v="Netting"/>
    <x v="0"/>
    <s v="HoneyBee"/>
    <x v="0"/>
    <s v="Apini"/>
    <s v="Apis"/>
    <s v="mellifera"/>
    <x v="2"/>
    <s v="female"/>
    <s v="pomegranate"/>
    <s v="crop"/>
    <s v="Lythraceae"/>
    <s v="Punica"/>
    <s v="granatum"/>
    <s v="Punica granatum"/>
    <s v="Not Native"/>
    <s v="OrangeRedYellow"/>
    <x v="6"/>
    <x v="3"/>
    <x v="0"/>
    <s v="Pollen"/>
    <s v="Robyn Fowler"/>
    <m/>
  </r>
  <r>
    <n v="248"/>
    <n v="1299"/>
    <d v="2021-07-07T00:00:00"/>
    <s v="Aptos"/>
    <s v="Azucena Luctaero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Robyn Fowler"/>
    <m/>
  </r>
  <r>
    <n v="1395"/>
    <n v="2428"/>
    <d v="2021-07-09T00:00:00"/>
    <s v="Berryessa"/>
    <s v="Edith Gonzales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554"/>
    <n v="298"/>
    <d v="2021-07-09T00:00:00"/>
    <s v="CharlesStreet"/>
    <s v="Gabriella Pardee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1"/>
    <s v="Pollen"/>
    <s v="Sofie Andrade"/>
    <m/>
  </r>
  <r>
    <n v="514"/>
    <n v="54"/>
    <d v="2021-07-09T00:00:00"/>
    <s v="CharlesStreet"/>
    <s v="Gabriella Pardee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Pollen"/>
    <s v="Jenny Hsu"/>
    <m/>
  </r>
  <r>
    <n v="143"/>
    <n v="1089"/>
    <d v="2021-07-09T00:00:00"/>
    <s v="CharlesStreet"/>
    <s v="Robyn Fowler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Robyn Fowler"/>
    <m/>
  </r>
  <r>
    <n v="1761"/>
    <n v="1479"/>
    <d v="2021-07-10T00:00:00"/>
    <s v="CoyoteCreek"/>
    <s v="Jenny Hsu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anine Tan"/>
    <m/>
  </r>
  <r>
    <n v="1401"/>
    <n v="2148"/>
    <d v="2021-07-10T00:00:00"/>
    <s v="CoyoteCreek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400"/>
    <n v="2147"/>
    <d v="2021-07-10T00:00:00"/>
    <s v="CoyoteCreek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421"/>
    <n v="2168"/>
    <d v="2021-07-10T00:00:00"/>
    <s v="CoyoteCreek"/>
    <s v="Jenny Hsu"/>
    <s v="Netting"/>
    <x v="0"/>
    <s v="BumbleBee"/>
    <x v="0"/>
    <s v="Bombini"/>
    <s v="Bombus"/>
    <s v="occidentalis"/>
    <x v="34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436"/>
    <n v="2233"/>
    <d v="2021-07-10T00:00:00"/>
    <s v="CoyoteCreek"/>
    <s v="Jenny Hsu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417"/>
    <n v="2164"/>
    <d v="2021-07-10T00:00:00"/>
    <s v="CoyoteCreek"/>
    <s v="Jenny Hsu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779"/>
    <n v="1497"/>
    <d v="2021-07-10T00:00:00"/>
    <s v="CoyoteCreek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Pollen"/>
    <s v="Janine Tan"/>
    <m/>
  </r>
  <r>
    <n v="1768"/>
    <n v="1486"/>
    <d v="2021-07-10T00:00:00"/>
    <s v="CoyoteCreek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Pollen"/>
    <s v="Janine Tan"/>
    <m/>
  </r>
  <r>
    <n v="1411"/>
    <n v="2158"/>
    <d v="2021-07-10T00:00:00"/>
    <s v="CoyoteCreek"/>
    <s v="Jenny Hsu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410"/>
    <n v="2157"/>
    <d v="2021-07-10T00:00:00"/>
    <s v="CoyoteCreek"/>
    <s v="Azucena Luctaero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407"/>
    <n v="2154"/>
    <d v="2021-07-10T00:00:00"/>
    <s v="CoyoteCreek"/>
    <s v="Jenny Hsu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571"/>
    <n v="316"/>
    <d v="2021-07-11T00:00:00"/>
    <s v="Grange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Sofie Andrade"/>
    <m/>
  </r>
  <r>
    <n v="155"/>
    <n v="1171"/>
    <d v="2021-07-11T00:00:00"/>
    <s v="Grange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Robyn Fowler"/>
    <m/>
  </r>
  <r>
    <n v="1654"/>
    <n v="425"/>
    <d v="2021-07-11T00:00:00"/>
    <s v="Grange"/>
    <s v="Robyn Fowler"/>
    <s v="Netting"/>
    <x v="0"/>
    <s v="OtherBee"/>
    <x v="5"/>
    <s v="Megachilini"/>
    <s v="Megachile"/>
    <s v="perihirta"/>
    <x v="31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anine Tan"/>
    <m/>
  </r>
  <r>
    <n v="270"/>
    <n v="42"/>
    <d v="2021-07-09T00:00:00"/>
    <s v="Guadalupe"/>
    <s v="Gabriella Pardee"/>
    <s v="Netting"/>
    <x v="1"/>
    <s v="OtherFly"/>
    <x v="14"/>
    <m/>
    <s v="diptera"/>
    <s v="sp_B"/>
    <x v="35"/>
    <m/>
    <s v="sunflower"/>
    <s v="ornamental"/>
    <s v="Asteraceae"/>
    <s v="Helianthus"/>
    <s v="annuus"/>
    <s v="Helianthus annuus"/>
    <s v="Native"/>
    <s v="OrangeYellow"/>
    <x v="7"/>
    <x v="0"/>
    <x v="0"/>
    <s v="NA"/>
    <s v="Robyn Fowler"/>
    <m/>
  </r>
  <r>
    <n v="612"/>
    <n v="1383"/>
    <d v="2021-07-09T00:00:00"/>
    <s v="Guadalupe"/>
    <s v="Edith Gonzales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s v="2 poll (13382+1383)"/>
  </r>
  <r>
    <n v="611"/>
    <n v="1382"/>
    <d v="2021-07-09T00:00:00"/>
    <s v="Guadalupe"/>
    <s v="Edith Gonzales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s v="2 poll (1382+1383)"/>
  </r>
  <r>
    <n v="269"/>
    <n v="41"/>
    <d v="2021-07-09T00:00:00"/>
    <s v="Guadalupe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Robyn Fowler"/>
    <m/>
  </r>
  <r>
    <n v="1231"/>
    <n v="1828"/>
    <d v="2021-07-10T00:00:00"/>
    <s v="LaColina"/>
    <s v="Stacy Philpott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212"/>
    <n v="1759"/>
    <d v="2021-07-10T00:00:00"/>
    <s v="LaColina"/>
    <s v="Azucena Luctaero"/>
    <s v="Netting"/>
    <x v="0"/>
    <s v="BumbleBee"/>
    <x v="0"/>
    <s v="Bombini"/>
    <s v="Bombus"/>
    <s v="vosnesenskii"/>
    <x v="0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262"/>
    <n v="1909"/>
    <d v="2021-07-10T00:00:00"/>
    <s v="LaColina"/>
    <s v="Gabriella Pardee"/>
    <s v="Netting"/>
    <x v="0"/>
    <s v="OtherBee"/>
    <x v="0"/>
    <s v="Eucerini"/>
    <s v="Melissodes"/>
    <s v="communis"/>
    <x v="36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s v="2 poll (1908+1909)"/>
  </r>
  <r>
    <n v="1261"/>
    <n v="1908"/>
    <d v="2021-07-10T00:00:00"/>
    <s v="LaColina"/>
    <s v="Gabriella Pardee"/>
    <s v="Netting"/>
    <x v="0"/>
    <s v="OtherBee"/>
    <x v="0"/>
    <s v="Eucerini"/>
    <s v="Melissodes"/>
    <s v="communis"/>
    <x v="36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s v="2 poll (1908+1909)"/>
  </r>
  <r>
    <n v="1243"/>
    <n v="1840"/>
    <d v="2021-07-10T00:00:00"/>
    <s v="LaColina"/>
    <s v="Stacy Philpott"/>
    <s v="Netting"/>
    <x v="0"/>
    <s v="OtherBee"/>
    <x v="0"/>
    <s v="Eucerini"/>
    <s v="Melissodes"/>
    <s v="communis"/>
    <x v="36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274"/>
    <n v="1921"/>
    <d v="2021-07-10T00:00:00"/>
    <s v="LaColina"/>
    <s v="Gabriella Pardee"/>
    <s v="Netting"/>
    <x v="0"/>
    <s v="OtherBee"/>
    <x v="0"/>
    <s v="Eucerini"/>
    <s v="Melissodes"/>
    <s v="communis"/>
    <x v="36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216"/>
    <n v="1763"/>
    <d v="2021-07-10T00:00:00"/>
    <s v="LaColina"/>
    <s v="Azucena Luctaero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215"/>
    <n v="1762"/>
    <d v="2021-07-10T00:00:00"/>
    <s v="LaColina"/>
    <s v="Stacy Philpott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263"/>
    <n v="1910"/>
    <d v="2021-07-10T00:00:00"/>
    <s v="LaColina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Pollen"/>
    <s v="Jenny Hsu"/>
    <m/>
  </r>
  <r>
    <n v="1235"/>
    <n v="1832"/>
    <d v="2021-07-10T00:00:00"/>
    <s v="LaColina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229"/>
    <n v="1826"/>
    <d v="2021-07-10T00:00:00"/>
    <s v="LaColina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264"/>
    <n v="1911"/>
    <d v="2021-07-10T00:00:00"/>
    <s v="LaColina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Pollen"/>
    <s v="Jenny Hsu"/>
    <m/>
  </r>
  <r>
    <n v="1045"/>
    <n v="1449"/>
    <d v="2021-07-10T00:00:00"/>
    <s v="LagunaSeca"/>
    <s v="Azucena Luctaero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061"/>
    <n v="126"/>
    <d v="2021-07-10T00:00:00"/>
    <s v="LagunaSeca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085"/>
    <n v="1137"/>
    <d v="2021-07-10T00:00:00"/>
    <s v="LagunaSeca"/>
    <s v="Stacy Philpott"/>
    <s v="Netting"/>
    <x v="0"/>
    <s v="SweatBee"/>
    <x v="1"/>
    <s v="Halictini"/>
    <s v="Lasioglossum"/>
    <s v="sp_G"/>
    <x v="8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005"/>
    <n v="1361"/>
    <d v="2021-07-08T00:00:00"/>
    <s v="MEarth"/>
    <s v="Stacy Philpott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985"/>
    <n v="1293"/>
    <d v="2021-07-08T00:00:00"/>
    <s v="MEarth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773"/>
    <n v="670"/>
    <d v="2021-07-08T00:00:00"/>
    <s v="Natividad"/>
    <s v="Stacy Philpott"/>
    <s v="Netting"/>
    <x v="0"/>
    <s v="BumbleBee"/>
    <x v="0"/>
    <s v="Bombini"/>
    <s v="Bombus"/>
    <s v="vosnesenskii"/>
    <x v="0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722"/>
    <n v="1155"/>
    <d v="2021-07-08T00:00:00"/>
    <s v="PacificGrove"/>
    <s v="Stacy Philpott"/>
    <s v="Netting"/>
    <x v="1"/>
    <s v="OtherFly"/>
    <x v="13"/>
    <m/>
    <s v="drosophilid"/>
    <s v="sp_A"/>
    <x v="37"/>
    <m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99"/>
    <n v="1746"/>
    <d v="2021-07-09T00:00:00"/>
    <s v="Prusch"/>
    <s v="Robyn Fowler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95"/>
    <n v="1742"/>
    <d v="2021-07-09T00:00:00"/>
    <s v="Prusch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63"/>
    <n v="1660"/>
    <d v="2021-07-09T00:00:00"/>
    <s v="Prusch"/>
    <s v="Edith Gonzales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162"/>
    <n v="1659"/>
    <d v="2021-07-09T00:00:00"/>
    <s v="Prusch"/>
    <s v="Edith Gonzales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161"/>
    <n v="1658"/>
    <d v="2021-07-09T00:00:00"/>
    <s v="Prusch"/>
    <s v="Robyn Fowler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193"/>
    <n v="1740"/>
    <d v="2021-07-09T00:00:00"/>
    <s v="Prusch"/>
    <s v="Gabriella Pardee"/>
    <s v="Netting"/>
    <x v="0"/>
    <s v="OtherBee"/>
    <x v="0"/>
    <s v="Eucerini"/>
    <s v="Melissodes"/>
    <s v="sp_A"/>
    <x v="38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88"/>
    <n v="1735"/>
    <d v="2021-07-09T00:00:00"/>
    <s v="Prusch"/>
    <s v="Gabriella Pardee"/>
    <s v="Netting"/>
    <x v="0"/>
    <s v="OtherBee"/>
    <x v="0"/>
    <s v="Eucerini"/>
    <s v="Melissodes"/>
    <s v="sp_A"/>
    <x v="38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75"/>
    <n v="1672"/>
    <d v="2021-07-09T00:00:00"/>
    <s v="Prusch"/>
    <s v="Gabriella Pardee"/>
    <s v="Netting"/>
    <x v="0"/>
    <s v="OtherBee"/>
    <x v="0"/>
    <s v="Eucerini"/>
    <s v="Melissodes"/>
    <s v="sp_A"/>
    <x v="38"/>
    <s v="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59"/>
    <n v="1656"/>
    <d v="2021-07-09T00:00:00"/>
    <s v="Prusch"/>
    <s v="Jenny Hsu"/>
    <s v="Netting"/>
    <x v="0"/>
    <s v="OtherBee"/>
    <x v="0"/>
    <s v="Eucerini"/>
    <s v="Melissodes"/>
    <s v="sp_B"/>
    <x v="39"/>
    <s v="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156"/>
    <n v="1653"/>
    <d v="2021-07-09T00:00:00"/>
    <s v="Prusch"/>
    <s v="Jenny Hsu"/>
    <s v="Netting"/>
    <x v="0"/>
    <s v="OtherBee"/>
    <x v="0"/>
    <s v="Eucerini"/>
    <s v="Melissodes"/>
    <s v="sp_B"/>
    <x v="39"/>
    <s v="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201"/>
    <n v="1748"/>
    <d v="2021-07-09T00:00:00"/>
    <s v="Prusch"/>
    <s v="Sofie Andrade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86"/>
    <n v="1733"/>
    <d v="2021-07-09T00:00:00"/>
    <s v="Prusch"/>
    <s v="Jenny Hsu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158"/>
    <n v="1655"/>
    <d v="2021-07-09T00:00:00"/>
    <s v="Prusch"/>
    <s v="Robyn Fowler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Jenny Hsu"/>
    <m/>
  </r>
  <r>
    <n v="1194"/>
    <n v="1741"/>
    <d v="2021-07-09T00:00:00"/>
    <s v="Prusch"/>
    <s v="Gabriella Pardee"/>
    <s v="Netting"/>
    <x v="0"/>
    <s v="SweatBee"/>
    <x v="1"/>
    <s v="Halictini"/>
    <s v="Halictus"/>
    <s v="ligatus"/>
    <x v="3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593"/>
    <n v="580"/>
    <d v="2021-07-11T00:00:00"/>
    <s v="Trescony"/>
    <s v="Robyn Fowler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Sofie Andrade"/>
    <m/>
  </r>
  <r>
    <n v="556"/>
    <n v="187"/>
    <d v="2021-07-11T00:00:00"/>
    <s v="Trescony"/>
    <s v="Sofie Andrad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86"/>
    <n v="1342"/>
    <d v="2021-07-11T00:00:00"/>
    <s v="Trescony"/>
    <s v="Gabriella Pardee"/>
    <s v="Netting"/>
    <x v="0"/>
    <s v="HoneyBee"/>
    <x v="0"/>
    <s v="Apini"/>
    <s v="Apis"/>
    <s v="mellifera"/>
    <x v="2"/>
    <s v="female"/>
    <s v="sunflower"/>
    <s v="ornamental"/>
    <s v="Asteraceae"/>
    <s v="Helianthus"/>
    <s v="annuus"/>
    <s v="Helianthus annuus"/>
    <s v="Native"/>
    <s v="OrangeYellow"/>
    <x v="7"/>
    <x v="0"/>
    <x v="1"/>
    <s v="NA"/>
    <s v="Robyn Fowler"/>
    <m/>
  </r>
  <r>
    <n v="1686"/>
    <n v="565"/>
    <d v="2021-07-11T00:00:00"/>
    <s v="Trescony"/>
    <s v="Robyn Fowler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anine Tan"/>
    <m/>
  </r>
  <r>
    <n v="541"/>
    <n v="172"/>
    <d v="2021-07-11T00:00:00"/>
    <s v="Trescony"/>
    <s v="Gabriella Pardee"/>
    <s v="Netting"/>
    <x v="0"/>
    <s v="OtherBee"/>
    <x v="0"/>
    <s v="Eucerini"/>
    <s v="Melissodes"/>
    <s v="sp_C"/>
    <x v="33"/>
    <s v="female"/>
    <s v="sunflower"/>
    <s v="ornamental"/>
    <s v="Asteraceae"/>
    <s v="Helianthus"/>
    <s v="annuus"/>
    <s v="Helianthus annuus"/>
    <s v="Native"/>
    <s v="OrangeYellow"/>
    <x v="7"/>
    <x v="0"/>
    <x v="0"/>
    <s v="NA"/>
    <s v="Jenny Hsu"/>
    <m/>
  </r>
  <r>
    <n v="1381"/>
    <n v="2078"/>
    <d v="2021-07-09T00:00:00"/>
    <s v="Berryessa"/>
    <s v="Jenny Hsu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343"/>
    <n v="2090"/>
    <d v="2021-07-09T00:00:00"/>
    <s v="Berryessa"/>
    <s v="Jenny Hsu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1"/>
    <s v="NA"/>
    <s v="Jenny Hsu"/>
    <m/>
  </r>
  <r>
    <n v="1391"/>
    <n v="2088"/>
    <d v="2021-07-09T00:00:00"/>
    <s v="Berryessa"/>
    <s v="Gabriella Pardee"/>
    <s v="Netting"/>
    <x v="0"/>
    <s v="OtherBee"/>
    <x v="5"/>
    <s v="Osmiini"/>
    <s v="Heriades"/>
    <s v="sp_A"/>
    <x v="41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500"/>
    <n v="789"/>
    <d v="2021-07-09T00:00:00"/>
    <s v="CharlesStreet"/>
    <s v="Edith Gonzales"/>
    <s v="Netting"/>
    <x v="0"/>
    <s v="HoneyBee"/>
    <x v="0"/>
    <s v="Apini"/>
    <s v="Apis"/>
    <s v="mellifera"/>
    <x v="2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500"/>
    <n v="2347"/>
    <d v="2021-07-11T00:00:00"/>
    <s v="FarmGardenUCSC"/>
    <s v="Gabriella Pardee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484"/>
    <n v="2331"/>
    <d v="2021-07-11T00:00:00"/>
    <s v="FarmGardenUCSC"/>
    <s v="Gabriella Pardee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457"/>
    <n v="2254"/>
    <d v="2021-07-11T00:00:00"/>
    <s v="FarmGardenUCSC"/>
    <s v="Gabriella Pardee"/>
    <s v="Netting"/>
    <x v="0"/>
    <s v="BumbleBee"/>
    <x v="0"/>
    <s v="Bombini"/>
    <s v="Bombus"/>
    <s v="vosnesenskii"/>
    <x v="0"/>
    <s v="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472"/>
    <n v="2319"/>
    <d v="2021-07-11T00:00:00"/>
    <s v="FarmGardenUCSC"/>
    <s v="Gabriella Pardee"/>
    <s v="Netting"/>
    <x v="0"/>
    <s v="OtherBee"/>
    <x v="7"/>
    <s v="Colletini"/>
    <s v="Hylaeus"/>
    <s v="sp_B"/>
    <x v="18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267"/>
    <n v="39"/>
    <d v="2021-07-09T00:00:00"/>
    <s v="Guadalupe"/>
    <s v="Gabriella Pardee"/>
    <s v="Netting"/>
    <x v="0"/>
    <s v="OtherBee"/>
    <x v="7"/>
    <s v="Colletini"/>
    <s v="Hylaeus"/>
    <s v="sp_D"/>
    <x v="42"/>
    <s v="male"/>
    <s v="calendula"/>
    <s v="ornamental"/>
    <s v="Asteraceae"/>
    <s v="Calendula"/>
    <s v="sp."/>
    <s v="Calendula sp. A"/>
    <s v="U"/>
    <s v="OrangeYellow"/>
    <x v="7"/>
    <x v="0"/>
    <x v="0"/>
    <s v="NA"/>
    <s v="Robyn Fowler"/>
    <s v="2 pollinators 1 bag (2/2)"/>
  </r>
  <r>
    <n v="266"/>
    <n v="38"/>
    <d v="2021-07-09T00:00:00"/>
    <s v="Guadalupe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NA"/>
    <s v="Robyn Fowler"/>
    <s v="2 pollinators 1 bag (1/2)"/>
  </r>
  <r>
    <n v="104"/>
    <n v="111"/>
    <d v="2021-07-09T00:00:00"/>
    <s v="Guadalupe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NA"/>
    <s v="Edith Gonzales"/>
    <m/>
  </r>
  <r>
    <n v="1227"/>
    <n v="1824"/>
    <d v="2021-07-10T00:00:00"/>
    <s v="LaColina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Pollen"/>
    <s v="Jenny Hsu"/>
    <m/>
  </r>
  <r>
    <n v="1032"/>
    <n v="1436"/>
    <d v="2021-07-10T00:00:00"/>
    <s v="LagunaSeca"/>
    <s v="Jenny Hsu"/>
    <s v="Netting"/>
    <x v="0"/>
    <s v="OtherBee"/>
    <x v="0"/>
    <s v="Ceratinini"/>
    <s v="Ceratina"/>
    <s v="acantha"/>
    <x v="3"/>
    <s v="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bees (1444+1445+1446)"/>
  </r>
  <r>
    <n v="1036"/>
    <n v="1440"/>
    <d v="2021-07-10T00:00:00"/>
    <s v="LagunaSeca"/>
    <s v="Gabriella Pardee"/>
    <s v="Netting"/>
    <x v="0"/>
    <s v="OtherBee"/>
    <x v="0"/>
    <s v="Ceratinini"/>
    <s v="Ceratina"/>
    <s v="acantha"/>
    <x v="3"/>
    <s v="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poll (1448+1449+1450)"/>
  </r>
  <r>
    <n v="1066"/>
    <n v="250"/>
    <d v="2021-07-10T00:00:00"/>
    <s v="LagunaSeca"/>
    <s v="Gabriella Pardee"/>
    <s v="Netting"/>
    <x v="0"/>
    <s v="OtherBee"/>
    <x v="0"/>
    <s v="Ceratinini"/>
    <s v="Ceratina"/>
    <s v="nanula"/>
    <x v="9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041"/>
    <n v="1445"/>
    <d v="2021-07-10T00:00:00"/>
    <s v="LagunaSeca"/>
    <s v="Jenny Hsu"/>
    <s v="Netting"/>
    <x v="0"/>
    <s v="OtherBee"/>
    <x v="0"/>
    <s v="Ceratinini"/>
    <s v="Ceratina"/>
    <s v="nanula"/>
    <x v="9"/>
    <s v="female"/>
    <s v="calendula"/>
    <s v="ornamental"/>
    <s v="Asteraceae"/>
    <s v="Calendula"/>
    <s v="sp."/>
    <s v="Calendula sp. A"/>
    <s v="U"/>
    <s v="OrangeYellow"/>
    <x v="7"/>
    <x v="0"/>
    <x v="1"/>
    <s v="NA"/>
    <s v="Jenny Hsu"/>
    <m/>
  </r>
  <r>
    <n v="1034"/>
    <n v="1438"/>
    <d v="2021-07-10T00:00:00"/>
    <s v="LagunaSeca"/>
    <s v="Gabriella Pardee"/>
    <s v="Netting"/>
    <x v="0"/>
    <s v="OtherBee"/>
    <x v="7"/>
    <s v="Colletini"/>
    <s v="Hylaeus"/>
    <s v="sp_C"/>
    <x v="43"/>
    <s v="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poll (1448+1449+1450)"/>
  </r>
  <r>
    <n v="1035"/>
    <n v="1439"/>
    <d v="2021-07-10T00:00:00"/>
    <s v="LagunaSeca"/>
    <s v="Gabriella Pardee"/>
    <s v="Netting"/>
    <x v="0"/>
    <s v="OtherBee"/>
    <x v="7"/>
    <s v="Colletini"/>
    <s v="Hylaeus"/>
    <s v="sp_C"/>
    <x v="43"/>
    <s v="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poll (1448+1449+1450)"/>
  </r>
  <r>
    <n v="1097"/>
    <n v="1197"/>
    <d v="2021-07-10T00:00:00"/>
    <s v="LagunaSeca"/>
    <s v="Gabriella Pardee"/>
    <s v="Netting"/>
    <x v="0"/>
    <s v="OtherBee"/>
    <x v="7"/>
    <s v="Colletini"/>
    <s v="Hylaeus"/>
    <s v="sp_C"/>
    <x v="43"/>
    <s v="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031"/>
    <n v="1435"/>
    <d v="2021-07-10T00:00:00"/>
    <s v="LagunaSeca"/>
    <s v="Jenny Hsu"/>
    <s v="Netting"/>
    <x v="0"/>
    <s v="OtherBee"/>
    <x v="7"/>
    <s v="Colletini"/>
    <s v="Hylaeus"/>
    <s v="sp_D"/>
    <x v="42"/>
    <s v="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bees (1444+1445+1446)"/>
  </r>
  <r>
    <n v="1070"/>
    <n v="968"/>
    <d v="2021-07-10T00:00:00"/>
    <s v="LagunaSeca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s v="2 poll (968+969)"/>
  </r>
  <r>
    <n v="1071"/>
    <n v="969"/>
    <d v="2021-07-10T00:00:00"/>
    <s v="LagunaSeca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s v="2 poll (968+969)"/>
  </r>
  <r>
    <n v="1030"/>
    <n v="1434"/>
    <d v="2021-07-10T00:00:00"/>
    <s v="LagunaSeca"/>
    <s v="Jenny Hsu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1"/>
    <s v="NA"/>
    <s v="Jenny Hsu"/>
    <s v="3 bees (1444+1445+1446)"/>
  </r>
  <r>
    <n v="1094"/>
    <n v="1194"/>
    <d v="2021-07-10T00:00:00"/>
    <s v="LagunaSeca"/>
    <s v="Gabriella Pardee"/>
    <s v="Netting"/>
    <x v="0"/>
    <s v="SweatBee"/>
    <x v="1"/>
    <s v="Halictini"/>
    <s v="Halictus"/>
    <s v="ligatus"/>
    <x v="32"/>
    <s v="female"/>
    <s v="calendula"/>
    <s v="ornamental"/>
    <s v="Asteraceae"/>
    <s v="Calendula"/>
    <s v="sp."/>
    <s v="Calendula sp. A"/>
    <s v="U"/>
    <s v="OrangeYellow"/>
    <x v="7"/>
    <x v="0"/>
    <x v="0"/>
    <s v="Pollen"/>
    <s v="Jenny Hsu"/>
    <m/>
  </r>
  <r>
    <n v="1022"/>
    <n v="836"/>
    <d v="2021-07-08T00:00:00"/>
    <s v="MEarth"/>
    <s v="Stacy Philpott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015"/>
    <n v="1371"/>
    <d v="2021-07-08T00:00:00"/>
    <s v="MEarth"/>
    <s v="Stacy Philpott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317"/>
    <n v="2014"/>
    <d v="2021-07-08T00:00:00"/>
    <s v="MIIS"/>
    <s v="Edith Gonzales"/>
    <s v="Netting"/>
    <x v="0"/>
    <s v="OtherBee"/>
    <x v="0"/>
    <s v="Ceratinini"/>
    <s v="Ceratina"/>
    <s v="acantha"/>
    <x v="3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286"/>
    <n v="1933"/>
    <d v="2021-07-08T00:00:00"/>
    <s v="MIIS"/>
    <s v="Jenny Hsu"/>
    <s v="Netting"/>
    <x v="0"/>
    <s v="SweatBee"/>
    <x v="1"/>
    <s v="Halictini"/>
    <s v="Agapostemon"/>
    <s v="texanus"/>
    <x v="44"/>
    <m/>
    <s v="calendula"/>
    <s v="ornamental"/>
    <s v="Asteraceae"/>
    <s v="Calendula"/>
    <s v="sp."/>
    <s v="Calendula sp. A"/>
    <s v="U"/>
    <s v="OrangeYellow"/>
    <x v="7"/>
    <x v="0"/>
    <x v="1"/>
    <s v="NA"/>
    <s v="Jenny Hsu"/>
    <m/>
  </r>
  <r>
    <n v="1295"/>
    <n v="1992"/>
    <d v="2021-07-08T00:00:00"/>
    <s v="MIIS"/>
    <s v="Stacy Philpott"/>
    <s v="Netting"/>
    <x v="0"/>
    <s v="SweatBee"/>
    <x v="1"/>
    <s v="Halictini"/>
    <s v="Agapostemon"/>
    <s v="texanus"/>
    <x v="44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329"/>
    <n v="2412"/>
    <d v="2021-07-08T00:00:00"/>
    <s v="MIIS"/>
    <s v="Gabriella Pardee"/>
    <s v="Netting"/>
    <x v="0"/>
    <s v="SweatBee"/>
    <x v="1"/>
    <s v="Halictini"/>
    <s v="Halictus"/>
    <s v="tripartitus"/>
    <x v="4"/>
    <s v="female"/>
    <s v="calendula"/>
    <s v="ornamental"/>
    <s v="Asteraceae"/>
    <s v="Calendula"/>
    <s v="sp."/>
    <s v="Calendula sp. A"/>
    <s v="U"/>
    <s v="OrangeYellow"/>
    <x v="7"/>
    <x v="0"/>
    <x v="0"/>
    <s v="Pollen"/>
    <s v="Jenny Hsu"/>
    <m/>
  </r>
  <r>
    <n v="1328"/>
    <n v="2411"/>
    <d v="2021-07-08T00:00:00"/>
    <s v="MIIS"/>
    <s v="Edith Gonzales"/>
    <s v="Netting"/>
    <x v="0"/>
    <s v="SweatBee"/>
    <x v="1"/>
    <s v="Halictini"/>
    <s v="Halictus"/>
    <s v="tripartitus"/>
    <x v="4"/>
    <s v="fe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325"/>
    <n v="2022"/>
    <d v="2021-07-08T00:00:00"/>
    <s v="MIIS"/>
    <s v="Gabriella Pardee"/>
    <s v="Netting"/>
    <x v="0"/>
    <s v="SweatBee"/>
    <x v="1"/>
    <s v="Halictini"/>
    <s v="Halictus"/>
    <s v="tripartitus"/>
    <x v="4"/>
    <s v="female"/>
    <s v="calendula"/>
    <s v="ornamental"/>
    <s v="Asteraceae"/>
    <s v="Calendula"/>
    <s v="sp."/>
    <s v="Calendula sp. A"/>
    <s v="U"/>
    <s v="OrangeYellow"/>
    <x v="7"/>
    <x v="0"/>
    <x v="0"/>
    <s v="Pollen"/>
    <s v="Jenny Hsu"/>
    <m/>
  </r>
  <r>
    <n v="1289"/>
    <n v="1936"/>
    <d v="2021-07-08T00:00:00"/>
    <s v="MIIS"/>
    <s v="Jenny Hsu"/>
    <s v="Netting"/>
    <x v="0"/>
    <s v="SweatBee"/>
    <x v="1"/>
    <s v="Halictini"/>
    <s v="Halictus"/>
    <s v="tripartitus"/>
    <x v="4"/>
    <s v="female"/>
    <s v="calendula"/>
    <s v="ornamental"/>
    <s v="Asteraceae"/>
    <s v="Calendula"/>
    <s v="sp."/>
    <s v="Calendula sp. A"/>
    <s v="U"/>
    <s v="OrangeYellow"/>
    <x v="7"/>
    <x v="0"/>
    <x v="1"/>
    <s v="NA"/>
    <s v="Jenny Hsu"/>
    <m/>
  </r>
  <r>
    <n v="1310"/>
    <n v="2007"/>
    <d v="2021-07-08T00:00:00"/>
    <s v="MIIS"/>
    <s v="Jenny Hsu"/>
    <s v="Netting"/>
    <x v="0"/>
    <s v="SweatBee"/>
    <x v="1"/>
    <s v="Halictini"/>
    <s v="Lasioglossum"/>
    <s v="sp_F"/>
    <x v="22"/>
    <s v="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760"/>
    <n v="1241"/>
    <d v="2021-07-08T00:00:00"/>
    <s v="Natividad"/>
    <s v="Gabriella Pardee"/>
    <s v="Netting"/>
    <x v="1"/>
    <s v="Hoverfly"/>
    <x v="2"/>
    <s v="Syrphini"/>
    <s v="Sphaerophoria"/>
    <s v="sulphuripes"/>
    <x v="40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745"/>
    <n v="1226"/>
    <d v="2021-07-08T00:00:00"/>
    <s v="Natividad"/>
    <s v="Gabriella Pardee"/>
    <s v="Netting"/>
    <x v="0"/>
    <s v="OtherBee"/>
    <x v="0"/>
    <s v="Ceratinini"/>
    <s v="Ceratina"/>
    <s v="nanula"/>
    <x v="9"/>
    <s v="female"/>
    <s v="calendula"/>
    <s v="ornamental"/>
    <s v="Asteraceae"/>
    <s v="Calendula"/>
    <s v="sp."/>
    <s v="Calendula sp. A"/>
    <s v="U"/>
    <s v="OrangeYellow"/>
    <x v="7"/>
    <x v="0"/>
    <x v="0"/>
    <s v="Pollen"/>
    <s v="Jenny Hsu"/>
    <m/>
  </r>
  <r>
    <n v="1164"/>
    <n v="1661"/>
    <d v="2021-07-09T00:00:00"/>
    <s v="Prusch"/>
    <s v="Edith Gonzales"/>
    <s v="Netting"/>
    <x v="0"/>
    <s v="OtherBee"/>
    <x v="0"/>
    <s v="Eucerini"/>
    <s v="Melissodes"/>
    <s v="sp_C"/>
    <x v="33"/>
    <s v="female"/>
    <s v="calendula"/>
    <s v="ornamental"/>
    <s v="Asteraceae"/>
    <s v="Calendula"/>
    <s v="sp."/>
    <s v="Calendula sp. A"/>
    <s v="U"/>
    <s v="OrangeYellow"/>
    <x v="7"/>
    <x v="0"/>
    <x v="1"/>
    <s v="NA"/>
    <s v="Jenny Hsu"/>
    <m/>
  </r>
  <r>
    <n v="1183"/>
    <n v="1730"/>
    <d v="2021-07-09T00:00:00"/>
    <s v="Prusch"/>
    <s v="Jenny Hsu"/>
    <s v="Netting"/>
    <x v="0"/>
    <s v="SweatBee"/>
    <x v="1"/>
    <s v="Halictini"/>
    <s v="Halictus"/>
    <s v="ligatus"/>
    <x v="32"/>
    <s v="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178"/>
    <n v="1675"/>
    <d v="2021-07-09T00:00:00"/>
    <s v="Prusch"/>
    <s v="Gabriella Pardee"/>
    <s v="Netting"/>
    <x v="0"/>
    <s v="SweatBee"/>
    <x v="1"/>
    <s v="Halictini"/>
    <s v="Halictus"/>
    <s v="ligatus"/>
    <x v="32"/>
    <s v="male"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561"/>
    <n v="192"/>
    <d v="2021-07-11T00:00:00"/>
    <s v="Trescony"/>
    <s v="Gabriella Pardee"/>
    <s v="Netting"/>
    <x v="1"/>
    <s v="Hoverfly"/>
    <x v="2"/>
    <s v="Paragini"/>
    <s v="Paragus"/>
    <s v="haemorrhous"/>
    <x v="45"/>
    <m/>
    <s v="calendula"/>
    <s v="ornamental"/>
    <s v="Asteraceae"/>
    <s v="Calendula"/>
    <s v="sp."/>
    <s v="Calendula sp. A"/>
    <s v="U"/>
    <s v="OrangeYellow"/>
    <x v="7"/>
    <x v="0"/>
    <x v="0"/>
    <s v="NA"/>
    <s v="Jenny Hsu"/>
    <m/>
  </r>
  <r>
    <n v="194"/>
    <n v="1420"/>
    <d v="2021-07-11T00:00:00"/>
    <s v="Trescony"/>
    <s v="Gabriella Pardee"/>
    <s v="Netting"/>
    <x v="0"/>
    <s v="SweatBee"/>
    <x v="1"/>
    <s v="Halictini"/>
    <s v="Halictus"/>
    <s v="tripartitus"/>
    <x v="4"/>
    <s v="female"/>
    <s v="calendula"/>
    <s v="ornamental"/>
    <s v="Asteraceae"/>
    <s v="Calendula"/>
    <s v="sp."/>
    <s v="Calendula sp. A"/>
    <s v="U"/>
    <s v="OrangeYellow"/>
    <x v="7"/>
    <x v="0"/>
    <x v="1"/>
    <s v="Pollen"/>
    <s v="Robyn Fowler"/>
    <m/>
  </r>
  <r>
    <n v="701"/>
    <n v="418"/>
    <d v="2021-07-08T00:00:00"/>
    <s v="PacificGrove"/>
    <s v="Jenny Hsu"/>
    <s v="Netting"/>
    <x v="0"/>
    <s v="HoneyBee"/>
    <x v="0"/>
    <s v="Apini"/>
    <s v="Apis"/>
    <s v="mellifera"/>
    <x v="2"/>
    <s v="female"/>
    <s v="nasturtium"/>
    <s v="ornamental"/>
    <s v="Tropaeolaceae"/>
    <s v="Tropaeolum"/>
    <s v="majus"/>
    <s v="Tropaeolum majus"/>
    <s v="Not Native"/>
    <s v="OrangeYellowRedPink"/>
    <x v="3"/>
    <x v="1"/>
    <x v="0"/>
    <s v="NA"/>
    <s v="Jenny Hsu"/>
    <m/>
  </r>
  <r>
    <n v="690"/>
    <n v="1075"/>
    <d v="2021-07-08T00:00:00"/>
    <s v="PacificGrove"/>
    <s v="Stacy Philpott"/>
    <s v="Netting"/>
    <x v="0"/>
    <s v="SweatBee"/>
    <x v="1"/>
    <s v="Halictini"/>
    <s v="Lasioglossum"/>
    <s v="sp_C"/>
    <x v="20"/>
    <s v="female"/>
    <s v="nasturtium"/>
    <s v="ornamental"/>
    <s v="Tropaeolaceae"/>
    <s v="Tropaeolum"/>
    <s v="majus"/>
    <s v="Tropaeolum majus"/>
    <s v="Not Native"/>
    <s v="OrangeYellowRedPink"/>
    <x v="3"/>
    <x v="1"/>
    <x v="0"/>
    <s v="NA"/>
    <s v="Jenny Hsu"/>
    <m/>
  </r>
  <r>
    <n v="228"/>
    <n v="1128"/>
    <d v="2021-07-07T00:00:00"/>
    <s v="SeniorCenter"/>
    <s v="Sofie Andrade"/>
    <s v="Netting"/>
    <x v="0"/>
    <s v="HoneyBee"/>
    <x v="0"/>
    <s v="Apini"/>
    <s v="Apis"/>
    <s v="mellifera"/>
    <x v="2"/>
    <s v="female"/>
    <s v="nasturtium"/>
    <s v="ornamental"/>
    <s v="Tropaeolaceae"/>
    <s v="Tropaeolum"/>
    <s v="majus"/>
    <s v="Tropaeolum majus"/>
    <s v="Not Native"/>
    <s v="OrangeYellowRedPink"/>
    <x v="3"/>
    <x v="1"/>
    <x v="0"/>
    <s v="NA"/>
    <s v="Robyn Fowler"/>
    <m/>
  </r>
  <r>
    <n v="341"/>
    <n v="347"/>
    <d v="2021-07-08T00:00:00"/>
    <s v="Salinas"/>
    <s v="Edith Gonzales"/>
    <s v="Netting"/>
    <x v="1"/>
    <s v="OtherFly"/>
    <x v="8"/>
    <m/>
    <s v="anthomyid"/>
    <s v="sp_A"/>
    <x v="24"/>
    <m/>
    <s v="swiss chard"/>
    <s v="crop"/>
    <s v="Amaranthaceae"/>
    <s v="Beta"/>
    <s v="vulgaris"/>
    <s v="Beta vulgaris"/>
    <s v="Not Native"/>
    <s v="Pale Green"/>
    <x v="4"/>
    <x v="3"/>
    <x v="0"/>
    <s v="NA"/>
    <s v="Robyn Fowler"/>
    <s v="2 pollinators 1 bag (2/2)"/>
  </r>
  <r>
    <n v="340"/>
    <n v="346"/>
    <d v="2021-07-08T00:00:00"/>
    <s v="Salinas"/>
    <s v="Edith Gonzales"/>
    <s v="Netting"/>
    <x v="1"/>
    <s v="OtherFly"/>
    <x v="10"/>
    <m/>
    <s v="muscid"/>
    <s v="sp_B"/>
    <x v="27"/>
    <m/>
    <s v="swiss chard"/>
    <s v="crop"/>
    <s v="Amaranthaceae"/>
    <s v="Beta"/>
    <s v="vulgaris"/>
    <s v="Beta vulgaris"/>
    <s v="Not Native"/>
    <s v="Pale Green"/>
    <x v="4"/>
    <x v="3"/>
    <x v="0"/>
    <s v="NA"/>
    <s v="Robyn Fowler"/>
    <s v="2 pollinators 1 bag (1/2)"/>
  </r>
  <r>
    <n v="374"/>
    <n v="470"/>
    <d v="2021-07-08T00:00:00"/>
    <s v="Salinas"/>
    <s v="Stacy Philpott"/>
    <s v="Netting"/>
    <x v="1"/>
    <s v="Hoverfly"/>
    <x v="2"/>
    <s v="Milesini"/>
    <s v="Syritta"/>
    <s v="pipiens"/>
    <x v="11"/>
    <m/>
    <s v="swiss chard"/>
    <s v="crop"/>
    <s v="Amaranthaceae"/>
    <s v="Beta"/>
    <s v="vulgaris"/>
    <s v="Beta vulgaris"/>
    <s v="Not Native"/>
    <s v="Pale Green"/>
    <x v="4"/>
    <x v="3"/>
    <x v="0"/>
    <s v="NA"/>
    <s v="Robyn Fowler"/>
    <m/>
  </r>
  <r>
    <n v="884"/>
    <n v="212"/>
    <d v="2021-07-11T00:00:00"/>
    <s v="Chadwick"/>
    <s v="Robyn Fowler"/>
    <s v="Netting"/>
    <x v="0"/>
    <s v="HoneyBee"/>
    <x v="0"/>
    <s v="Apini"/>
    <s v="Apis"/>
    <s v="mellifera"/>
    <x v="2"/>
    <s v="female"/>
    <s v="Salvia Dark Dancer"/>
    <s v="ornamental"/>
    <s v="Lamiaceae"/>
    <s v="Salvia"/>
    <s v="greggii"/>
    <s v="Salvia greggii"/>
    <s v="Not Native"/>
    <s v="Pink"/>
    <x v="8"/>
    <x v="2"/>
    <x v="0"/>
    <s v="NA"/>
    <s v="Jenny Hsu"/>
    <m/>
  </r>
  <r>
    <n v="667"/>
    <n v="294"/>
    <d v="2021-07-08T00:00:00"/>
    <s v="PacificGrove"/>
    <s v="Jenny Hsu"/>
    <s v="Netting"/>
    <x v="0"/>
    <s v="BumbleBee"/>
    <x v="0"/>
    <s v="Bombini"/>
    <s v="Bombus"/>
    <s v="vosnesenskii"/>
    <x v="0"/>
    <s v="male"/>
    <s v="clarkia, elegant"/>
    <s v="ornamental"/>
    <s v="Onagraceae"/>
    <s v="Clarkia"/>
    <s v="unguiculata"/>
    <s v="Clarkia unguiculata"/>
    <s v="Native"/>
    <s v="PinkPurple"/>
    <x v="8"/>
    <x v="3"/>
    <x v="1"/>
    <s v="NA"/>
    <s v="Jenny Hsu"/>
    <m/>
  </r>
  <r>
    <n v="236"/>
    <n v="1211"/>
    <d v="2021-07-07T00:00:00"/>
    <s v="SeniorCenter"/>
    <s v="Sofie Andrade"/>
    <s v="Netting"/>
    <x v="0"/>
    <s v="HoneyBee"/>
    <x v="0"/>
    <s v="Apini"/>
    <s v="Apis"/>
    <s v="mellifera"/>
    <x v="2"/>
    <s v="female"/>
    <s v="clarkia, elegant"/>
    <s v="ornamental"/>
    <s v="Onagraceae"/>
    <s v="Clarkia"/>
    <s v="unguiculata"/>
    <s v="Clarkia unguiculata"/>
    <s v="Native"/>
    <s v="PinkPurple"/>
    <x v="8"/>
    <x v="3"/>
    <x v="0"/>
    <s v="NA"/>
    <s v="Robyn Fowler"/>
    <m/>
  </r>
  <r>
    <n v="157"/>
    <n v="1173"/>
    <d v="2021-07-11T00:00:00"/>
    <s v="Grange"/>
    <s v="Sofie Andrade"/>
    <s v="Netting"/>
    <x v="0"/>
    <s v="SweatBee"/>
    <x v="1"/>
    <s v="Halictini"/>
    <s v="Agapostemon"/>
    <s v="texanus"/>
    <x v="44"/>
    <m/>
    <s v="thistle"/>
    <s v="weed"/>
    <s v="Asteraceae"/>
    <s v="Cirsium"/>
    <s v="douglasii"/>
    <s v="Cirsium douglasii"/>
    <s v="Native"/>
    <s v="PinkPurple"/>
    <x v="8"/>
    <x v="1"/>
    <x v="1"/>
    <s v="NA"/>
    <s v="Robyn Fowler"/>
    <m/>
  </r>
  <r>
    <n v="797"/>
    <n v="1326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Wild Basil"/>
    <s v="crop"/>
    <s v="Lamiaceae"/>
    <s v="Clinopodum"/>
    <s v="vulgare"/>
    <s v="Clinopodum vulgare"/>
    <s v="Not Native"/>
    <s v="PinkPurple"/>
    <x v="8"/>
    <x v="2"/>
    <x v="0"/>
    <s v="NA"/>
    <s v="Jenny Hsu"/>
    <m/>
  </r>
  <r>
    <n v="1385"/>
    <n v="2082"/>
    <d v="2021-07-09T00:00:00"/>
    <s v="Berryessa"/>
    <s v="Robyn Fowler"/>
    <s v="Netting"/>
    <x v="0"/>
    <s v="HoneyBee"/>
    <x v="0"/>
    <s v="Apini"/>
    <s v="Apis"/>
    <s v="mellifera"/>
    <x v="2"/>
    <s v="female"/>
    <s v="Hollyhock"/>
    <s v="ornamental"/>
    <s v="Malvaceae"/>
    <s v="Alcea"/>
    <s v="rosea"/>
    <s v="Alcea rosea"/>
    <s v="Not Native"/>
    <s v="PinkPurpleRedWhiteYellow"/>
    <x v="1"/>
    <x v="0"/>
    <x v="0"/>
    <s v="NA"/>
    <s v="Jenny Hsu"/>
    <m/>
  </r>
  <r>
    <n v="1386"/>
    <n v="2083"/>
    <d v="2021-07-09T00:00:00"/>
    <s v="Berryessa"/>
    <s v="Jenny Hsu"/>
    <s v="Netting"/>
    <x v="0"/>
    <s v="CarpenterBee"/>
    <x v="0"/>
    <s v="Xylocopini"/>
    <s v="Xylocopa"/>
    <s v="sonorina"/>
    <x v="46"/>
    <s v="female"/>
    <s v="Hollyhock"/>
    <s v="ornamental"/>
    <s v="Malvaceae"/>
    <s v="Alcea"/>
    <s v="rosea"/>
    <s v="Alcea rosea"/>
    <s v="Not Native"/>
    <s v="PinkPurpleRedWhiteYellow"/>
    <x v="1"/>
    <x v="0"/>
    <x v="0"/>
    <s v="NA"/>
    <s v="Jenny Hsu"/>
    <m/>
  </r>
  <r>
    <n v="1365"/>
    <n v="2062"/>
    <d v="2021-07-09T00:00:00"/>
    <s v="Berryessa"/>
    <s v="Jenny Hsu"/>
    <s v="Netting"/>
    <x v="0"/>
    <s v="CarpenterBee"/>
    <x v="0"/>
    <s v="Xylocopini"/>
    <s v="Xylocopa"/>
    <s v="sonorina"/>
    <x v="46"/>
    <s v="female"/>
    <s v="Hollyhock"/>
    <s v="ornamental"/>
    <s v="Malvaceae"/>
    <s v="Alcea"/>
    <s v="rosea"/>
    <s v="Alcea rosea"/>
    <s v="Not Native"/>
    <s v="PinkPurpleRedWhiteYellow"/>
    <x v="1"/>
    <x v="0"/>
    <x v="0"/>
    <s v="NA"/>
    <s v="Jenny Hsu"/>
    <m/>
  </r>
  <r>
    <n v="162"/>
    <n v="1178"/>
    <d v="2021-07-11T00:00:00"/>
    <s v="Grange"/>
    <s v="Gabriella Pardee"/>
    <s v="Netting"/>
    <x v="0"/>
    <s v="HoneyBee"/>
    <x v="0"/>
    <s v="Apini"/>
    <s v="Apis"/>
    <s v="mellifera"/>
    <x v="2"/>
    <s v="female"/>
    <s v="pussy paw"/>
    <s v="weed"/>
    <s v="Montiaceae"/>
    <s v="Cistanthe"/>
    <s v="monandrum"/>
    <s v="Cistanthe monandrum"/>
    <s v="Native"/>
    <s v="PinkRedWhite"/>
    <x v="8"/>
    <x v="3"/>
    <x v="0"/>
    <s v="Pollen"/>
    <s v="Robyn Fowler"/>
    <s v="2 pollinators 1 bag"/>
  </r>
  <r>
    <n v="533"/>
    <n v="74"/>
    <d v="2021-07-11T00:00:00"/>
    <s v="Grange"/>
    <s v="Gabriella Pardee"/>
    <s v="Netting"/>
    <x v="0"/>
    <s v="HoneyBee"/>
    <x v="0"/>
    <s v="Apini"/>
    <s v="Apis"/>
    <s v="mellifera"/>
    <x v="2"/>
    <s v="female"/>
    <s v="pussy paw"/>
    <s v="weed"/>
    <s v="Montiaceae"/>
    <s v="Cistanthe"/>
    <s v="monandrum"/>
    <s v="Cistanthe monandrum"/>
    <s v="Native"/>
    <s v="PinkRedWhite"/>
    <x v="8"/>
    <x v="3"/>
    <x v="0"/>
    <s v="NA"/>
    <s v="Jenny Hsu"/>
    <m/>
  </r>
  <r>
    <n v="163"/>
    <n v="1179"/>
    <d v="2021-07-11T00:00:00"/>
    <s v="Grange"/>
    <s v="Gabriella Pardee"/>
    <s v="Netting"/>
    <x v="0"/>
    <s v="SweatBee"/>
    <x v="1"/>
    <s v="Halictini"/>
    <s v="Halictus"/>
    <s v="tripartitus"/>
    <x v="4"/>
    <s v="female"/>
    <s v="pussy paw"/>
    <s v="weed"/>
    <s v="Montiaceae"/>
    <s v="Cistanthe"/>
    <s v="monandrum"/>
    <s v="Cistanthe monandrum"/>
    <s v="Native"/>
    <s v="PinkRedWhite"/>
    <x v="8"/>
    <x v="3"/>
    <x v="0"/>
    <s v="Pollen"/>
    <s v="Robyn Fowler"/>
    <s v="2 pollinators 1 bag"/>
  </r>
  <r>
    <n v="180"/>
    <n v="1336"/>
    <d v="2021-07-11T00:00:00"/>
    <s v="Grange"/>
    <s v="Gabriella Pardee"/>
    <s v="Netting"/>
    <x v="0"/>
    <s v="SweatBee"/>
    <x v="1"/>
    <s v="Halictini"/>
    <s v="Lasioglossum"/>
    <s v="sp_B"/>
    <x v="47"/>
    <s v="female"/>
    <s v="pussy paw"/>
    <s v="weed"/>
    <s v="Montiaceae"/>
    <s v="Cistanthe"/>
    <s v="monandrum"/>
    <s v="Cistanthe monandrum"/>
    <s v="Native"/>
    <s v="PinkRedWhite"/>
    <x v="8"/>
    <x v="3"/>
    <x v="0"/>
    <s v="Pollen"/>
    <s v="Robyn Fowler"/>
    <m/>
  </r>
  <r>
    <n v="1350"/>
    <n v="2097"/>
    <d v="2021-07-09T00:00:00"/>
    <s v="Berryessa"/>
    <s v="Gabriella Pardee"/>
    <s v="Netting"/>
    <x v="0"/>
    <s v="OtherBee"/>
    <x v="7"/>
    <s v="Colletini"/>
    <s v="Hylaeus"/>
    <s v="sp_B"/>
    <x v="1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374"/>
    <n v="2071"/>
    <d v="2021-07-09T00:00:00"/>
    <s v="Berryessa"/>
    <s v="Sofie Andrad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342"/>
    <n v="2429"/>
    <d v="2021-07-09T00:00:00"/>
    <s v="Berryessa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Jenny Hsu"/>
    <m/>
  </r>
  <r>
    <n v="145"/>
    <n v="1091"/>
    <d v="2021-07-09T00:00:00"/>
    <s v="CharlesStreet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Robyn Fowler"/>
    <m/>
  </r>
  <r>
    <n v="1764"/>
    <n v="1482"/>
    <d v="2021-07-10T00:00:00"/>
    <s v="CoyoteCreek"/>
    <s v="Gabriella Pardee"/>
    <s v="Netting"/>
    <x v="1"/>
    <s v="BeeFly"/>
    <x v="15"/>
    <s v="Villini"/>
    <s v="Hemipenthes"/>
    <s v="sp_A"/>
    <x v="48"/>
    <s v="female"/>
    <s v="bindweed"/>
    <s v="weed"/>
    <s v="Convolvulaceae"/>
    <s v="Convolvulus"/>
    <s v="arvensis"/>
    <s v="Convolvulus arvensis"/>
    <s v="Not Native"/>
    <s v="PinkWhite"/>
    <x v="9"/>
    <x v="1"/>
    <x v="0"/>
    <s v="Nectar"/>
    <s v="Janine Tan"/>
    <m/>
  </r>
  <r>
    <n v="1784"/>
    <n v="1502"/>
    <d v="2021-07-10T00:00:00"/>
    <s v="CoyoteCreek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Pollen"/>
    <s v="Janine Tan"/>
    <m/>
  </r>
  <r>
    <n v="1783"/>
    <n v="1501"/>
    <d v="2021-07-10T00:00:00"/>
    <s v="CoyoteCreek"/>
    <s v="Stacy Philpott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anine Tan"/>
    <m/>
  </r>
  <r>
    <n v="1432"/>
    <n v="2179"/>
    <d v="2021-07-10T00:00:00"/>
    <s v="CoyoteCreek"/>
    <s v="Gabriella Pardee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663"/>
    <n v="434"/>
    <d v="2021-07-11T00:00:00"/>
    <s v="Grange"/>
    <s v="Jenny Hsu"/>
    <s v="Netting"/>
    <x v="1"/>
    <s v="Hoverfly"/>
    <x v="2"/>
    <s v="Syrphini"/>
    <s v="Allograpta"/>
    <s v="obliqua"/>
    <x v="5"/>
    <m/>
    <s v="bindweed"/>
    <s v="weed"/>
    <s v="Convolvulaceae"/>
    <s v="Convolvulus"/>
    <s v="arvensis"/>
    <s v="Convolvulus arvensis"/>
    <s v="Not Native"/>
    <s v="PinkWhite"/>
    <x v="9"/>
    <x v="1"/>
    <x v="0"/>
    <s v="NA"/>
    <s v="Janine Tan"/>
    <m/>
  </r>
  <r>
    <n v="1585"/>
    <n v="328"/>
    <d v="2021-07-11T00:00:00"/>
    <s v="Grange"/>
    <s v="Robyn Fowler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Sofie Andrade"/>
    <m/>
  </r>
  <r>
    <n v="1584"/>
    <n v="327"/>
    <d v="2021-07-11T00:00:00"/>
    <s v="Grange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Pollen"/>
    <s v="Sofie Andrade"/>
    <m/>
  </r>
  <r>
    <n v="1578"/>
    <n v="437"/>
    <d v="2021-07-11T00:00:00"/>
    <s v="Grange"/>
    <s v="Jenny Hsu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Sofie Andrade"/>
    <m/>
  </r>
  <r>
    <n v="537"/>
    <n v="78"/>
    <d v="2021-07-11T00:00:00"/>
    <s v="Grang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83"/>
    <n v="1339"/>
    <d v="2021-07-11T00:00:00"/>
    <s v="Grang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Pollen"/>
    <s v="Robyn Fowler"/>
    <m/>
  </r>
  <r>
    <n v="538"/>
    <n v="79"/>
    <d v="2021-07-11T00:00:00"/>
    <s v="Grang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665"/>
    <n v="436"/>
    <d v="2021-07-11T00:00:00"/>
    <s v="Grange"/>
    <s v="Gabriella Pardee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anine Tan"/>
    <m/>
  </r>
  <r>
    <n v="529"/>
    <n v="69"/>
    <d v="2021-07-11T00:00:00"/>
    <s v="Grange"/>
    <s v="Sofie Andrade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539"/>
    <n v="170"/>
    <d v="2021-07-11T00:00:00"/>
    <s v="Grange"/>
    <s v="Jenny Hsu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536"/>
    <n v="77"/>
    <d v="2021-07-11T00:00:00"/>
    <s v="Grange"/>
    <s v="Gabriella Pardee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77"/>
    <n v="1263"/>
    <d v="2021-07-11T00:00:00"/>
    <s v="Grange"/>
    <s v="Sofie Andrade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Robyn Fowler"/>
    <m/>
  </r>
  <r>
    <n v="156"/>
    <n v="1172"/>
    <d v="2021-07-11T00:00:00"/>
    <s v="Grange"/>
    <s v="Gabriella Pardee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Robyn Fowler"/>
    <m/>
  </r>
  <r>
    <n v="1270"/>
    <n v="1917"/>
    <d v="2021-07-10T00:00:00"/>
    <s v="LaColina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213"/>
    <n v="1760"/>
    <d v="2021-07-10T00:00:00"/>
    <s v="LaColina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Jenny Hsu"/>
    <m/>
  </r>
  <r>
    <n v="1217"/>
    <n v="1764"/>
    <d v="2021-07-10T00:00:00"/>
    <s v="LaColina"/>
    <s v="Stacy Philpott"/>
    <s v="Netting"/>
    <x v="0"/>
    <s v="BumbleBee"/>
    <x v="0"/>
    <s v="Bombini"/>
    <s v="Bombus"/>
    <s v="vosnesenskii"/>
    <x v="0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Jenny Hsu"/>
    <m/>
  </r>
  <r>
    <n v="1230"/>
    <n v="1827"/>
    <d v="2021-07-10T00:00:00"/>
    <s v="LaColina"/>
    <s v="Gabriella Pardee"/>
    <s v="Netting"/>
    <x v="0"/>
    <s v="OtherBee"/>
    <x v="0"/>
    <s v="Ceratinini"/>
    <s v="Ceratina"/>
    <s v="acantha"/>
    <x v="3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272"/>
    <n v="1919"/>
    <d v="2021-07-10T00:00:00"/>
    <s v="LaColina"/>
    <s v="Stacy Philpott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238"/>
    <n v="1835"/>
    <d v="2021-07-10T00:00:00"/>
    <s v="LaColina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Pollen"/>
    <s v="Jenny Hsu"/>
    <m/>
  </r>
  <r>
    <n v="1224"/>
    <n v="1821"/>
    <d v="2021-07-10T00:00:00"/>
    <s v="LaColina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220"/>
    <n v="1817"/>
    <d v="2021-07-10T00:00:00"/>
    <s v="LaColina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232"/>
    <n v="1829"/>
    <d v="2021-07-10T00:00:00"/>
    <s v="LaColina"/>
    <s v="Azucena Luctaero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090"/>
    <n v="1190"/>
    <d v="2021-07-10T00:00:00"/>
    <s v="LagunaSeca"/>
    <s v="Stacy Philpott"/>
    <s v="Netting"/>
    <x v="0"/>
    <s v="OtherBee"/>
    <x v="0"/>
    <s v="Ceratinini"/>
    <s v="Ceratina"/>
    <s v="acantha"/>
    <x v="3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086"/>
    <n v="1186"/>
    <d v="2021-07-10T00:00:00"/>
    <s v="LagunaSeca"/>
    <s v="Stacy Philpott"/>
    <s v="Netting"/>
    <x v="0"/>
    <s v="OtherBee"/>
    <x v="7"/>
    <s v="Colletini"/>
    <s v="Hylaeus"/>
    <s v="sp_D"/>
    <x v="4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087"/>
    <n v="1187"/>
    <d v="2021-07-10T00:00:00"/>
    <s v="LagunaSeca"/>
    <s v="Stacy Philpott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989"/>
    <n v="713"/>
    <d v="2021-07-08T00:00:00"/>
    <s v="MEarth"/>
    <s v="Edith Gonzales"/>
    <s v="Netting"/>
    <x v="1"/>
    <s v="OtherFly"/>
    <x v="16"/>
    <m/>
    <s v="rhagionid"/>
    <s v="sp_A"/>
    <x v="49"/>
    <m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s v="(2 poll 713+714)"/>
  </r>
  <r>
    <n v="1007"/>
    <n v="1363"/>
    <d v="2021-07-08T00:00:00"/>
    <s v="MEarth"/>
    <s v="Edith Gonzales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974"/>
    <n v="1282"/>
    <d v="2021-07-08T00:00:00"/>
    <s v="MEarth"/>
    <s v="Jenny Hsu"/>
    <s v="Netting"/>
    <x v="0"/>
    <s v="SweatBee"/>
    <x v="1"/>
    <s v="Halictini"/>
    <s v="Lasioglossum"/>
    <s v="sp_A"/>
    <x v="50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Jenny Hsu"/>
    <m/>
  </r>
  <r>
    <n v="994"/>
    <n v="1350"/>
    <d v="2021-07-08T00:00:00"/>
    <s v="MEarth"/>
    <s v="Jenny Hsu"/>
    <s v="Netting"/>
    <x v="0"/>
    <s v="SweatBee"/>
    <x v="1"/>
    <s v="Halictini"/>
    <s v="Lasioglossum"/>
    <s v="sp_B"/>
    <x v="47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010"/>
    <n v="1366"/>
    <d v="2021-07-08T00:00:00"/>
    <s v="MEarth"/>
    <s v="Stacy Philpott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990"/>
    <n v="714"/>
    <d v="2021-07-08T00:00:00"/>
    <s v="MEarth"/>
    <s v="Edith Gonzales"/>
    <s v="Netting"/>
    <x v="2"/>
    <s v="Butterfly"/>
    <x v="6"/>
    <s v="Hesperiini"/>
    <s v="Hylephila"/>
    <s v="phyleus"/>
    <x v="17"/>
    <s v="M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s v="2 poll (713 + 714)"/>
  </r>
  <r>
    <n v="1150"/>
    <n v="1647"/>
    <d v="2021-07-07T00:00:00"/>
    <s v="Pajaro"/>
    <s v="Gabriella Pardee"/>
    <s v="Netting"/>
    <x v="1"/>
    <s v="Hoverfly"/>
    <x v="2"/>
    <s v="Syrphini"/>
    <s v="Eupeodes"/>
    <s v="fumipennis"/>
    <x v="51"/>
    <m/>
    <s v="bindweed"/>
    <s v="weed"/>
    <s v="Convolvulaceae"/>
    <s v="Convolvulus"/>
    <s v="arvensis"/>
    <s v="Convolvulus arvensis"/>
    <s v="Not Native"/>
    <s v="PinkWhite"/>
    <x v="9"/>
    <x v="1"/>
    <x v="0"/>
    <s v="Nectar"/>
    <s v="Jenny Hsu"/>
    <m/>
  </r>
  <r>
    <n v="1146"/>
    <n v="1643"/>
    <d v="2021-07-07T00:00:00"/>
    <s v="Pajaro"/>
    <s v="Gabriella Pardee"/>
    <s v="Netting"/>
    <x v="1"/>
    <s v="Hoverfly"/>
    <x v="2"/>
    <s v="Toxomerini"/>
    <s v="Toxomerus"/>
    <s v="marginatus"/>
    <x v="52"/>
    <m/>
    <s v="bindweed"/>
    <s v="weed"/>
    <s v="Convolvulaceae"/>
    <s v="Convolvulus"/>
    <s v="arvensis"/>
    <s v="Convolvulus arvensis"/>
    <s v="Not Native"/>
    <s v="PinkWhite"/>
    <x v="9"/>
    <x v="1"/>
    <x v="0"/>
    <s v="Nectar"/>
    <s v="Jenny Hsu"/>
    <m/>
  </r>
  <r>
    <n v="1132"/>
    <n v="1579"/>
    <d v="2021-07-07T00:00:00"/>
    <s v="Pajaro"/>
    <s v="Jenny Hsu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176"/>
    <n v="1673"/>
    <d v="2021-07-09T00:00:00"/>
    <s v="Prusch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171"/>
    <n v="1668"/>
    <d v="2021-07-09T00:00:00"/>
    <s v="Prusch"/>
    <s v="Sofie Andrade"/>
    <s v="Netting"/>
    <x v="2"/>
    <s v="Moth"/>
    <x v="9"/>
    <s v="Spilomelini"/>
    <s v="Pyrausta"/>
    <s v="californicalis"/>
    <x v="53"/>
    <s v="Unable to ID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544"/>
    <n v="175"/>
    <d v="2021-07-11T00:00:00"/>
    <s v="Trescony"/>
    <s v="Jenny Hsu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559"/>
    <n v="190"/>
    <d v="2021-07-11T00:00:00"/>
    <s v="Trescony"/>
    <s v="Gabriella Pardee"/>
    <s v="Netting"/>
    <x v="0"/>
    <s v="OtherBee"/>
    <x v="7"/>
    <s v="Colletini"/>
    <s v="Hylaeus"/>
    <s v="sp_D"/>
    <x v="4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673"/>
    <n v="446"/>
    <d v="2021-07-11T00:00:00"/>
    <s v="Trescony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Pollen"/>
    <s v="Janine Tan"/>
    <m/>
  </r>
  <r>
    <n v="548"/>
    <n v="179"/>
    <d v="2021-07-11T00:00:00"/>
    <s v="Trescony"/>
    <s v="Robyn Fowler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196"/>
    <n v="1422"/>
    <d v="2021-07-11T00:00:00"/>
    <s v="Trescony"/>
    <s v="Robyn Fowler"/>
    <s v="Netting"/>
    <x v="0"/>
    <s v="SweatBee"/>
    <x v="1"/>
    <s v="Halictini"/>
    <s v="Lasioglossum"/>
    <s v="sp_C"/>
    <x v="20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Robyn Fowler"/>
    <m/>
  </r>
  <r>
    <n v="1674"/>
    <n v="447"/>
    <d v="2021-07-11T00:00:00"/>
    <s v="Trescony"/>
    <s v="Gabriella Pardee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anine Tan"/>
    <m/>
  </r>
  <r>
    <n v="1676"/>
    <n v="449"/>
    <d v="2021-07-11T00:00:00"/>
    <s v="Trescony"/>
    <s v="Stacy Philpott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anine Tan"/>
    <m/>
  </r>
  <r>
    <n v="540"/>
    <n v="171"/>
    <d v="2021-07-11T00:00:00"/>
    <s v="Trescony"/>
    <s v="Robyn Fowler"/>
    <s v="Netting"/>
    <x v="2"/>
    <s v="Butterfly"/>
    <x v="3"/>
    <s v="Pierini"/>
    <s v="Pieris"/>
    <s v="rapae"/>
    <x v="7"/>
    <s v="F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388"/>
    <n v="484"/>
    <d v="2021-07-07T00:00:00"/>
    <s v="ValleVerde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ectar"/>
    <s v="Robyn Fowler"/>
    <m/>
  </r>
  <r>
    <n v="380"/>
    <n v="476"/>
    <d v="2021-07-07T00:00:00"/>
    <s v="ValleVerd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1"/>
    <s v="Pollen"/>
    <s v="Robyn Fowler"/>
    <m/>
  </r>
  <r>
    <n v="379"/>
    <n v="475"/>
    <d v="2021-07-07T00:00:00"/>
    <s v="ValleVerd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1"/>
    <s v="Pollen"/>
    <s v="Robyn Fowler"/>
    <m/>
  </r>
  <r>
    <n v="627"/>
    <n v="164"/>
    <d v="2021-07-07T00:00:00"/>
    <s v="ValleVerde"/>
    <s v="Jenny Hsu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626"/>
    <n v="163"/>
    <d v="2021-07-07T00:00:00"/>
    <s v="ValleVerde"/>
    <s v="Azucena Luctaero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382"/>
    <n v="478"/>
    <d v="2021-07-07T00:00:00"/>
    <s v="ValleVerde"/>
    <s v="Gabriella Pardee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1"/>
    <s v="Nectar"/>
    <s v="Robyn Fowler"/>
    <m/>
  </r>
  <r>
    <n v="647"/>
    <n v="984"/>
    <d v="2021-07-07T00:00:00"/>
    <s v="ValleVerde"/>
    <s v="Gabriella Pardee"/>
    <s v="Netting"/>
    <x v="0"/>
    <s v="SweatBee"/>
    <x v="1"/>
    <s v="Halictini"/>
    <s v="Lasioglossum"/>
    <s v="sp_F"/>
    <x v="22"/>
    <s v="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935"/>
    <n v="1111"/>
    <d v="2021-07-07T00:00:00"/>
    <s v="WVIMiJardinVerde"/>
    <s v="Gabriella Pardee"/>
    <s v="Netting"/>
    <x v="0"/>
    <s v="HoneyBee"/>
    <x v="0"/>
    <s v="Apini"/>
    <s v="Apis"/>
    <s v="mellifera"/>
    <x v="2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910"/>
    <n v="1038"/>
    <d v="2021-07-07T00:00:00"/>
    <s v="WVIMiJardinVerde"/>
    <s v="Gabriella Pardee"/>
    <s v="Netting"/>
    <x v="0"/>
    <s v="SweatBee"/>
    <x v="1"/>
    <s v="Halictini"/>
    <s v="Halictus"/>
    <s v="tripartitus"/>
    <x v="4"/>
    <s v="female"/>
    <s v="bindweed"/>
    <s v="weed"/>
    <s v="Convolvulaceae"/>
    <s v="Convolvulus"/>
    <s v="arvensis"/>
    <s v="Convolvulus arvensis"/>
    <s v="Not Native"/>
    <s v="PinkWhite"/>
    <x v="9"/>
    <x v="1"/>
    <x v="0"/>
    <s v="NA"/>
    <s v="Jenny Hsu"/>
    <m/>
  </r>
  <r>
    <n v="405"/>
    <n v="458"/>
    <d v="2021-07-07T00:00:00"/>
    <s v="WVIMiJardinVerde"/>
    <s v="Gabriella Pardee"/>
    <s v="Netting"/>
    <x v="0"/>
    <s v="SweatBee"/>
    <x v="1"/>
    <s v="Halictini"/>
    <s v="Lasioglossum"/>
    <s v="sp_G"/>
    <x v="8"/>
    <s v="female"/>
    <s v="bindweed"/>
    <s v="weed"/>
    <s v="Convolvulaceae"/>
    <s v="Convolvulus"/>
    <s v="arvensis"/>
    <s v="Convolvulus arvensis"/>
    <s v="Not Native"/>
    <s v="PinkWhite"/>
    <x v="9"/>
    <x v="1"/>
    <x v="1"/>
    <s v="NA"/>
    <s v="Robyn Fowler"/>
    <m/>
  </r>
  <r>
    <n v="856"/>
    <n v="936"/>
    <d v="2021-07-11T00:00:00"/>
    <s v="Chadwick"/>
    <s v="Robyn Fowler"/>
    <s v="Netting"/>
    <x v="0"/>
    <s v="BumbleBee"/>
    <x v="0"/>
    <s v="Bombini"/>
    <s v="Bombus"/>
    <s v="caliginosus"/>
    <x v="6"/>
    <s v="female"/>
    <s v="foxglove"/>
    <s v="ornamental"/>
    <s v="Plantaginaceae"/>
    <s v="Digitalis"/>
    <s v="sp."/>
    <s v="Digitalis sp. A"/>
    <s v="Not Native"/>
    <s v="PinkWhite"/>
    <x v="1"/>
    <x v="1"/>
    <x v="0"/>
    <s v="NA"/>
    <s v="Jenny Hsu"/>
    <m/>
  </r>
  <r>
    <n v="861"/>
    <n v="941"/>
    <d v="2021-07-11T00:00:00"/>
    <s v="Chadwick"/>
    <s v="Robyn Fowler"/>
    <s v="Netting"/>
    <x v="0"/>
    <s v="BumbleBee"/>
    <x v="0"/>
    <s v="Bombini"/>
    <s v="Bombus"/>
    <s v="vosnesenskii"/>
    <x v="0"/>
    <s v="male"/>
    <s v="foxglove"/>
    <s v="ornamental"/>
    <s v="Plantaginaceae"/>
    <s v="Digitalis"/>
    <s v="sp."/>
    <s v="Digitalis sp. A"/>
    <s v="Not Native"/>
    <s v="PinkWhite"/>
    <x v="1"/>
    <x v="1"/>
    <x v="0"/>
    <s v="NA"/>
    <s v="Jenny Hsu"/>
    <m/>
  </r>
  <r>
    <n v="875"/>
    <n v="955"/>
    <d v="2021-07-11T00:00:00"/>
    <s v="Chadwick"/>
    <s v="Jenny Hsu"/>
    <s v="Netting"/>
    <x v="0"/>
    <s v="BumbleBee"/>
    <x v="0"/>
    <s v="Bombini"/>
    <s v="Bombus"/>
    <s v="vosnesenskii"/>
    <x v="0"/>
    <s v="male"/>
    <s v="foxglove, pale pink"/>
    <s v="ornamental"/>
    <s v="Plantaginaceae"/>
    <s v="Digitalis"/>
    <s v="sp."/>
    <s v="Digitalis sp. A"/>
    <s v="Not Native"/>
    <s v="PinkWhite"/>
    <x v="1"/>
    <x v="1"/>
    <x v="0"/>
    <s v="NA"/>
    <s v="Jenny Hsu"/>
    <m/>
  </r>
  <r>
    <n v="682"/>
    <n v="1067"/>
    <d v="2021-07-08T00:00:00"/>
    <s v="PacificGrove"/>
    <s v="Gabriella Pardee"/>
    <s v="Netting"/>
    <x v="0"/>
    <s v="HoneyBee"/>
    <x v="0"/>
    <s v="Apini"/>
    <s v="Apis"/>
    <s v="mellifera"/>
    <x v="2"/>
    <s v="female"/>
    <s v="Giant Foxglove"/>
    <s v="ornamental"/>
    <s v="Plantaginaceae"/>
    <s v="Digitalis"/>
    <s v="sp."/>
    <s v="Digitalis sp. A"/>
    <s v="Not Native"/>
    <s v="PinkWhite"/>
    <x v="1"/>
    <x v="1"/>
    <x v="0"/>
    <s v="Pollen"/>
    <s v="Jenny Hsu"/>
    <m/>
  </r>
  <r>
    <n v="604"/>
    <n v="703"/>
    <d v="2021-07-07T00:00:00"/>
    <s v="Aptos"/>
    <s v="Sofie Andrade"/>
    <s v="Netting"/>
    <x v="2"/>
    <s v="Butterfly"/>
    <x v="6"/>
    <s v="Hesperiini"/>
    <s v="Hylephila"/>
    <s v="phyleus"/>
    <x v="17"/>
    <s v="F"/>
    <s v="Henbit Deadnettle"/>
    <s v="ornamental"/>
    <s v="Lamiaceae"/>
    <s v="Lamium"/>
    <s v="amplexicaule"/>
    <s v="Lamium amplexicaule"/>
    <s v="Not Native"/>
    <s v="Purple"/>
    <x v="2"/>
    <x v="2"/>
    <x v="0"/>
    <s v="NA"/>
    <s v="Jenny Hsu"/>
    <m/>
  </r>
  <r>
    <n v="848"/>
    <n v="86"/>
    <d v="2021-07-11T00:00:00"/>
    <s v="Chadwick"/>
    <s v="Gabriella Pardee"/>
    <s v="Netting"/>
    <x v="0"/>
    <s v="HoneyBee"/>
    <x v="0"/>
    <s v="Apini"/>
    <s v="Apis"/>
    <s v="mellifera"/>
    <x v="2"/>
    <s v="female"/>
    <s v="sage, limelight"/>
    <s v="ornamental"/>
    <s v="Lamiaceae"/>
    <s v="Salvia"/>
    <s v="mexicana"/>
    <s v="Salvia mexicana"/>
    <s v="Not Native"/>
    <s v="Purple"/>
    <x v="2"/>
    <x v="2"/>
    <x v="1"/>
    <s v="NA"/>
    <s v="Jenny Hsu"/>
    <m/>
  </r>
  <r>
    <n v="877"/>
    <n v="957"/>
    <d v="2021-07-11T00:00:00"/>
    <s v="Chadwick"/>
    <s v="Gabriella Pardee"/>
    <s v="Netting"/>
    <x v="0"/>
    <s v="CarpenterBee"/>
    <x v="0"/>
    <s v="Xylocopini"/>
    <s v="Xylocopa"/>
    <s v="tabaniformis"/>
    <x v="14"/>
    <s v="female"/>
    <s v="sage, limelight"/>
    <s v="ornamental"/>
    <s v="Lamiaceae"/>
    <s v="Salvia"/>
    <s v="mexicana"/>
    <s v="Salvia mexicana"/>
    <s v="Not Native"/>
    <s v="Purple"/>
    <x v="2"/>
    <x v="2"/>
    <x v="0"/>
    <s v="NA"/>
    <s v="Jenny Hsu"/>
    <m/>
  </r>
  <r>
    <n v="1057"/>
    <n v="1461"/>
    <d v="2021-07-10T00:00:00"/>
    <s v="LagunaSeca"/>
    <s v="Jenny Hsu"/>
    <s v="Netting"/>
    <x v="0"/>
    <s v="BumbleBee"/>
    <x v="0"/>
    <s v="Bombini"/>
    <s v="Bombus"/>
    <s v="vosnesenskii"/>
    <x v="0"/>
    <s v="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1052"/>
    <n v="1456"/>
    <d v="2021-07-10T00:00:00"/>
    <s v="LagunaSeca"/>
    <s v="Jenny Hsu"/>
    <s v="Netting"/>
    <x v="0"/>
    <s v="BumbleBee"/>
    <x v="0"/>
    <s v="Bombini"/>
    <s v="Bombus"/>
    <s v="vosnesenskii"/>
    <x v="0"/>
    <s v="fe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1077"/>
    <n v="1052"/>
    <d v="2021-07-10T00:00:00"/>
    <s v="LagunaSeca"/>
    <s v="Jenny Hsu"/>
    <s v="Netting"/>
    <x v="0"/>
    <s v="OtherBee"/>
    <x v="7"/>
    <s v="Colletini"/>
    <s v="Hylaeus"/>
    <s v="sp_C"/>
    <x v="43"/>
    <s v="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s v="2 poll (1051+1052)"/>
  </r>
  <r>
    <n v="1076"/>
    <n v="1051"/>
    <d v="2021-07-10T00:00:00"/>
    <s v="LagunaSeca"/>
    <s v="Jenny Hsu"/>
    <s v="Netting"/>
    <x v="0"/>
    <s v="OtherBee"/>
    <x v="7"/>
    <s v="Colletini"/>
    <s v="Hylaeus"/>
    <s v="sp_C"/>
    <x v="43"/>
    <s v="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s v="2 poll (1051+1052)"/>
  </r>
  <r>
    <n v="1091"/>
    <n v="1191"/>
    <d v="2021-07-10T00:00:00"/>
    <s v="LagunaSeca"/>
    <s v="Gabriella Pardee"/>
    <s v="Netting"/>
    <x v="0"/>
    <s v="OtherBee"/>
    <x v="7"/>
    <s v="Colletini"/>
    <s v="Hylaeus"/>
    <s v="sp_C"/>
    <x v="43"/>
    <s v="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1069"/>
    <n v="967"/>
    <d v="2021-07-10T00:00:00"/>
    <s v="LagunaSeca"/>
    <s v="Gabriella Pardee"/>
    <s v="Netting"/>
    <x v="0"/>
    <s v="OtherBee"/>
    <x v="7"/>
    <s v="Colletini"/>
    <s v="Hylaeus"/>
    <s v="sp_D"/>
    <x v="42"/>
    <s v="male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1055"/>
    <n v="1459"/>
    <d v="2021-07-10T00:00:00"/>
    <s v="LagunaSeca"/>
    <s v="Jenny Hsu"/>
    <s v="Netting"/>
    <x v="2"/>
    <s v="Butterfly"/>
    <x v="6"/>
    <s v="Hesperiini"/>
    <s v="Hylephila"/>
    <s v="phyleus"/>
    <x v="17"/>
    <s v="M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1053"/>
    <n v="1457"/>
    <d v="2021-07-10T00:00:00"/>
    <s v="LagunaSeca"/>
    <s v="Jenny Hsu"/>
    <s v="Netting"/>
    <x v="2"/>
    <s v="Butterfly"/>
    <x v="3"/>
    <s v="Pierini"/>
    <s v="Pieris"/>
    <s v="rapae"/>
    <x v="7"/>
    <s v="M"/>
    <s v="butterfly bush"/>
    <s v="ornamental"/>
    <s v="Scrophulariaceae"/>
    <s v="Buddleja"/>
    <s v="davidii"/>
    <s v="Buddleja davidii"/>
    <s v="Not Native"/>
    <s v="Purple"/>
    <x v="2"/>
    <x v="1"/>
    <x v="0"/>
    <s v="NA"/>
    <s v="Jenny Hsu"/>
    <m/>
  </r>
  <r>
    <n v="827"/>
    <n v="1404"/>
    <d v="2021-07-10T00:00:00"/>
    <s v="HomelessGardenProject"/>
    <s v="Jenny Hsu"/>
    <s v="Netting"/>
    <x v="0"/>
    <s v="HoneyBee"/>
    <x v="0"/>
    <s v="Apini"/>
    <s v="Apis"/>
    <s v="mellifera"/>
    <x v="2"/>
    <s v="female"/>
    <s v="bull thistle"/>
    <s v="weed"/>
    <s v="Asteraceae"/>
    <s v="Cirsium"/>
    <s v="vulgare"/>
    <s v="Cirsium vulgare"/>
    <s v="Not Native"/>
    <s v="Purple"/>
    <x v="2"/>
    <x v="1"/>
    <x v="0"/>
    <s v="NA"/>
    <s v="Jenny Hsu"/>
    <s v="2 poll (1403+1404)"/>
  </r>
  <r>
    <n v="787"/>
    <n v="1316"/>
    <d v="2021-07-10T00:00:00"/>
    <s v="HomelessGardenProject"/>
    <s v="Jenny Hsu"/>
    <s v="Netting"/>
    <x v="0"/>
    <s v="HoneyBee"/>
    <x v="0"/>
    <s v="Apini"/>
    <s v="Apis"/>
    <s v="mellifera"/>
    <x v="2"/>
    <s v="female"/>
    <s v="bull thistle"/>
    <s v="weed"/>
    <s v="Asteraceae"/>
    <s v="Cirsium"/>
    <s v="vulgare"/>
    <s v="Cirsium vulgare"/>
    <s v="Not Native"/>
    <s v="Purple"/>
    <x v="2"/>
    <x v="1"/>
    <x v="1"/>
    <s v="NA"/>
    <s v="Jenny Hsu"/>
    <m/>
  </r>
  <r>
    <n v="826"/>
    <n v="1403"/>
    <d v="2021-07-10T00:00:00"/>
    <s v="HomelessGardenProject"/>
    <s v="Jenny Hsu"/>
    <s v="Netting"/>
    <x v="0"/>
    <s v="BumbleBee"/>
    <x v="0"/>
    <s v="Bombini"/>
    <s v="Bombus"/>
    <s v="vosnesenskii"/>
    <x v="0"/>
    <s v="male"/>
    <s v="bull thistle"/>
    <s v="weed"/>
    <s v="Asteraceae"/>
    <s v="Cirsium"/>
    <s v="vulgare"/>
    <s v="Cirsium vulgare"/>
    <s v="Not Native"/>
    <s v="Purple"/>
    <x v="2"/>
    <x v="1"/>
    <x v="0"/>
    <s v="NA"/>
    <s v="Jenny Hsu"/>
    <s v="2 poll (1403+1404)"/>
  </r>
  <r>
    <n v="782"/>
    <n v="1311"/>
    <d v="2021-07-10T00:00:00"/>
    <s v="HomelessGardenProject"/>
    <s v="Jenny Hsu"/>
    <s v="Netting"/>
    <x v="0"/>
    <s v="BumbleBee"/>
    <x v="0"/>
    <s v="Bombini"/>
    <s v="Bombus"/>
    <s v="vosnesenskii"/>
    <x v="0"/>
    <s v="male"/>
    <s v="bull thistle"/>
    <s v="weed"/>
    <s v="Asteraceae"/>
    <s v="Cirsium"/>
    <s v="vulgare"/>
    <s v="Cirsium vulgare"/>
    <s v="Not Native"/>
    <s v="Purple"/>
    <x v="2"/>
    <x v="1"/>
    <x v="1"/>
    <s v="NA"/>
    <s v="Jenny Hsu"/>
    <m/>
  </r>
  <r>
    <n v="1700"/>
    <n v="550"/>
    <d v="2021-07-11T00:00:00"/>
    <s v="BeachFlats"/>
    <s v="Gabriella Pardee"/>
    <s v="Netting"/>
    <x v="0"/>
    <s v="SquashBee"/>
    <x v="0"/>
    <s v="Eucerini"/>
    <s v="Peponapis"/>
    <s v="pruinosa"/>
    <x v="21"/>
    <s v="male"/>
    <s v="morning glory"/>
    <s v="weed"/>
    <s v="Convolvulaceae"/>
    <s v="Ipomoea"/>
    <s v="sp."/>
    <s v="Ipomoea sp. A"/>
    <s v="Not Native"/>
    <s v="Purple"/>
    <x v="2"/>
    <x v="1"/>
    <x v="0"/>
    <s v="NA"/>
    <s v="Janine Tan"/>
    <s v="oceanside"/>
  </r>
  <r>
    <n v="1705"/>
    <n v="555"/>
    <d v="2021-07-11T00:00:00"/>
    <s v="BeachFlats"/>
    <s v="Robyn Fowler"/>
    <s v="Netting"/>
    <x v="0"/>
    <s v="SquashBee"/>
    <x v="0"/>
    <s v="Eucerini"/>
    <s v="Peponapis"/>
    <s v="pruinosa"/>
    <x v="21"/>
    <s v="male"/>
    <s v="morning glory"/>
    <s v="weed"/>
    <s v="Convolvulaceae"/>
    <s v="Ipomoea"/>
    <s v="sp."/>
    <s v="Ipomoea sp. A"/>
    <s v="Not Native"/>
    <s v="Purple"/>
    <x v="2"/>
    <x v="1"/>
    <x v="0"/>
    <s v="NA"/>
    <s v="Janine Tan"/>
    <m/>
  </r>
  <r>
    <n v="1116"/>
    <n v="1563"/>
    <d v="2021-07-07T00:00:00"/>
    <s v="Pajaro"/>
    <s v="Azucena Luctaero"/>
    <s v="Netting"/>
    <x v="0"/>
    <s v="HoneyBee"/>
    <x v="0"/>
    <s v="Apini"/>
    <s v="Apis"/>
    <s v="mellifera"/>
    <x v="2"/>
    <s v="female"/>
    <s v="morning glory"/>
    <s v="weed"/>
    <s v="Convolvulaceae"/>
    <s v="Ipomoea"/>
    <s v="sp."/>
    <s v="Ipomoea sp. A"/>
    <s v="Not Native"/>
    <s v="Purple"/>
    <x v="2"/>
    <x v="1"/>
    <x v="0"/>
    <s v="NA"/>
    <s v="Jenny Hsu"/>
    <m/>
  </r>
  <r>
    <n v="786"/>
    <n v="1315"/>
    <d v="2021-07-10T00:00:00"/>
    <s v="HomelessGardenProject"/>
    <s v="Stacy Philpott"/>
    <s v="Netting"/>
    <x v="0"/>
    <s v="HoneyBee"/>
    <x v="0"/>
    <s v="Apini"/>
    <s v="Apis"/>
    <s v="mellifera"/>
    <x v="2"/>
    <s v="female"/>
    <s v="creeping lantana"/>
    <s v="ornamental"/>
    <s v="Verbenaceae"/>
    <s v="Lantana"/>
    <s v="montevidensis"/>
    <s v="Lantana montevidensis"/>
    <s v="Not Native"/>
    <s v="Purple"/>
    <x v="2"/>
    <x v="1"/>
    <x v="1"/>
    <s v="NA"/>
    <s v="Jenny Hsu"/>
    <s v="2 poll (1314+1315)"/>
  </r>
  <r>
    <n v="785"/>
    <n v="1314"/>
    <d v="2021-07-10T00:00:00"/>
    <s v="HomelessGardenProject"/>
    <s v="Stacy Philpott"/>
    <s v="Netting"/>
    <x v="0"/>
    <s v="HoneyBee"/>
    <x v="0"/>
    <s v="Apini"/>
    <s v="Apis"/>
    <s v="mellifera"/>
    <x v="2"/>
    <s v="female"/>
    <s v="creeping lantana"/>
    <s v="ornamental"/>
    <s v="Verbenaceae"/>
    <s v="Lantana"/>
    <s v="montevidensis"/>
    <s v="Lantana montevidensis"/>
    <s v="Not Native"/>
    <s v="Purple"/>
    <x v="2"/>
    <x v="1"/>
    <x v="1"/>
    <s v="NA"/>
    <s v="Jenny Hsu"/>
    <s v="2 poll (1314+1315)"/>
  </r>
  <r>
    <n v="835"/>
    <n v="1412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creeping lantana"/>
    <s v="ornamental"/>
    <s v="Verbenaceae"/>
    <s v="Lantana"/>
    <s v="montevidensis"/>
    <s v="Lantana montevidensis"/>
    <s v="Not Native"/>
    <s v="Purple"/>
    <x v="2"/>
    <x v="1"/>
    <x v="0"/>
    <s v="NA"/>
    <s v="Jenny Hsu"/>
    <m/>
  </r>
  <r>
    <n v="778"/>
    <n v="1307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creeping lantana"/>
    <s v="ornamental"/>
    <s v="Verbenaceae"/>
    <s v="Lantana"/>
    <s v="montevidensis"/>
    <s v="Lantana montevidensis"/>
    <s v="Not Native"/>
    <s v="Purple"/>
    <x v="2"/>
    <x v="1"/>
    <x v="1"/>
    <s v="NA"/>
    <s v="Jenny Hsu"/>
    <m/>
  </r>
  <r>
    <n v="841"/>
    <n v="1418"/>
    <d v="2021-07-10T00:00:00"/>
    <s v="HomelessGardenProject"/>
    <s v="Jenny Hsu"/>
    <s v="Netting"/>
    <x v="2"/>
    <s v="Butterfly"/>
    <x v="17"/>
    <s v="Eumaeini"/>
    <s v="Strymon"/>
    <s v="melinus"/>
    <x v="54"/>
    <s v="M"/>
    <s v="creeping lantana"/>
    <s v="ornamental"/>
    <s v="Verbenaceae"/>
    <s v="Lantana"/>
    <s v="montevidensis"/>
    <s v="Lantana montevidensis"/>
    <s v="Not Native"/>
    <s v="Purple"/>
    <x v="2"/>
    <x v="1"/>
    <x v="0"/>
    <s v="NA"/>
    <s v="Jenny Hsu"/>
    <m/>
  </r>
  <r>
    <n v="1785"/>
    <n v="1503"/>
    <d v="2021-07-11T00:00:00"/>
    <s v="FarmGardenUCSC"/>
    <s v="Gabriella Pardee"/>
    <s v="Netting"/>
    <x v="0"/>
    <s v="BumbleBee"/>
    <x v="0"/>
    <s v="Bombini"/>
    <s v="Bombus"/>
    <s v="vosnesenskii"/>
    <x v="0"/>
    <s v="male"/>
    <s v="spanish lavender"/>
    <s v="ornamental"/>
    <s v="Lamiaceae"/>
    <s v="Lavendula"/>
    <s v="stoechas"/>
    <s v="Lavendula stoechas"/>
    <s v="Not Native"/>
    <s v="Purple"/>
    <x v="2"/>
    <x v="1"/>
    <x v="0"/>
    <s v="NA"/>
    <s v="Janine Tan"/>
    <s v="iNaturalist"/>
  </r>
  <r>
    <n v="1735"/>
    <n v="822"/>
    <d v="2021-07-07T00:00:00"/>
    <s v="Aptos"/>
    <s v="Azucena Luctaero"/>
    <s v="Netting"/>
    <x v="0"/>
    <s v="BumbleBee"/>
    <x v="0"/>
    <s v="Bombini"/>
    <s v="Bombus"/>
    <s v="vosnesenskii"/>
    <x v="0"/>
    <s v="female"/>
    <s v="oregano, ornamental"/>
    <s v="crop"/>
    <s v="Lamiaceae"/>
    <s v="Origanum"/>
    <s v="libanoticum"/>
    <s v="Origanum libanoticum"/>
    <s v="Not Native"/>
    <s v="Purple"/>
    <x v="2"/>
    <x v="1"/>
    <x v="0"/>
    <s v="NA"/>
    <s v="Janine Tan"/>
    <s v="bumble bee"/>
  </r>
  <r>
    <n v="277"/>
    <n v="891"/>
    <d v="2021-07-09T00:00:00"/>
    <s v="Guadalupe"/>
    <s v="Robyn Fowler"/>
    <s v="Netting"/>
    <x v="0"/>
    <s v="BumbleBee"/>
    <x v="0"/>
    <s v="Bombini"/>
    <s v="Bombus"/>
    <s v="vosnesenskii"/>
    <x v="0"/>
    <s v="female"/>
    <s v="goji berry"/>
    <s v="ornamental"/>
    <s v="Solanaceae"/>
    <s v="Lycium"/>
    <s v="barbarum"/>
    <s v="Lycium barbarum"/>
    <s v="Not Native"/>
    <s v="Purple"/>
    <x v="2"/>
    <x v="1"/>
    <x v="0"/>
    <s v="NA"/>
    <s v="Robyn Fowler"/>
    <m/>
  </r>
  <r>
    <n v="600"/>
    <n v="699"/>
    <d v="2021-07-07T00:00:00"/>
    <s v="Aptos"/>
    <s v="Gabriella Pardee"/>
    <s v="Netting"/>
    <x v="0"/>
    <s v="HoneyBee"/>
    <x v="0"/>
    <s v="Apini"/>
    <s v="Apis"/>
    <s v="mellifera"/>
    <x v="2"/>
    <s v="female"/>
    <s v="chives"/>
    <s v="crop"/>
    <s v="Allioideae"/>
    <s v="Allium"/>
    <s v="schoenoprasum"/>
    <s v="Allium schoenoprasum"/>
    <s v="U"/>
    <s v="Purple"/>
    <x v="2"/>
    <x v="1"/>
    <x v="0"/>
    <s v="NA"/>
    <s v="Jenny Hsu"/>
    <m/>
  </r>
  <r>
    <n v="1331"/>
    <n v="2414"/>
    <d v="2021-07-08T00:00:00"/>
    <s v="MIIS"/>
    <s v="Jenny Hsu"/>
    <s v="Netting"/>
    <x v="0"/>
    <s v="SweatBee"/>
    <x v="1"/>
    <s v="Halictini"/>
    <s v="Halictus"/>
    <s v="tripartitus"/>
    <x v="4"/>
    <s v="female"/>
    <s v="chives"/>
    <s v="crop"/>
    <s v="Allioideae"/>
    <s v="Allium"/>
    <s v="schoenoprasum"/>
    <s v="Allium schoenoprasum"/>
    <s v="U"/>
    <s v="Purple"/>
    <x v="2"/>
    <x v="1"/>
    <x v="0"/>
    <s v="NA"/>
    <s v="Jenny Hsu"/>
    <m/>
  </r>
  <r>
    <n v="1207"/>
    <n v="1754"/>
    <d v="2021-07-09T00:00:00"/>
    <s v="Prusch"/>
    <s v="Robyn Fowler"/>
    <s v="Netting"/>
    <x v="0"/>
    <s v="SweatBee"/>
    <x v="1"/>
    <s v="Halictini"/>
    <s v="Halictus"/>
    <s v="tripartitus"/>
    <x v="4"/>
    <s v="female"/>
    <s v="chives"/>
    <s v="crop"/>
    <s v="Allioideae"/>
    <s v="Allium"/>
    <s v="schoenoprasum"/>
    <s v="Allium schoenoprasum"/>
    <s v="U"/>
    <s v="Purple"/>
    <x v="2"/>
    <x v="1"/>
    <x v="0"/>
    <s v="NA"/>
    <s v="Jenny Hsu"/>
    <m/>
  </r>
  <r>
    <n v="821"/>
    <n v="1398"/>
    <d v="2021-07-10T00:00:00"/>
    <s v="HomelessGardenProject"/>
    <s v="Gabriella Pardee"/>
    <s v="Netting"/>
    <x v="0"/>
    <s v="BumbleBee"/>
    <x v="0"/>
    <s v="Bombini"/>
    <s v="Bombus"/>
    <s v="californicus"/>
    <x v="1"/>
    <s v="female"/>
    <s v="Nigella"/>
    <s v="ornamental"/>
    <s v="Ranunculaceae"/>
    <s v="Nigella"/>
    <s v="damascena"/>
    <s v="Nigella damascena"/>
    <s v="Not Native"/>
    <s v="PurpleBlue"/>
    <x v="0"/>
    <x v="0"/>
    <x v="0"/>
    <s v="NA"/>
    <s v="Jenny Hsu"/>
    <m/>
  </r>
  <r>
    <n v="1675"/>
    <n v="448"/>
    <d v="2021-07-11T00:00:00"/>
    <s v="Trescony"/>
    <s v="Gabriella Pardee"/>
    <s v="Netting"/>
    <x v="0"/>
    <s v="HoneyBee"/>
    <x v="0"/>
    <s v="Apini"/>
    <s v="Apis"/>
    <s v="mellifera"/>
    <x v="2"/>
    <s v="female"/>
    <s v="love-in-a-mist"/>
    <s v="ornamental"/>
    <s v="Ranunculaceae"/>
    <s v="Nigella"/>
    <s v="damascena"/>
    <s v="Nigella damascena"/>
    <s v="Not Native"/>
    <s v="PurpleBlue"/>
    <x v="0"/>
    <x v="0"/>
    <x v="0"/>
    <s v="NA"/>
    <s v="Janine Tan"/>
    <m/>
  </r>
  <r>
    <n v="870"/>
    <n v="950"/>
    <d v="2021-07-11T00:00:00"/>
    <s v="Chadwick"/>
    <s v="Jenny Hsu"/>
    <s v="Netting"/>
    <x v="0"/>
    <s v="HoneyBee"/>
    <x v="0"/>
    <s v="Apini"/>
    <s v="Apis"/>
    <s v="mellifera"/>
    <x v="2"/>
    <s v="female"/>
    <s v="comfry, common"/>
    <s v="crop"/>
    <s v="Boraginaceae"/>
    <s v="Symphytum"/>
    <s v="sp."/>
    <s v="Symphytum sp. A"/>
    <s v="Not Native"/>
    <s v="PurpleBlue"/>
    <x v="3"/>
    <x v="1"/>
    <x v="0"/>
    <s v="NA"/>
    <s v="Jenny Hsu"/>
    <m/>
  </r>
  <r>
    <n v="887"/>
    <n v="1015"/>
    <d v="2021-07-11T00:00:00"/>
    <s v="Chadwick"/>
    <s v="Robyn Fowler"/>
    <s v="Netting"/>
    <x v="0"/>
    <s v="BumbleBee"/>
    <x v="0"/>
    <s v="Bombini"/>
    <s v="Bombus"/>
    <s v="californicus"/>
    <x v="1"/>
    <s v="female"/>
    <s v="comfry, common"/>
    <s v="crop"/>
    <s v="Boraginaceae"/>
    <s v="Symphytum"/>
    <s v="sp."/>
    <s v="Symphytum sp. A"/>
    <s v="Not Native"/>
    <s v="PurpleBlue"/>
    <x v="3"/>
    <x v="1"/>
    <x v="0"/>
    <s v="NA"/>
    <s v="Jenny Hsu"/>
    <m/>
  </r>
  <r>
    <n v="878"/>
    <n v="206"/>
    <d v="2021-07-11T00:00:00"/>
    <s v="Chadwick"/>
    <s v="Gabriella Pardee"/>
    <s v="Netting"/>
    <x v="0"/>
    <s v="BumbleBee"/>
    <x v="0"/>
    <s v="Bombini"/>
    <s v="Bombus"/>
    <s v="caliginosus"/>
    <x v="6"/>
    <s v="female"/>
    <s v="comfry, common"/>
    <s v="crop"/>
    <s v="Boraginaceae"/>
    <s v="Symphytum"/>
    <s v="sp."/>
    <s v="Symphytum sp. A"/>
    <s v="Not Native"/>
    <s v="PurpleBlue"/>
    <x v="3"/>
    <x v="1"/>
    <x v="0"/>
    <s v="Nectar"/>
    <s v="Jenny Hsu"/>
    <m/>
  </r>
  <r>
    <n v="859"/>
    <n v="939"/>
    <d v="2021-07-11T00:00:00"/>
    <s v="Chadwick"/>
    <s v="Gabriella Pardee"/>
    <s v="Netting"/>
    <x v="0"/>
    <s v="BumbleBee"/>
    <x v="0"/>
    <s v="Bombini"/>
    <s v="Bombus"/>
    <s v="vosnesenskii"/>
    <x v="0"/>
    <s v="male"/>
    <s v="comfry, common"/>
    <s v="crop"/>
    <s v="Boraginaceae"/>
    <s v="Symphytum"/>
    <s v="sp."/>
    <s v="Symphytum sp. A"/>
    <s v="Not Native"/>
    <s v="PurpleBlue"/>
    <x v="3"/>
    <x v="1"/>
    <x v="0"/>
    <s v="NA"/>
    <s v="Jenny Hsu"/>
    <s v="2 poll (938+939)"/>
  </r>
  <r>
    <n v="858"/>
    <n v="938"/>
    <d v="2021-07-11T00:00:00"/>
    <s v="Chadwick"/>
    <s v="Gabriella Pardee"/>
    <s v="Netting"/>
    <x v="0"/>
    <s v="BumbleBee"/>
    <x v="0"/>
    <s v="Bombini"/>
    <s v="Bombus"/>
    <s v="vosnesenskii"/>
    <x v="0"/>
    <s v="male"/>
    <s v="comfry, common"/>
    <s v="crop"/>
    <s v="Boraginaceae"/>
    <s v="Symphytum"/>
    <s v="sp."/>
    <s v="Symphytum sp. A"/>
    <s v="Not Native"/>
    <s v="PurpleBlue"/>
    <x v="3"/>
    <x v="1"/>
    <x v="0"/>
    <s v="NA"/>
    <s v="Jenny Hsu"/>
    <s v="2 poll (938+939)"/>
  </r>
  <r>
    <n v="901"/>
    <n v="1029"/>
    <d v="2021-07-11T00:00:00"/>
    <s v="Chadwick"/>
    <s v="Gabriella Pardee"/>
    <s v="Netting"/>
    <x v="0"/>
    <s v="BumbleBee"/>
    <x v="0"/>
    <s v="Bombini"/>
    <s v="Bombus"/>
    <s v="vosnesenskii"/>
    <x v="0"/>
    <s v="male"/>
    <s v="comfry, common"/>
    <s v="crop"/>
    <s v="Boraginaceae"/>
    <s v="Symphytum"/>
    <s v="sp."/>
    <s v="Symphytum sp. A"/>
    <s v="Not Native"/>
    <s v="PurpleBlue"/>
    <x v="3"/>
    <x v="1"/>
    <x v="0"/>
    <s v="NA"/>
    <s v="Jenny Hsu"/>
    <m/>
  </r>
  <r>
    <n v="233"/>
    <n v="1133"/>
    <d v="2021-07-07T00:00:00"/>
    <s v="SeniorCenter"/>
    <s v="Jenny Hsu"/>
    <s v="Netting"/>
    <x v="0"/>
    <s v="HoneyBee"/>
    <x v="0"/>
    <s v="Apini"/>
    <s v="Apis"/>
    <s v="mellifera"/>
    <x v="2"/>
    <s v="female"/>
    <s v="red cranesbill"/>
    <s v="ornamental"/>
    <s v="Geraniaceae"/>
    <s v="Geranium"/>
    <s v="sanguineum"/>
    <s v="Geranium sanguineum"/>
    <s v="Not Native"/>
    <s v="PurplePink"/>
    <x v="8"/>
    <x v="0"/>
    <x v="0"/>
    <s v="NA"/>
    <s v="Robyn Fowler"/>
    <m/>
  </r>
  <r>
    <n v="593"/>
    <n v="692"/>
    <d v="2021-07-07T00:00:00"/>
    <s v="Aptos"/>
    <s v="Gabriella Pardee"/>
    <s v="Netting"/>
    <x v="0"/>
    <s v="HoneyBee"/>
    <x v="0"/>
    <s v="Apini"/>
    <s v="Apis"/>
    <s v="mellifera"/>
    <x v="2"/>
    <s v="female"/>
    <s v="stachys"/>
    <s v="ornamental"/>
    <s v="Lamiaceae"/>
    <s v="Stachys"/>
    <s v="byzantina"/>
    <s v="Stachys byzantina"/>
    <s v="Not Native"/>
    <s v="PurplePink"/>
    <x v="2"/>
    <x v="2"/>
    <x v="0"/>
    <s v="NA"/>
    <s v="Jenny Hsu"/>
    <m/>
  </r>
  <r>
    <n v="836"/>
    <n v="1413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stachys"/>
    <s v="ornamental"/>
    <s v="Lamiaceae"/>
    <s v="Stachys"/>
    <s v="byzantina"/>
    <s v="Stachys byzantina"/>
    <s v="Not Native"/>
    <s v="PurplePink"/>
    <x v="2"/>
    <x v="2"/>
    <x v="0"/>
    <s v="NA"/>
    <s v="Jenny Hsu"/>
    <m/>
  </r>
  <r>
    <n v="1012"/>
    <n v="1368"/>
    <d v="2021-07-08T00:00:00"/>
    <s v="MEarth"/>
    <s v="Gabriella Pardee"/>
    <s v="Netting"/>
    <x v="0"/>
    <s v="BumbleBee"/>
    <x v="0"/>
    <s v="Bombini"/>
    <s v="Bombus"/>
    <s v="vosnesenskii"/>
    <x v="0"/>
    <s v="male"/>
    <s v="stachys"/>
    <s v="ornamental"/>
    <s v="Lamiaceae"/>
    <s v="Stachys"/>
    <s v="byzantina"/>
    <s v="Stachys byzantina"/>
    <s v="Not Native"/>
    <s v="PurplePink"/>
    <x v="2"/>
    <x v="2"/>
    <x v="0"/>
    <s v="NA"/>
    <s v="Jenny Hsu"/>
    <m/>
  </r>
  <r>
    <n v="975"/>
    <n v="1283"/>
    <d v="2021-07-08T00:00:00"/>
    <s v="MEarth"/>
    <s v="Gabriella Pardee"/>
    <s v="Netting"/>
    <x v="0"/>
    <s v="BumbleBee"/>
    <x v="0"/>
    <s v="Bombini"/>
    <s v="Bombus"/>
    <s v="vosnesenskii"/>
    <x v="0"/>
    <s v="male"/>
    <s v="stachys"/>
    <s v="ornamental"/>
    <s v="Lamiaceae"/>
    <s v="Stachys"/>
    <s v="byzantina"/>
    <s v="Stachys byzantina"/>
    <s v="Not Native"/>
    <s v="PurplePink"/>
    <x v="2"/>
    <x v="2"/>
    <x v="1"/>
    <s v="Nectar"/>
    <s v="Jenny Hsu"/>
    <m/>
  </r>
  <r>
    <n v="971"/>
    <n v="1279"/>
    <d v="2021-07-08T00:00:00"/>
    <s v="MEarth"/>
    <s v="Gabriella Pardee"/>
    <s v="Netting"/>
    <x v="0"/>
    <s v="BumbleBee"/>
    <x v="0"/>
    <s v="Bombini"/>
    <s v="Bombus"/>
    <s v="vosnesenskii"/>
    <x v="0"/>
    <s v="male"/>
    <s v="stachys"/>
    <s v="ornamental"/>
    <s v="Lamiaceae"/>
    <s v="Stachys"/>
    <s v="byzantina"/>
    <s v="Stachys byzantina"/>
    <s v="Not Native"/>
    <s v="PurplePink"/>
    <x v="2"/>
    <x v="2"/>
    <x v="1"/>
    <s v="NA"/>
    <s v="Jenny Hsu"/>
    <m/>
  </r>
  <r>
    <n v="316"/>
    <n v="232"/>
    <d v="2021-07-08T00:00:00"/>
    <s v="Salinas"/>
    <s v="Gabriella Pardee"/>
    <s v="Netting"/>
    <x v="0"/>
    <s v="HoneyBee"/>
    <x v="0"/>
    <s v="Apini"/>
    <s v="Apis"/>
    <s v="mellifera"/>
    <x v="2"/>
    <s v="female"/>
    <s v="stachys"/>
    <s v="ornamental"/>
    <s v="Lamiaceae"/>
    <s v="Stachys"/>
    <s v="byzantina"/>
    <s v="Stachys byzantina"/>
    <s v="Not Native"/>
    <s v="PurplePink"/>
    <x v="2"/>
    <x v="2"/>
    <x v="0"/>
    <s v="NA"/>
    <s v="Robyn Fowler"/>
    <m/>
  </r>
  <r>
    <n v="311"/>
    <n v="227"/>
    <d v="2021-07-08T00:00:00"/>
    <s v="Salinas"/>
    <s v="Gabriella Pardee"/>
    <s v="Netting"/>
    <x v="0"/>
    <s v="HoneyBee"/>
    <x v="0"/>
    <s v="Apini"/>
    <s v="Apis"/>
    <s v="mellifera"/>
    <x v="2"/>
    <s v="female"/>
    <s v="stachys"/>
    <s v="ornamental"/>
    <s v="Lamiaceae"/>
    <s v="Stachys"/>
    <s v="byzantina"/>
    <s v="Stachys byzantina"/>
    <s v="Not Native"/>
    <s v="PurplePink"/>
    <x v="2"/>
    <x v="2"/>
    <x v="0"/>
    <s v="NA"/>
    <s v="Robyn Fowler"/>
    <m/>
  </r>
  <r>
    <n v="1738"/>
    <n v="825"/>
    <d v="2021-07-07T00:00:00"/>
    <s v="Aptos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s v="bee"/>
  </r>
  <r>
    <n v="1514"/>
    <n v="26"/>
    <d v="2021-07-07T00:00:00"/>
    <s v="Aptos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ectar"/>
    <s v="Sofie Andrade"/>
    <m/>
  </r>
  <r>
    <n v="1513"/>
    <n v="16"/>
    <d v="2021-07-07T00:00:00"/>
    <s v="Aptos"/>
    <s v="Gabriella Pardee"/>
    <s v="Netting"/>
    <x v="0"/>
    <s v="BumbleBee"/>
    <x v="0"/>
    <s v="Bombini"/>
    <s v="Bombus"/>
    <s v="caliginosus"/>
    <x v="6"/>
    <s v="female"/>
    <s v="lavender"/>
    <s v="ornamental"/>
    <s v="Lamiaceae"/>
    <s v="Lavendula"/>
    <s v="sp."/>
    <s v="Lavendula sp. A"/>
    <s v="Not Native"/>
    <s v="PurplePink"/>
    <x v="2"/>
    <x v="1"/>
    <x v="1"/>
    <s v="Nectar"/>
    <s v="Sofie Andrade"/>
    <m/>
  </r>
  <r>
    <n v="1742"/>
    <n v="829"/>
    <d v="2021-07-07T00:00:00"/>
    <s v="Aptos"/>
    <s v="Azucena Luctaero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s v="bumble bee"/>
  </r>
  <r>
    <n v="1737"/>
    <n v="824"/>
    <d v="2021-07-07T00:00:00"/>
    <s v="Aptos"/>
    <s v="Azucena Luctaero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s v="bumble bee"/>
  </r>
  <r>
    <n v="599"/>
    <n v="698"/>
    <d v="2021-07-07T00:00:00"/>
    <s v="Aptos"/>
    <s v="Sofie Andrad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246"/>
    <n v="1297"/>
    <d v="2021-07-07T00:00:00"/>
    <s v="Aptos"/>
    <s v="Azucena Luctaero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903"/>
    <n v="1031"/>
    <d v="2021-07-11T00:00:00"/>
    <s v="Chadwick"/>
    <s v="Sofie Andrad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886"/>
    <n v="1014"/>
    <d v="2021-07-11T00:00:00"/>
    <s v="Chadwick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883"/>
    <n v="211"/>
    <d v="2021-07-11T00:00:00"/>
    <s v="Chadwick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882"/>
    <n v="210"/>
    <d v="2021-07-11T00:00:00"/>
    <s v="Chadwick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868"/>
    <n v="948"/>
    <d v="2021-07-11T00:00:00"/>
    <s v="Chadwick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853"/>
    <n v="933"/>
    <d v="2021-07-11T00:00:00"/>
    <s v="Chadwick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851"/>
    <n v="931"/>
    <d v="2021-07-11T00:00:00"/>
    <s v="Chadwick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850"/>
    <n v="930"/>
    <d v="2021-07-11T00:00:00"/>
    <s v="Chadwick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776"/>
    <n v="1494"/>
    <d v="2021-07-10T00:00:00"/>
    <s v="CoyoteCreek"/>
    <s v="Stacy Philpott"/>
    <s v="Netting"/>
    <x v="0"/>
    <s v="OtherBee"/>
    <x v="0"/>
    <s v="Anthophorini"/>
    <s v="Anthophora"/>
    <s v="sp_A"/>
    <x v="16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1774"/>
    <n v="1492"/>
    <d v="2021-07-10T00:00:00"/>
    <s v="CoyoteCreek"/>
    <s v="Stacy Philpott"/>
    <s v="Netting"/>
    <x v="0"/>
    <s v="OtherBee"/>
    <x v="0"/>
    <s v="Anthophorini"/>
    <s v="Anthophora"/>
    <s v="sp_A"/>
    <x v="16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1438"/>
    <n v="2235"/>
    <d v="2021-07-10T00:00:00"/>
    <s v="CoyoteCreek"/>
    <s v="Gabriella Pardee"/>
    <s v="Netting"/>
    <x v="0"/>
    <s v="OtherBee"/>
    <x v="0"/>
    <s v="Anthophorini"/>
    <s v="Anthophora"/>
    <s v="sp_A"/>
    <x v="16"/>
    <s v="female"/>
    <s v="lavender"/>
    <s v="ornamental"/>
    <s v="Lamiaceae"/>
    <s v="Lavendula"/>
    <s v="sp."/>
    <s v="Lavendula sp. A"/>
    <s v="Not Native"/>
    <s v="PurplePink"/>
    <x v="2"/>
    <x v="1"/>
    <x v="0"/>
    <s v="Pollen"/>
    <s v="Jenny Hsu"/>
    <m/>
  </r>
  <r>
    <n v="1433"/>
    <n v="2180"/>
    <d v="2021-07-10T00:00:00"/>
    <s v="CoyoteCreek"/>
    <s v="Jenny Hsu"/>
    <s v="Netting"/>
    <x v="0"/>
    <s v="OtherBee"/>
    <x v="0"/>
    <s v="Anthophorini"/>
    <s v="Anthophora"/>
    <s v="sp_A"/>
    <x v="16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39"/>
    <n v="2236"/>
    <d v="2021-07-10T00:00:00"/>
    <s v="CoyoteCreek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15"/>
    <n v="2162"/>
    <d v="2021-07-10T00:00:00"/>
    <s v="CoyoteCreek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12"/>
    <n v="2159"/>
    <d v="2021-07-10T00:00:00"/>
    <s v="CoyoteCreek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06"/>
    <n v="2153"/>
    <d v="2021-07-10T00:00:00"/>
    <s v="CoyoteCreek"/>
    <s v="Jenny Hsu"/>
    <s v="Netting"/>
    <x v="0"/>
    <s v="BumbleBee"/>
    <x v="0"/>
    <s v="Bombini"/>
    <s v="Bombus"/>
    <s v="californicus"/>
    <x v="1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766"/>
    <n v="1484"/>
    <d v="2021-07-10T00:00:00"/>
    <s v="CoyoteCreek"/>
    <s v="Jenny Hsu"/>
    <s v="Netting"/>
    <x v="0"/>
    <s v="CarpenterBee"/>
    <x v="0"/>
    <s v="Xylocopini"/>
    <s v="Xylocopa"/>
    <s v="sonorina"/>
    <x v="46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1430"/>
    <n v="2177"/>
    <d v="2021-07-10T00:00:00"/>
    <s v="CoyoteCreek"/>
    <s v="Stacy Philpott"/>
    <s v="Netting"/>
    <x v="2"/>
    <s v="Butterfly"/>
    <x v="6"/>
    <s v="Hesperiini"/>
    <s v="Hylephila"/>
    <s v="phyleus"/>
    <x v="17"/>
    <s v="M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24"/>
    <n v="2171"/>
    <d v="2021-07-10T00:00:00"/>
    <s v="CoyoteCreek"/>
    <s v="Gabriella Pardee"/>
    <s v="Netting"/>
    <x v="2"/>
    <s v="Butterfly"/>
    <x v="6"/>
    <s v="Hesperiini"/>
    <s v="Hylephila"/>
    <s v="phyleus"/>
    <x v="17"/>
    <s v="M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505"/>
    <n v="2352"/>
    <d v="2021-07-11T00:00:00"/>
    <s v="FarmGardenUCSC"/>
    <s v="Robyn Fowler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788"/>
    <n v="1506"/>
    <d v="2021-07-11T00:00:00"/>
    <s v="FarmGardenUCSC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1499"/>
    <n v="2346"/>
    <d v="2021-07-11T00:00:00"/>
    <s v="FarmGardenUCSC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97"/>
    <n v="2344"/>
    <d v="2021-07-11T00:00:00"/>
    <s v="FarmGardenUCSC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91"/>
    <n v="2338"/>
    <d v="2021-07-11T00:00:00"/>
    <s v="FarmGardenUCSC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90"/>
    <n v="2337"/>
    <d v="2021-07-11T00:00:00"/>
    <s v="FarmGardenUCSC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68"/>
    <n v="2265"/>
    <d v="2021-07-11T00:00:00"/>
    <s v="FarmGardenUCSC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61"/>
    <n v="2258"/>
    <d v="2021-07-11T00:00:00"/>
    <s v="FarmGardenUCSC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60"/>
    <n v="2257"/>
    <d v="2021-07-11T00:00:00"/>
    <s v="FarmGardenUCSC"/>
    <s v="Sofie Andrad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455"/>
    <n v="2252"/>
    <d v="2021-07-11T00:00:00"/>
    <s v="FarmGardenUCSC"/>
    <s v="Robyn Fowler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446"/>
    <n v="2243"/>
    <d v="2021-07-11T00:00:00"/>
    <s v="FarmGardenUCSC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445"/>
    <n v="2242"/>
    <d v="2021-07-11T00:00:00"/>
    <s v="FarmGardenUCSC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Pollen"/>
    <s v="Jenny Hsu"/>
    <m/>
  </r>
  <r>
    <n v="535"/>
    <n v="76"/>
    <d v="2021-07-11T00:00:00"/>
    <s v="Grange"/>
    <s v="Jenny Hsu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66"/>
    <n v="1252"/>
    <d v="2021-07-11T00:00:00"/>
    <s v="Grange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64"/>
    <n v="1180"/>
    <d v="2021-07-11T00:00:00"/>
    <s v="Grange"/>
    <s v="Jenny Hsu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54"/>
    <n v="1170"/>
    <d v="2021-07-11T00:00:00"/>
    <s v="Grange"/>
    <s v="Jenny Hsu"/>
    <s v="Netting"/>
    <x v="0"/>
    <s v="OtherBee"/>
    <x v="5"/>
    <s v="Megachilini"/>
    <s v="Megachile"/>
    <s v="perihirta"/>
    <x v="31"/>
    <s v="male"/>
    <s v="lavender"/>
    <s v="ornamental"/>
    <s v="Lamiaceae"/>
    <s v="Lavendula"/>
    <s v="sp."/>
    <s v="Lavendula sp. A"/>
    <s v="Not Native"/>
    <s v="PurplePink"/>
    <x v="2"/>
    <x v="1"/>
    <x v="1"/>
    <s v="NA"/>
    <s v="Robyn Fowler"/>
    <m/>
  </r>
  <r>
    <n v="615"/>
    <n v="1386"/>
    <d v="2021-07-09T00:00:00"/>
    <s v="Guadalupe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280"/>
    <n v="894"/>
    <d v="2021-07-09T00:00:00"/>
    <s v="Guadalupe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625"/>
    <n v="222"/>
    <d v="2021-07-09T00:00:00"/>
    <s v="Guadalupe"/>
    <s v="Gabriella Pardee"/>
    <s v="Netting"/>
    <x v="0"/>
    <s v="OtherBee"/>
    <x v="7"/>
    <s v="Colletini"/>
    <s v="Hylaeus"/>
    <s v="damaged"/>
    <x v="55"/>
    <m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609"/>
    <n v="708"/>
    <d v="2021-07-09T00:00:00"/>
    <s v="Guadalupe"/>
    <s v="Gabriella Pardee"/>
    <s v="Netting"/>
    <x v="0"/>
    <s v="OtherBee"/>
    <x v="5"/>
    <s v="Megachilini"/>
    <s v="Megachile"/>
    <s v="angelarum"/>
    <x v="56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779"/>
    <n v="1308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998"/>
    <n v="1354"/>
    <d v="2021-07-08T00:00:00"/>
    <s v="MEarth"/>
    <s v="Edith Gonzales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334"/>
    <n v="2417"/>
    <d v="2021-07-08T00:00:00"/>
    <s v="MIIS"/>
    <s v="Jenny Hsu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318"/>
    <n v="2015"/>
    <d v="2021-07-08T00:00:00"/>
    <s v="MIIS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287"/>
    <n v="1934"/>
    <d v="2021-07-08T00:00:00"/>
    <s v="MIIS"/>
    <s v="Jenny Hsu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282"/>
    <n v="1929"/>
    <d v="2021-07-08T00:00:00"/>
    <s v="MIIS"/>
    <s v="Stacy Philpott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291"/>
    <n v="1988"/>
    <d v="2021-07-08T00:00:00"/>
    <s v="MIIS"/>
    <s v="Stacy Philpott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285"/>
    <n v="1932"/>
    <d v="2021-07-08T00:00:00"/>
    <s v="MIIS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Pollen"/>
    <s v="Jenny Hsu"/>
    <m/>
  </r>
  <r>
    <n v="1281"/>
    <n v="1928"/>
    <d v="2021-07-08T00:00:00"/>
    <s v="MIIS"/>
    <s v="Stacy Philpott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1305"/>
    <n v="2002"/>
    <d v="2021-07-08T00:00:00"/>
    <s v="MIIS"/>
    <s v="Gabriella Pardee"/>
    <s v="Netting"/>
    <x v="0"/>
    <s v="SweatBee"/>
    <x v="1"/>
    <s v="Halictini"/>
    <s v="Agapostemon"/>
    <s v="texanus"/>
    <x v="44"/>
    <m/>
    <s v="lavender"/>
    <s v="ornamental"/>
    <s v="Lamiaceae"/>
    <s v="Lavendula"/>
    <s v="sp."/>
    <s v="Lavendula sp. A"/>
    <s v="Not Native"/>
    <s v="PurplePink"/>
    <x v="2"/>
    <x v="1"/>
    <x v="0"/>
    <s v="Nectar"/>
    <s v="Jenny Hsu"/>
    <m/>
  </r>
  <r>
    <n v="1326"/>
    <n v="2409"/>
    <d v="2021-07-08T00:00:00"/>
    <s v="MIIS"/>
    <s v="Edith Gonzales"/>
    <s v="Netting"/>
    <x v="2"/>
    <s v="Butterfly"/>
    <x v="3"/>
    <s v="Pierini"/>
    <s v="Pieris"/>
    <s v="rapae"/>
    <x v="7"/>
    <s v="F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732"/>
    <n v="1165"/>
    <d v="2021-07-08T00:00:00"/>
    <s v="Natividad"/>
    <s v="Stacy Philpott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731"/>
    <n v="1164"/>
    <d v="2021-07-08T00:00:00"/>
    <s v="Natividad"/>
    <s v="Stacy Philpott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417"/>
    <n v="2408"/>
    <d v="2021-07-07T00:00:00"/>
    <s v="Pajaro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ectar"/>
    <s v="Robyn Fowler"/>
    <s v="network, number changed to 2408 (doubles)"/>
  </r>
  <r>
    <n v="1145"/>
    <n v="1592"/>
    <d v="2021-07-07T00:00:00"/>
    <s v="Pajaro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144"/>
    <n v="1591"/>
    <d v="2021-07-07T00:00:00"/>
    <s v="Pajaro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138"/>
    <n v="1585"/>
    <d v="2021-07-07T00:00:00"/>
    <s v="Pajaro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123"/>
    <n v="1570"/>
    <d v="2021-07-07T00:00:00"/>
    <s v="Pajaro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ectar"/>
    <s v="Jenny Hsu"/>
    <m/>
  </r>
  <r>
    <n v="1117"/>
    <n v="1564"/>
    <d v="2021-07-07T00:00:00"/>
    <s v="Pajaro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111"/>
    <n v="1558"/>
    <d v="2021-07-07T00:00:00"/>
    <s v="Pajaro"/>
    <s v="Azucena Luctaero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314"/>
    <n v="230"/>
    <d v="2021-07-08T00:00:00"/>
    <s v="Salinas"/>
    <s v="Stacy Philpott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13"/>
    <n v="229"/>
    <d v="2021-07-08T00:00:00"/>
    <s v="Salinas"/>
    <s v="Stacy Philpott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08"/>
    <n v="224"/>
    <d v="2021-07-08T00:00:00"/>
    <s v="Salinas"/>
    <s v="Gabriella Pardee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Pollen"/>
    <s v="Robyn Fowler"/>
    <s v="has corbicula pollen vial"/>
  </r>
  <r>
    <n v="310"/>
    <n v="226"/>
    <d v="2021-07-08T00:00:00"/>
    <s v="Salinas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09"/>
    <n v="225"/>
    <d v="2021-07-08T00:00:00"/>
    <s v="Salinas"/>
    <s v="Stacy Philpott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07"/>
    <n v="223"/>
    <d v="2021-07-08T00:00:00"/>
    <s v="Salinas"/>
    <s v="Gabriella Pardee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05"/>
    <n v="121"/>
    <d v="2021-07-08T00:00:00"/>
    <s v="Salinas"/>
    <s v="Stacy Philpott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44"/>
    <n v="350"/>
    <d v="2021-07-08T00:00:00"/>
    <s v="Salinas"/>
    <s v="Jenny Hsu"/>
    <s v="Netting"/>
    <x v="2"/>
    <s v="Butterfly"/>
    <x v="6"/>
    <s v="Hesperiini"/>
    <s v="Hylephila"/>
    <s v="phyleus"/>
    <x v="17"/>
    <s v="M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345"/>
    <n v="351"/>
    <d v="2021-07-08T00:00:00"/>
    <s v="Salinas"/>
    <s v="Stacy Philpott"/>
    <s v="Netting"/>
    <x v="2"/>
    <s v="Butterfly"/>
    <x v="6"/>
    <s v="Hesperiini"/>
    <s v="Hylephila"/>
    <s v="phyleus"/>
    <x v="17"/>
    <s v="M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720"/>
    <n v="807"/>
    <d v="2021-07-07T00:00:00"/>
    <s v="SeniorCenter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s v="bee"/>
  </r>
  <r>
    <n v="1714"/>
    <n v="801"/>
    <d v="2021-07-07T00:00:00"/>
    <s v="SeniorCenter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ectar"/>
    <s v="Janine Tan"/>
    <m/>
  </r>
  <r>
    <n v="587"/>
    <n v="686"/>
    <d v="2021-07-07T00:00:00"/>
    <s v="SeniorCenter"/>
    <s v="Azucena Luctaero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580"/>
    <n v="679"/>
    <d v="2021-07-07T00:00:00"/>
    <s v="SeniorCenter"/>
    <s v="Jenny Hsu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232"/>
    <n v="1132"/>
    <d v="2021-07-07T00:00:00"/>
    <s v="SeniorCenter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231"/>
    <n v="1131"/>
    <d v="2021-07-07T00:00:00"/>
    <s v="SeniorCenter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230"/>
    <n v="1130"/>
    <d v="2021-07-07T00:00:00"/>
    <s v="SeniorCenter"/>
    <s v="Gabriella Pardee"/>
    <s v="Netting"/>
    <x v="0"/>
    <s v="HoneyBee"/>
    <x v="0"/>
    <s v="Apini"/>
    <s v="Apis"/>
    <s v="mellifera"/>
    <x v="2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729"/>
    <n v="816"/>
    <d v="2021-07-07T00:00:00"/>
    <s v="SeniorCenter"/>
    <s v="Azucena Luctaero"/>
    <s v="Netting"/>
    <x v="0"/>
    <s v="BumbleBee"/>
    <x v="0"/>
    <s v="Bombini"/>
    <s v="Bombus"/>
    <s v="caliginosus"/>
    <x v="6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s v="bumble bee"/>
  </r>
  <r>
    <n v="237"/>
    <n v="1212"/>
    <d v="2021-07-07T00:00:00"/>
    <s v="SeniorCenter"/>
    <s v="Jenny Hsu"/>
    <s v="Netting"/>
    <x v="0"/>
    <s v="BumbleBee"/>
    <x v="0"/>
    <s v="Bombini"/>
    <s v="Bombus"/>
    <s v="caliginosus"/>
    <x v="6"/>
    <s v="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733"/>
    <n v="820"/>
    <d v="2021-07-07T00:00:00"/>
    <s v="SeniorCenter"/>
    <s v="Gabriella Parde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583"/>
    <n v="682"/>
    <d v="2021-07-07T00:00:00"/>
    <s v="SeniorCenter"/>
    <s v="Azucena Luctaero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579"/>
    <n v="678"/>
    <d v="2021-07-07T00:00:00"/>
    <s v="SeniorCenter"/>
    <s v="Jenny Hsu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1"/>
    <s v="NA"/>
    <s v="Jenny Hsu"/>
    <m/>
  </r>
  <r>
    <n v="241"/>
    <n v="1216"/>
    <d v="2021-07-07T00:00:00"/>
    <s v="SeniorCenter"/>
    <s v="Gabriella Pardee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240"/>
    <n v="1215"/>
    <d v="2021-07-07T00:00:00"/>
    <s v="SeniorCenter"/>
    <s v="Jenny Hsu"/>
    <s v="Netting"/>
    <x v="0"/>
    <s v="BumbleBee"/>
    <x v="0"/>
    <s v="Bombini"/>
    <s v="Bombus"/>
    <s v="vosnesenskii"/>
    <x v="0"/>
    <s v="fe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238"/>
    <n v="1213"/>
    <d v="2021-07-07T00:00:00"/>
    <s v="SeniorCenter"/>
    <s v="Sofie Andrade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Robyn Fowler"/>
    <m/>
  </r>
  <r>
    <n v="1712"/>
    <n v="560"/>
    <d v="2021-07-11T00:00:00"/>
    <s v="SeniorCenter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anine Tan"/>
    <m/>
  </r>
  <r>
    <n v="921"/>
    <n v="1097"/>
    <d v="2021-07-07T00:00:00"/>
    <s v="WVIMiJardinVerde"/>
    <s v="Jenny Hsu"/>
    <s v="Netting"/>
    <x v="0"/>
    <s v="BumbleBee"/>
    <x v="0"/>
    <s v="Bombini"/>
    <s v="Bombus"/>
    <s v="vosnesenskii"/>
    <x v="0"/>
    <s v="male"/>
    <s v="lavender"/>
    <s v="ornamental"/>
    <s v="Lamiaceae"/>
    <s v="Lavendula"/>
    <s v="sp."/>
    <s v="Lavendula sp. A"/>
    <s v="Not Native"/>
    <s v="PurplePink"/>
    <x v="2"/>
    <x v="1"/>
    <x v="0"/>
    <s v="NA"/>
    <s v="Jenny Hsu"/>
    <m/>
  </r>
  <r>
    <n v="1597"/>
    <n v="19"/>
    <d v="2021-07-07T00:00:00"/>
    <s v="Aptos"/>
    <s v="Sofie Andrade"/>
    <s v="Netting"/>
    <x v="0"/>
    <s v="HoneyBee"/>
    <x v="0"/>
    <s v="Apini"/>
    <s v="Apis"/>
    <s v="mellifera"/>
    <x v="2"/>
    <s v="female"/>
    <s v="thyme, lemon"/>
    <s v="crop"/>
    <s v="Lamiaceae"/>
    <s v="Thymus"/>
    <s v="citriodorus"/>
    <s v="Thymus citriodorus"/>
    <s v="U"/>
    <s v="PurplePink"/>
    <x v="3"/>
    <x v="2"/>
    <x v="1"/>
    <s v="NA"/>
    <s v="Genesis Perez"/>
    <m/>
  </r>
  <r>
    <n v="608"/>
    <n v="707"/>
    <d v="2021-07-07T00:00:00"/>
    <s v="Aptos"/>
    <s v="Jenny Hsu"/>
    <s v="Netting"/>
    <x v="0"/>
    <s v="HoneyBee"/>
    <x v="0"/>
    <s v="Apini"/>
    <s v="Apis"/>
    <s v="mellifera"/>
    <x v="2"/>
    <s v="female"/>
    <s v="thyme, lemon"/>
    <s v="crop"/>
    <s v="Lamiaceae"/>
    <s v="Thymus"/>
    <s v="citriodorus"/>
    <s v="Thymus citriodorus"/>
    <s v="U"/>
    <s v="PurplePink"/>
    <x v="3"/>
    <x v="2"/>
    <x v="0"/>
    <s v="NA"/>
    <s v="Jenny Hsu"/>
    <m/>
  </r>
  <r>
    <n v="601"/>
    <n v="700"/>
    <d v="2021-07-07T00:00:00"/>
    <s v="Aptos"/>
    <s v="Gabriella Pardee"/>
    <s v="Netting"/>
    <x v="0"/>
    <s v="HoneyBee"/>
    <x v="0"/>
    <s v="Apini"/>
    <s v="Apis"/>
    <s v="mellifera"/>
    <x v="2"/>
    <s v="female"/>
    <s v="thyme, lemon"/>
    <s v="crop"/>
    <s v="Lamiaceae"/>
    <s v="Thymus"/>
    <s v="citriodorus"/>
    <s v="Thymus citriodorus"/>
    <s v="U"/>
    <s v="PurplePink"/>
    <x v="3"/>
    <x v="2"/>
    <x v="0"/>
    <s v="NA"/>
    <s v="Jenny Hsu"/>
    <m/>
  </r>
  <r>
    <n v="1598"/>
    <n v="20"/>
    <d v="2021-07-07T00:00:00"/>
    <s v="Aptos"/>
    <s v="Sofie Andrade"/>
    <s v="Netting"/>
    <x v="0"/>
    <s v="SweatBee"/>
    <x v="1"/>
    <s v="Halictini"/>
    <s v="Lasioglossum"/>
    <s v="sp_F"/>
    <x v="22"/>
    <s v="male"/>
    <s v="thyme, lemon"/>
    <s v="crop"/>
    <s v="Lamiaceae"/>
    <s v="Thymus"/>
    <s v="citriodorus"/>
    <s v="Thymus citriodorus"/>
    <s v="U"/>
    <s v="PurplePink"/>
    <x v="3"/>
    <x v="2"/>
    <x v="1"/>
    <s v="NA"/>
    <s v="Genesis Perez"/>
    <m/>
  </r>
  <r>
    <n v="1756"/>
    <n v="94"/>
    <d v="2021-07-07T00:00:00"/>
    <s v="Aptos"/>
    <s v="Gabriella Pardee"/>
    <s v="Netting"/>
    <x v="0"/>
    <s v="SweatBee"/>
    <x v="1"/>
    <s v="Halictini"/>
    <s v="Lasioglossum"/>
    <s v="sp_G"/>
    <x v="8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m/>
  </r>
  <r>
    <n v="832"/>
    <n v="1409"/>
    <d v="2021-07-10T00:00:00"/>
    <s v="HomelessGardenProject"/>
    <s v="Azucena Luctaero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enny Hsu"/>
    <m/>
  </r>
  <r>
    <n v="798"/>
    <n v="1327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enny Hsu"/>
    <m/>
  </r>
  <r>
    <n v="589"/>
    <n v="688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1"/>
    <s v="NA"/>
    <s v="Jenny Hsu"/>
    <s v="2 poll (687+688)"/>
  </r>
  <r>
    <n v="588"/>
    <n v="687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1"/>
    <s v="NA"/>
    <s v="Jenny Hsu"/>
    <s v="2 poll (687+688)"/>
  </r>
  <r>
    <n v="1722"/>
    <n v="809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s v="2 poll, 1 bag 808-809"/>
  </r>
  <r>
    <n v="1721"/>
    <n v="808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s v="2 poll, 1 bag 808-809"/>
  </r>
  <r>
    <n v="1726"/>
    <n v="813"/>
    <d v="2021-07-07T00:00:00"/>
    <s v="SeniorCenter"/>
    <s v="Azucena Luctaero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s v="bee"/>
  </r>
  <r>
    <n v="1715"/>
    <n v="802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m/>
  </r>
  <r>
    <n v="578"/>
    <n v="677"/>
    <d v="2021-07-07T00:00:00"/>
    <s v="SeniorCenter"/>
    <s v="Jenny Hsu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1"/>
    <s v="NA"/>
    <s v="Jenny Hsu"/>
    <m/>
  </r>
  <r>
    <n v="229"/>
    <n v="1129"/>
    <d v="2021-07-07T00:00:00"/>
    <s v="SeniorCenter"/>
    <s v="Gabriella Pardee"/>
    <s v="Netting"/>
    <x v="0"/>
    <s v="HoneyBee"/>
    <x v="0"/>
    <s v="Apini"/>
    <s v="Apis"/>
    <s v="mellifera"/>
    <x v="2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Robyn Fowler"/>
    <m/>
  </r>
  <r>
    <n v="1718"/>
    <n v="805"/>
    <d v="2021-07-07T00:00:00"/>
    <s v="SeniorCenter"/>
    <s v="Azucena Luctaero"/>
    <s v="Netting"/>
    <x v="0"/>
    <s v="BumbleBee"/>
    <x v="0"/>
    <s v="Bombini"/>
    <s v="Bombus"/>
    <s v="vosnesenskii"/>
    <x v="0"/>
    <s v="female"/>
    <s v="peruvian lily"/>
    <s v="ornamental"/>
    <s v="Alstroemeriaceae"/>
    <s v="Alstroemeria"/>
    <s v="aurea"/>
    <s v="Alstroemeria aurea"/>
    <s v="Not Native"/>
    <s v="PurplePink YellowOrange"/>
    <x v="1"/>
    <x v="1"/>
    <x v="0"/>
    <s v="NA"/>
    <s v="Janine Tan"/>
    <s v="bumble bee"/>
  </r>
  <r>
    <n v="1414"/>
    <n v="2161"/>
    <d v="2021-07-10T00:00:00"/>
    <s v="CoyoteCreek"/>
    <s v="Jenny Hsu"/>
    <s v="Netting"/>
    <x v="0"/>
    <s v="HoneyBee"/>
    <x v="0"/>
    <s v="Apini"/>
    <s v="Apis"/>
    <s v="mellifera"/>
    <x v="2"/>
    <s v="female"/>
    <s v="Scabiosa"/>
    <s v="ornamental"/>
    <s v="Dipsacaceae"/>
    <s v="Scabiosa"/>
    <s v="atropurpurea"/>
    <s v="Scabiosa atropurpurea"/>
    <s v="Not Native"/>
    <s v="PurplePinkWite"/>
    <x v="1"/>
    <x v="3"/>
    <x v="0"/>
    <s v="NA"/>
    <s v="Jenny Hsu"/>
    <m/>
  </r>
  <r>
    <n v="1413"/>
    <n v="2160"/>
    <d v="2021-07-10T00:00:00"/>
    <s v="CoyoteCreek"/>
    <s v="Azucena Luctaero"/>
    <s v="Netting"/>
    <x v="0"/>
    <s v="HoneyBee"/>
    <x v="0"/>
    <s v="Apini"/>
    <s v="Apis"/>
    <s v="mellifera"/>
    <x v="2"/>
    <s v="female"/>
    <s v="Scabiosa"/>
    <s v="ornamental"/>
    <s v="Dipsacaceae"/>
    <s v="Scabiosa"/>
    <s v="atropurpurea"/>
    <s v="Scabiosa atropurpurea"/>
    <s v="Not Native"/>
    <s v="PurplePinkWite"/>
    <x v="1"/>
    <x v="3"/>
    <x v="0"/>
    <s v="NA"/>
    <s v="Jenny Hsu"/>
    <m/>
  </r>
  <r>
    <n v="1409"/>
    <n v="2156"/>
    <d v="2021-07-10T00:00:00"/>
    <s v="CoyoteCreek"/>
    <s v="Azucena Luctaero"/>
    <s v="Netting"/>
    <x v="0"/>
    <s v="HoneyBee"/>
    <x v="0"/>
    <s v="Apini"/>
    <s v="Apis"/>
    <s v="mellifera"/>
    <x v="2"/>
    <s v="female"/>
    <s v="Scabiosa"/>
    <s v="ornamental"/>
    <s v="Dipsacaceae"/>
    <s v="Scabiosa"/>
    <s v="atropurpurea"/>
    <s v="Scabiosa atropurpurea"/>
    <s v="Not Native"/>
    <s v="PurplePinkWite"/>
    <x v="1"/>
    <x v="3"/>
    <x v="0"/>
    <s v="NA"/>
    <s v="Jenny Hsu"/>
    <m/>
  </r>
  <r>
    <n v="1402"/>
    <n v="2149"/>
    <d v="2021-07-10T00:00:00"/>
    <s v="CoyoteCreek"/>
    <s v="Jenny Hsu"/>
    <s v="Netting"/>
    <x v="0"/>
    <s v="BumbleBee"/>
    <x v="0"/>
    <s v="Bombini"/>
    <s v="Bombus"/>
    <s v="vosnesenskii"/>
    <x v="0"/>
    <s v="female"/>
    <s v="Scabiosa"/>
    <s v="ornamental"/>
    <s v="Dipsacaceae"/>
    <s v="Scabiosa"/>
    <s v="atropurpurea"/>
    <s v="Scabiosa atropurpurea"/>
    <s v="Not Native"/>
    <s v="PurplePinkWite"/>
    <x v="1"/>
    <x v="3"/>
    <x v="1"/>
    <s v="NA"/>
    <s v="Jenny Hsu"/>
    <m/>
  </r>
  <r>
    <n v="843"/>
    <n v="81"/>
    <d v="2021-07-10T00:00:00"/>
    <s v="HomelessGardenProject"/>
    <s v="Azucena Luctaero"/>
    <s v="Netting"/>
    <x v="0"/>
    <s v="BumbleBee"/>
    <x v="0"/>
    <s v="Bombini"/>
    <s v="Bombus"/>
    <s v="vosnesenskii"/>
    <x v="0"/>
    <s v="male"/>
    <s v="Sixalix"/>
    <s v="ornamental"/>
    <s v="Caprifoliaceae"/>
    <s v="Scabiosa"/>
    <s v="atropurpurea"/>
    <s v="Scabiosa atropurpurea"/>
    <s v="Not Native"/>
    <s v="PurplePinkWite"/>
    <x v="1"/>
    <x v="3"/>
    <x v="0"/>
    <s v="NA"/>
    <s v="Jenny Hsu"/>
    <m/>
  </r>
  <r>
    <n v="783"/>
    <n v="1312"/>
    <d v="2021-07-10T00:00:00"/>
    <s v="HomelessGardenProject"/>
    <s v="Stacy Philpott"/>
    <s v="Netting"/>
    <x v="0"/>
    <s v="BumbleBee"/>
    <x v="0"/>
    <s v="Bombini"/>
    <s v="Bombus"/>
    <s v="vosnesenskii"/>
    <x v="0"/>
    <s v="male"/>
    <s v="Sixalix?"/>
    <s v="ornamental"/>
    <s v="Caprifoliaceae"/>
    <s v="Scabiosa"/>
    <s v="atropurpurea"/>
    <s v="Scabiosa atropurpurea"/>
    <s v="Not Native"/>
    <s v="PurplePinkWite"/>
    <x v="1"/>
    <x v="3"/>
    <x v="1"/>
    <s v="NA"/>
    <s v="Jenny Hsu"/>
    <m/>
  </r>
  <r>
    <n v="834"/>
    <n v="1411"/>
    <d v="2021-07-10T00:00:00"/>
    <s v="HomelessGardenProject"/>
    <s v="Jenny Hsu"/>
    <s v="Netting"/>
    <x v="0"/>
    <s v="BumbleBee"/>
    <x v="0"/>
    <s v="Bombini"/>
    <s v="Bombus"/>
    <s v="vosnesenskii"/>
    <x v="0"/>
    <s v="male"/>
    <s v="sweet scabious"/>
    <s v="ornamental"/>
    <s v="Caprifoliaceae"/>
    <s v="scabiosa"/>
    <s v="atropurpurea"/>
    <s v="scabiosa atropurpurea"/>
    <s v="Not Native"/>
    <s v="PurplePinkWite"/>
    <x v="1"/>
    <x v="3"/>
    <x v="0"/>
    <s v="NA"/>
    <s v="Jenny Hsu"/>
    <m/>
  </r>
  <r>
    <n v="191"/>
    <n v="1347"/>
    <d v="2021-07-11T00:00:00"/>
    <s v="Trescony"/>
    <s v="Robyn Fowler"/>
    <s v="Netting"/>
    <x v="0"/>
    <s v="OtherBee"/>
    <x v="5"/>
    <s v="Megachilini"/>
    <s v="Megachile"/>
    <s v="perihirta"/>
    <x v="31"/>
    <s v="male"/>
    <s v="sweet scabious"/>
    <s v="ornamental"/>
    <s v="Caprifoliaceae"/>
    <s v="scabiosa"/>
    <s v="atropurpurea"/>
    <s v="scabiosa atropurpurea"/>
    <s v="Not Native"/>
    <s v="PurplePinkWite"/>
    <x v="1"/>
    <x v="3"/>
    <x v="1"/>
    <s v="NA"/>
    <s v="Robyn Fowler"/>
    <m/>
  </r>
  <r>
    <n v="17"/>
    <n v="18"/>
    <d v="2021-07-07T00:00:00"/>
    <s v="Aptos"/>
    <s v="Jenny Hsu"/>
    <s v="Netting"/>
    <x v="0"/>
    <s v="BumbleBee"/>
    <x v="0"/>
    <s v="Bombini"/>
    <s v="Bombus"/>
    <s v="flavifrons"/>
    <x v="57"/>
    <s v="male"/>
    <s v="cosmos"/>
    <s v="ornamental"/>
    <s v="Asteraceae"/>
    <s v="Cosmos"/>
    <s v="bipinnatus"/>
    <s v="Cosmos bipinnatus"/>
    <s v="Not Native"/>
    <s v="PurplePinkYellow"/>
    <x v="1"/>
    <x v="0"/>
    <x v="1"/>
    <s v="NA"/>
    <s v="Azucena Lucatero"/>
    <m/>
  </r>
  <r>
    <n v="220"/>
    <n v="1046"/>
    <d v="2021-07-11T00:00:00"/>
    <s v="BeachFlats"/>
    <s v="Jenny Hsu"/>
    <s v="Netting"/>
    <x v="1"/>
    <s v="Hoverfly"/>
    <x v="2"/>
    <s v="Syrphini"/>
    <s v="Sphaerophoria"/>
    <s v="sulphuripes"/>
    <x v="40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573"/>
    <n v="204"/>
    <d v="2021-07-11T00:00:00"/>
    <s v="BeachFlats"/>
    <s v="Gabriella Pardee"/>
    <s v="Netting"/>
    <x v="0"/>
    <s v="OtherBee"/>
    <x v="0"/>
    <s v="Eucerini"/>
    <s v="Melissodes"/>
    <s v="sp_A"/>
    <x v="38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710"/>
    <n v="561"/>
    <d v="2021-07-11T00:00:00"/>
    <s v="BeachFlats"/>
    <s v="Robyn Fowler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anine Tan"/>
    <m/>
  </r>
  <r>
    <n v="1706"/>
    <n v="556"/>
    <d v="2021-07-11T00:00:00"/>
    <s v="BeachFlats"/>
    <s v="Gabriella Pardee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anine Tan"/>
    <m/>
  </r>
  <r>
    <n v="574"/>
    <n v="205"/>
    <d v="2021-07-11T00:00:00"/>
    <s v="BeachFlats"/>
    <s v="Gabriella Pardee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570"/>
    <n v="201"/>
    <d v="2021-07-11T00:00:00"/>
    <s v="BeachFlats"/>
    <s v="Robyn Fowler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1"/>
    <s v="NA"/>
    <s v="Jenny Hsu"/>
    <m/>
  </r>
  <r>
    <n v="845"/>
    <n v="83"/>
    <d v="2021-07-11T00:00:00"/>
    <s v="Chadwick"/>
    <s v="Gabriella Pardee"/>
    <s v="Netting"/>
    <x v="0"/>
    <s v="BumbleBee"/>
    <x v="0"/>
    <s v="Bombini"/>
    <s v="Bombus"/>
    <s v="vosnesenskii"/>
    <x v="0"/>
    <s v="male"/>
    <s v="cosmos"/>
    <s v="ornamental"/>
    <s v="Asteraceae"/>
    <s v="Cosmos"/>
    <s v="bipinnatus"/>
    <s v="Cosmos bipinnatus"/>
    <s v="Not Native"/>
    <s v="PurplePinkYellow"/>
    <x v="1"/>
    <x v="0"/>
    <x v="1"/>
    <s v="NA"/>
    <s v="Jenny Hsu"/>
    <m/>
  </r>
  <r>
    <n v="508"/>
    <n v="48"/>
    <d v="2021-07-09T00:00:00"/>
    <s v="CharlesStreet"/>
    <s v="Jenny Hsu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36"/>
    <n v="1012"/>
    <d v="2021-07-09T00:00:00"/>
    <s v="CharlesStreet"/>
    <s v="Robyn Fowler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1405"/>
    <n v="2152"/>
    <d v="2021-07-10T00:00:00"/>
    <s v="CoyoteCreek"/>
    <s v="Azucena Luctaero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1"/>
    <s v="NA"/>
    <s v="Jenny Hsu"/>
    <m/>
  </r>
  <r>
    <n v="159"/>
    <n v="1175"/>
    <d v="2021-07-11T00:00:00"/>
    <s v="Grange"/>
    <s v="Robyn Fowler"/>
    <s v="Netting"/>
    <x v="0"/>
    <s v="OtherBee"/>
    <x v="5"/>
    <s v="Megachilini"/>
    <s v="Megachile"/>
    <s v="sp_B"/>
    <x v="58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94"/>
    <n v="101"/>
    <d v="2021-07-09T00:00:00"/>
    <s v="Guadalupe"/>
    <s v="Jenny Hsu"/>
    <s v="Netting"/>
    <x v="0"/>
    <s v="OtherBee"/>
    <x v="0"/>
    <s v="Eucerini"/>
    <s v="Melissodes"/>
    <s v="sp_A"/>
    <x v="38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Edith Gonzales"/>
    <s v="shared a bag with 102"/>
  </r>
  <r>
    <n v="264"/>
    <n v="1470"/>
    <d v="2021-07-09T00:00:00"/>
    <s v="Guadalupe"/>
    <s v="Gabriella Pardee"/>
    <s v="Netting"/>
    <x v="0"/>
    <s v="OtherBee"/>
    <x v="0"/>
    <s v="Eucerini"/>
    <s v="Melissodes"/>
    <s v="sp_A"/>
    <x v="38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284"/>
    <n v="898"/>
    <d v="2021-07-09T00:00:00"/>
    <s v="Guadalupe"/>
    <s v="Robyn Fowler"/>
    <s v="Netting"/>
    <x v="0"/>
    <s v="SweatBee"/>
    <x v="1"/>
    <s v="Halictini"/>
    <s v="Halictus"/>
    <s v="ligatus"/>
    <x v="32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268"/>
    <n v="40"/>
    <d v="2021-07-09T00:00:00"/>
    <s v="Guadalupe"/>
    <s v="Gabriella Pardee"/>
    <s v="Netting"/>
    <x v="0"/>
    <s v="SweatBee"/>
    <x v="1"/>
    <s v="Halictini"/>
    <s v="Halictus"/>
    <s v="ligatus"/>
    <x v="32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Robyn Fowler"/>
    <m/>
  </r>
  <r>
    <n v="95"/>
    <n v="102"/>
    <d v="2021-07-09T00:00:00"/>
    <s v="Guadalupe"/>
    <s v="Jenny Hsu"/>
    <s v="Netting"/>
    <x v="0"/>
    <s v="SweatBee"/>
    <x v="1"/>
    <s v="Halictini"/>
    <s v="Halictus"/>
    <s v="ligatus"/>
    <x v="32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Edith Gonzales"/>
    <m/>
  </r>
  <r>
    <n v="817"/>
    <n v="1394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796"/>
    <n v="1325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812"/>
    <n v="799"/>
    <d v="2021-07-10T00:00:00"/>
    <s v="HomelessGardenProject"/>
    <s v="Stacy Philpott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794"/>
    <n v="1323"/>
    <d v="2021-07-10T00:00:00"/>
    <s v="HomelessGardenProject"/>
    <s v="Stacy Philpott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815"/>
    <n v="1392"/>
    <d v="2021-07-10T00:00:00"/>
    <s v="HomelessGardenProject"/>
    <s v="Gabriella Pardee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76"/>
    <n v="1923"/>
    <d v="2021-07-10T00:00:00"/>
    <s v="LaColina"/>
    <s v="Jenny Hsu"/>
    <s v="Netting"/>
    <x v="1"/>
    <s v="Hoverfly"/>
    <x v="2"/>
    <s v="Syrphini"/>
    <s v="Sphaerophoria"/>
    <s v="sulphuripes"/>
    <x v="40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48"/>
    <n v="1845"/>
    <d v="2021-07-10T00:00:00"/>
    <s v="LaColina"/>
    <s v="Gabriella Pardee"/>
    <s v="Netting"/>
    <x v="0"/>
    <s v="HoneyBee"/>
    <x v="0"/>
    <s v="Apini"/>
    <s v="Apis"/>
    <s v="mellifera"/>
    <x v="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75"/>
    <n v="1922"/>
    <d v="2021-07-10T00:00:00"/>
    <s v="LaColina"/>
    <s v="Jenny Hsu"/>
    <s v="Netting"/>
    <x v="0"/>
    <s v="SweatBee"/>
    <x v="1"/>
    <s v="Halictini"/>
    <s v="Halictus"/>
    <s v="ligatus"/>
    <x v="3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714"/>
    <n v="1147"/>
    <d v="2021-07-08T00:00:00"/>
    <s v="PacificGrove"/>
    <s v="Jenny Hsu"/>
    <s v="Netting"/>
    <x v="0"/>
    <s v="BumbleBee"/>
    <x v="0"/>
    <s v="Bombini"/>
    <s v="Bombus"/>
    <s v="vosnesenskii"/>
    <x v="0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96"/>
    <n v="1743"/>
    <d v="2021-07-09T00:00:00"/>
    <s v="Prusch"/>
    <s v="Gabriella Pardee"/>
    <s v="Netting"/>
    <x v="0"/>
    <s v="HoneyBee"/>
    <x v="0"/>
    <s v="Apini"/>
    <s v="Apis"/>
    <s v="mellifera"/>
    <x v="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85"/>
    <n v="1732"/>
    <d v="2021-07-09T00:00:00"/>
    <s v="Prusch"/>
    <s v="Jenny Hsu"/>
    <s v="Netting"/>
    <x v="0"/>
    <s v="OtherBee"/>
    <x v="0"/>
    <s v="Eucerini"/>
    <s v="Melissodes"/>
    <s v="sp_B"/>
    <x v="39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60"/>
    <n v="1657"/>
    <d v="2021-07-09T00:00:00"/>
    <s v="Prusch"/>
    <s v="Jenny Hsu"/>
    <s v="Netting"/>
    <x v="0"/>
    <s v="OtherBee"/>
    <x v="0"/>
    <s v="Eucerini"/>
    <s v="Melissodes"/>
    <s v="sp_C"/>
    <x v="33"/>
    <s v="female"/>
    <s v="cosmos"/>
    <s v="ornamental"/>
    <s v="Asteraceae"/>
    <s v="Cosmos"/>
    <s v="bipinnatus"/>
    <s v="Cosmos bipinnatus"/>
    <s v="Not Native"/>
    <s v="PurplePinkYellow"/>
    <x v="1"/>
    <x v="0"/>
    <x v="1"/>
    <s v="NA"/>
    <s v="Jenny Hsu"/>
    <m/>
  </r>
  <r>
    <n v="1203"/>
    <n v="1750"/>
    <d v="2021-07-09T00:00:00"/>
    <s v="Prusch"/>
    <s v="Sofie Andrade"/>
    <s v="Netting"/>
    <x v="0"/>
    <s v="OtherBee"/>
    <x v="0"/>
    <s v="Melectini"/>
    <s v="Xeromelecta"/>
    <s v="californica"/>
    <x v="59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90"/>
    <n v="1737"/>
    <d v="2021-07-09T00:00:00"/>
    <s v="Prusch"/>
    <s v="Gabriella Pardee"/>
    <s v="Netting"/>
    <x v="0"/>
    <s v="OtherBee"/>
    <x v="0"/>
    <s v="Melectini"/>
    <s v="Xeromelecta"/>
    <s v="californica"/>
    <x v="59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09"/>
    <n v="1756"/>
    <d v="2021-07-09T00:00:00"/>
    <s v="Prusch"/>
    <s v="Jenny Hsu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08"/>
    <n v="1755"/>
    <d v="2021-07-09T00:00:00"/>
    <s v="Prusch"/>
    <s v="Sofie Andrade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89"/>
    <n v="1736"/>
    <d v="2021-07-09T00:00:00"/>
    <s v="Prusch"/>
    <s v="Gabriella Pardee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79"/>
    <n v="1676"/>
    <d v="2021-07-09T00:00:00"/>
    <s v="Prusch"/>
    <s v="Gabriella Pardee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77"/>
    <n v="1674"/>
    <d v="2021-07-09T00:00:00"/>
    <s v="Prusch"/>
    <s v="Gabriella Pardee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57"/>
    <n v="1654"/>
    <d v="2021-07-09T00:00:00"/>
    <s v="Prusch"/>
    <s v="Jenny Hsu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1"/>
    <s v="NA"/>
    <s v="Jenny Hsu"/>
    <m/>
  </r>
  <r>
    <n v="1198"/>
    <n v="1745"/>
    <d v="2021-07-09T00:00:00"/>
    <s v="Prusch"/>
    <s v="Jenny Hsu"/>
    <s v="Netting"/>
    <x v="0"/>
    <s v="SweatBee"/>
    <x v="1"/>
    <s v="Halictini"/>
    <s v="Halictus"/>
    <s v="ligatus"/>
    <x v="32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173"/>
    <n v="1670"/>
    <d v="2021-07-09T00:00:00"/>
    <s v="Prusch"/>
    <s v="Gabriella Pardee"/>
    <s v="Netting"/>
    <x v="0"/>
    <s v="SweatBee"/>
    <x v="1"/>
    <s v="Halictini"/>
    <s v="Halictus"/>
    <s v="ligatus"/>
    <x v="32"/>
    <s v="fe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202"/>
    <n v="1749"/>
    <d v="2021-07-09T00:00:00"/>
    <s v="Prusch"/>
    <s v="Robyn Fowler"/>
    <s v="Netting"/>
    <x v="2"/>
    <s v="Butterfly"/>
    <x v="6"/>
    <s v="Hesperiini"/>
    <s v="Hylephila"/>
    <s v="phyleus"/>
    <x v="17"/>
    <s v="M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543"/>
    <n v="174"/>
    <d v="2021-07-11T00:00:00"/>
    <s v="Trescony"/>
    <s v="Jenny Hsu"/>
    <s v="Netting"/>
    <x v="0"/>
    <s v="OtherBee"/>
    <x v="0"/>
    <s v="Eucerini"/>
    <s v="Melissodes"/>
    <s v="sp_A"/>
    <x v="38"/>
    <s v="male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92"/>
    <n v="1348"/>
    <d v="2021-07-11T00:00:00"/>
    <s v="Trescony"/>
    <s v="Robyn Fowler"/>
    <s v="Netting"/>
    <x v="0"/>
    <s v="SweatBee"/>
    <x v="1"/>
    <s v="Halictini"/>
    <s v="Agapostemon"/>
    <s v="texanus"/>
    <x v="44"/>
    <m/>
    <s v="cosmos"/>
    <s v="ornamental"/>
    <s v="Asteraceae"/>
    <s v="Cosmos"/>
    <s v="bipinnatus"/>
    <s v="Cosmos bipinnatus"/>
    <s v="Not Native"/>
    <s v="PurplePinkYellow"/>
    <x v="1"/>
    <x v="0"/>
    <x v="1"/>
    <s v="NA"/>
    <s v="Robyn Fowler"/>
    <m/>
  </r>
  <r>
    <n v="549"/>
    <n v="180"/>
    <d v="2021-07-11T00:00:00"/>
    <s v="Trescony"/>
    <s v="Gabriella Pardee"/>
    <s v="Netting"/>
    <x v="0"/>
    <s v="SweatBee"/>
    <x v="1"/>
    <s v="Halictini"/>
    <s v="Lasioglossum"/>
    <s v="sp_F"/>
    <x v="22"/>
    <m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557"/>
    <n v="188"/>
    <d v="2021-07-11T00:00:00"/>
    <s v="Trescony"/>
    <s v="Gabriella Pardee"/>
    <s v="Netting"/>
    <x v="2"/>
    <s v="Butterfly"/>
    <x v="6"/>
    <s v="Hesperiini"/>
    <s v="Hylephila"/>
    <s v="phyleus"/>
    <x v="17"/>
    <s v="M"/>
    <s v="cosmos"/>
    <s v="ornamental"/>
    <s v="Asteraceae"/>
    <s v="Cosmos"/>
    <s v="bipinnatus"/>
    <s v="Cosmos bipinnatus"/>
    <s v="Not Native"/>
    <s v="PurplePinkYellow"/>
    <x v="1"/>
    <x v="0"/>
    <x v="0"/>
    <s v="NA"/>
    <s v="Jenny Hsu"/>
    <m/>
  </r>
  <r>
    <n v="1352"/>
    <n v="2099"/>
    <d v="2021-07-09T00:00:00"/>
    <s v="Berryessa"/>
    <s v="Gabriella Pardee"/>
    <s v="Netting"/>
    <x v="0"/>
    <s v="OtherBee"/>
    <x v="7"/>
    <s v="Colletini"/>
    <s v="Hylaeus"/>
    <s v="sp_C"/>
    <x v="43"/>
    <s v="male"/>
    <s v="Rose"/>
    <s v="ornamental"/>
    <s v="Rosaceae"/>
    <s v="Rosa"/>
    <s v="sp."/>
    <s v="Rosa sp. A"/>
    <s v="U"/>
    <s v="PurplePinkYellowWhite"/>
    <x v="1"/>
    <x v="0"/>
    <x v="0"/>
    <s v="NA"/>
    <s v="Jenny Hsu"/>
    <m/>
  </r>
  <r>
    <n v="1478"/>
    <n v="2325"/>
    <d v="2021-07-11T00:00:00"/>
    <s v="FarmGardenUCSC"/>
    <s v="Robyn Fowler"/>
    <s v="Netting"/>
    <x v="0"/>
    <s v="BumbleBee"/>
    <x v="0"/>
    <s v="Bombini"/>
    <s v="Bombus"/>
    <s v="vosnesenskii"/>
    <x v="0"/>
    <s v="female"/>
    <s v="Rose"/>
    <s v="ornamental"/>
    <s v="Rosaceae"/>
    <s v="Rosa"/>
    <s v="sp."/>
    <s v="Rosa sp. A"/>
    <s v="U"/>
    <s v="PurplePinkYellowWhite"/>
    <x v="1"/>
    <x v="0"/>
    <x v="0"/>
    <s v="NA"/>
    <s v="Jenny Hsu"/>
    <m/>
  </r>
  <r>
    <n v="225"/>
    <n v="1126"/>
    <d v="2021-07-11T00:00:00"/>
    <s v="BeachFlats"/>
    <s v="Gabriella Pardee"/>
    <s v="Netting"/>
    <x v="1"/>
    <s v="Hoverfly"/>
    <x v="2"/>
    <s v="Syrphini"/>
    <s v="Allograpta"/>
    <s v="obliqua"/>
    <x v="5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221"/>
    <n v="1047"/>
    <d v="2021-07-11T00:00:00"/>
    <s v="BeachFlats"/>
    <s v="Gabriella Pardee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226"/>
    <n v="1295"/>
    <d v="2021-07-11T00:00:00"/>
    <s v="BeachFlats"/>
    <s v="Robyn Fowler"/>
    <s v="Netting"/>
    <x v="2"/>
    <s v="Moth"/>
    <x v="18"/>
    <s v="Eupitheciini"/>
    <s v="Eupithecia"/>
    <s v="miserulata"/>
    <x v="60"/>
    <s v="Unable to ID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146"/>
    <n v="1092"/>
    <d v="2021-07-09T00:00:00"/>
    <s v="CharlesStreet"/>
    <s v="Edith Gonzales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144"/>
    <n v="1090"/>
    <d v="2021-07-09T00:00:00"/>
    <s v="CharlesStreet"/>
    <s v="Jenny Hsu"/>
    <s v="Netting"/>
    <x v="0"/>
    <s v="OtherBee"/>
    <x v="5"/>
    <s v="Megachilini"/>
    <s v="Megachile"/>
    <s v="sp_A"/>
    <x v="1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1419"/>
    <n v="2166"/>
    <d v="2021-07-10T00:00:00"/>
    <s v="CoyoteCreek"/>
    <s v="Jenny Hsu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7+998)"/>
  </r>
  <r>
    <n v="1418"/>
    <n v="2165"/>
    <d v="2021-07-10T00:00:00"/>
    <s v="CoyoteCreek"/>
    <s v="Jenny Hsu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7+998)"/>
  </r>
  <r>
    <n v="1765"/>
    <n v="1483"/>
    <d v="2021-07-10T00:00:00"/>
    <s v="CoyoteCreek"/>
    <s v="Stacy Philpott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A"/>
    <s v="Janine Tan"/>
    <m/>
  </r>
  <r>
    <n v="1762"/>
    <n v="1480"/>
    <d v="2021-07-10T00:00:00"/>
    <s v="CoyoteCreek"/>
    <s v="Jenny Hsu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A"/>
    <s v="Janine Tan"/>
    <m/>
  </r>
  <r>
    <n v="1420"/>
    <n v="2167"/>
    <d v="2021-07-10T00:00:00"/>
    <s v="CoyoteCreek"/>
    <s v="Jenny Hsu"/>
    <s v="Netting"/>
    <x v="0"/>
    <s v="SweatBee"/>
    <x v="1"/>
    <s v="Halictini"/>
    <s v="Halictus"/>
    <s v="ligatus"/>
    <x v="3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416"/>
    <n v="2163"/>
    <d v="2021-07-10T00:00:00"/>
    <s v="CoyoteCreek"/>
    <s v="Jenny Hsu"/>
    <s v="Netting"/>
    <x v="0"/>
    <s v="OtherBee"/>
    <x v="5"/>
    <s v="Osmiini"/>
    <s v="Heriades"/>
    <s v="sp_A"/>
    <x v="41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82"/>
    <n v="1338"/>
    <d v="2021-07-11T00:00:00"/>
    <s v="Grange"/>
    <s v="Robyn Fowler"/>
    <s v="Netting"/>
    <x v="1"/>
    <s v="Hoverfly"/>
    <x v="2"/>
    <s v="Syrphini"/>
    <s v="Allograpta"/>
    <s v="obliqua"/>
    <x v="5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1657"/>
    <n v="428"/>
    <d v="2021-07-11T00:00:00"/>
    <s v="Grange"/>
    <s v="Jenny Hsu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A"/>
    <s v="Janine Tan"/>
    <m/>
  </r>
  <r>
    <n v="1583"/>
    <n v="326"/>
    <d v="2021-07-11T00:00:00"/>
    <s v="Grange"/>
    <s v="Robyn Fowler"/>
    <s v="Netting"/>
    <x v="1"/>
    <s v="Hoverfly"/>
    <x v="2"/>
    <s v="Paragini"/>
    <s v="Paragus"/>
    <s v="haemorrhous"/>
    <x v="45"/>
    <m/>
    <s v="cilantro"/>
    <s v="crop"/>
    <s v="Apiaceae"/>
    <s v="Coriandrum"/>
    <s v="sativum"/>
    <s v="Coriandrum sativum"/>
    <s v="Not Native"/>
    <s v="PurpleWhite"/>
    <x v="9"/>
    <x v="0"/>
    <x v="0"/>
    <s v="NA"/>
    <s v="Sofie Andrade"/>
    <m/>
  </r>
  <r>
    <n v="1651"/>
    <n v="422"/>
    <d v="2021-07-11T00:00:00"/>
    <s v="Grange"/>
    <s v="Robyn Fowler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Sofie Andrade"/>
    <m/>
  </r>
  <r>
    <n v="531"/>
    <n v="72"/>
    <d v="2021-07-11T00:00:00"/>
    <s v="Grang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75"/>
    <n v="1261"/>
    <d v="2021-07-11T00:00:00"/>
    <s v="Grange"/>
    <s v="Gabriella Pardee"/>
    <s v="Netting"/>
    <x v="0"/>
    <s v="SweatBee"/>
    <x v="1"/>
    <s v="Halictini"/>
    <s v="Lasioglossum"/>
    <s v="sp_G"/>
    <x v="8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799"/>
    <n v="1328"/>
    <d v="2021-07-10T00:00:00"/>
    <s v="HomelessGardenProject"/>
    <s v="Stacy Philpott"/>
    <s v="Netting"/>
    <x v="1"/>
    <s v="Hoverfly"/>
    <x v="2"/>
    <s v="Syrphini"/>
    <s v="Allograpta"/>
    <s v="obliqua"/>
    <x v="5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806"/>
    <n v="793"/>
    <d v="2021-07-10T00:00:00"/>
    <s v="HomelessGardenProject"/>
    <s v="Stacy Philpott"/>
    <s v="Netting"/>
    <x v="1"/>
    <s v="Hoverfly"/>
    <x v="2"/>
    <s v="Paragini"/>
    <s v="Paragus"/>
    <s v="haemorrhous"/>
    <x v="45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810"/>
    <n v="797"/>
    <d v="2021-07-10T00:00:00"/>
    <s v="HomelessGardenProject"/>
    <s v="Stacy Philpott"/>
    <s v="Netting"/>
    <x v="1"/>
    <s v="Hoverfly"/>
    <x v="2"/>
    <s v="Syrphini"/>
    <s v="Sphaerophoria"/>
    <s v="sulphuripes"/>
    <x v="40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805"/>
    <n v="1334"/>
    <d v="2021-07-10T00:00:00"/>
    <s v="HomelessGardenProject"/>
    <s v="Stacy Philpott"/>
    <s v="Netting"/>
    <x v="1"/>
    <s v="Hoverfly"/>
    <x v="2"/>
    <s v="Syrphini"/>
    <s v="Sphaerophoria"/>
    <s v="sulphuripes"/>
    <x v="40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839"/>
    <n v="1416"/>
    <d v="2021-07-10T00:00:00"/>
    <s v="HomelessGardenProject"/>
    <s v="Jenny Hsu"/>
    <s v="Netting"/>
    <x v="1"/>
    <s v="OtherFly"/>
    <x v="12"/>
    <m/>
    <s v="tachinid"/>
    <s v="sp_G"/>
    <x v="62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1416+1417)"/>
  </r>
  <r>
    <n v="840"/>
    <n v="1417"/>
    <d v="2021-07-10T00:00:00"/>
    <s v="HomelessGardenProject"/>
    <s v="Jenny Hsu"/>
    <s v="Netting"/>
    <x v="1"/>
    <s v="OtherFly"/>
    <x v="12"/>
    <m/>
    <s v="tachinid"/>
    <s v="sp_H"/>
    <x v="63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1416+1417)"/>
  </r>
  <r>
    <n v="813"/>
    <n v="1390"/>
    <d v="2021-07-10T00:00:00"/>
    <s v="HomelessGardenProject"/>
    <s v="Stacy Philpott"/>
    <s v="Netting"/>
    <x v="1"/>
    <s v="OtherFly"/>
    <x v="12"/>
    <m/>
    <s v="tachinid"/>
    <s v="sp_H"/>
    <x v="63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266"/>
    <n v="1913"/>
    <d v="2021-07-10T00:00:00"/>
    <s v="LaColina"/>
    <s v="Gabriella Pardee"/>
    <s v="Netting"/>
    <x v="0"/>
    <s v="OtherBee"/>
    <x v="7"/>
    <s v="Colletini"/>
    <s v="Hylaeus"/>
    <s v="sp_C"/>
    <x v="43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1913+1914+1915)"/>
  </r>
  <r>
    <n v="1267"/>
    <n v="1914"/>
    <d v="2021-07-10T00:00:00"/>
    <s v="LaColina"/>
    <s v="Gabriella Pardee"/>
    <s v="Netting"/>
    <x v="0"/>
    <s v="SweatBee"/>
    <x v="1"/>
    <s v="Halictini"/>
    <s v="Lasioglossum"/>
    <s v="sp_G"/>
    <x v="8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1913+1914+1915)"/>
  </r>
  <r>
    <n v="1268"/>
    <n v="1915"/>
    <d v="2021-07-10T00:00:00"/>
    <s v="LaColina"/>
    <s v="Gabriella Pardee"/>
    <s v="Netting"/>
    <x v="0"/>
    <s v="OtherBee"/>
    <x v="5"/>
    <s v="Osmiini"/>
    <s v="Heriades"/>
    <s v="sp_A"/>
    <x v="41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1913+1914+1915)"/>
  </r>
  <r>
    <n v="1084"/>
    <n v="1136"/>
    <d v="2021-07-10T00:00:00"/>
    <s v="LagunaSeca"/>
    <s v="Gabriella Pardee"/>
    <s v="Netting"/>
    <x v="0"/>
    <s v="OtherBee"/>
    <x v="7"/>
    <s v="Colletini"/>
    <s v="Hylaeus"/>
    <s v="sp_C"/>
    <x v="43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749"/>
    <n v="1230"/>
    <d v="2021-07-08T00:00:00"/>
    <s v="Natividad"/>
    <s v="Gabriella Pardee"/>
    <s v="Netting"/>
    <x v="1"/>
    <s v="Hoverfly"/>
    <x v="2"/>
    <s v="Syrphini"/>
    <s v="Sphaerophoria"/>
    <s v="contigua"/>
    <x v="64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s v="2 poll (1230+1231)"/>
  </r>
  <r>
    <n v="707"/>
    <n v="1140"/>
    <d v="2021-07-08T00:00:00"/>
    <s v="PacificGrove"/>
    <s v="Gabriella Pardee"/>
    <s v="Netting"/>
    <x v="1"/>
    <s v="OtherFly"/>
    <x v="4"/>
    <m/>
    <s v="calliphorid"/>
    <s v="sp_D"/>
    <x v="65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s v="3 poll (1140+1141+1142)"/>
  </r>
  <r>
    <n v="709"/>
    <n v="1142"/>
    <d v="2021-07-08T00:00:00"/>
    <s v="PacificGrove"/>
    <s v="Gabriella Pardee"/>
    <s v="Netting"/>
    <x v="1"/>
    <s v="OtherFly"/>
    <x v="12"/>
    <m/>
    <s v="tachinid"/>
    <s v="sp_B"/>
    <x v="29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s v="3 poll (1140+1141+1142)"/>
  </r>
  <r>
    <n v="708"/>
    <n v="1141"/>
    <d v="2021-07-08T00:00:00"/>
    <s v="PacificGrove"/>
    <s v="Gabriella Pardee"/>
    <s v="Netting"/>
    <x v="1"/>
    <s v="OtherFly"/>
    <x v="12"/>
    <m/>
    <s v="tachinid"/>
    <s v="sp_B"/>
    <x v="29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s v="3 poll (1140+1141+1142)"/>
  </r>
  <r>
    <n v="691"/>
    <n v="1076"/>
    <d v="2021-07-08T00:00:00"/>
    <s v="PacificGrove"/>
    <s v="Gabriella Pardee"/>
    <s v="Netting"/>
    <x v="1"/>
    <s v="OtherFly"/>
    <x v="12"/>
    <m/>
    <s v="tachinid"/>
    <s v="sp_B"/>
    <x v="29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m/>
  </r>
  <r>
    <n v="1148"/>
    <n v="1645"/>
    <d v="2021-07-07T00:00:00"/>
    <s v="Pajaro"/>
    <s v="Gabriella Pardee"/>
    <s v="Netting"/>
    <x v="1"/>
    <s v="OtherFly"/>
    <x v="8"/>
    <m/>
    <s v="anthomyid"/>
    <s v="sp_A"/>
    <x v="24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m/>
  </r>
  <r>
    <n v="1107"/>
    <n v="1207"/>
    <d v="2021-07-07T00:00:00"/>
    <s v="Pajaro"/>
    <s v="Gabriella Pardee"/>
    <s v="Netting"/>
    <x v="1"/>
    <s v="OtherFly"/>
    <x v="4"/>
    <s v="Lucilini"/>
    <s v="Lucila"/>
    <s v="sp_A"/>
    <x v="10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154"/>
    <n v="1651"/>
    <d v="2021-07-07T00:00:00"/>
    <s v="Pajaro"/>
    <s v="Sofie Andrade"/>
    <s v="Netting"/>
    <x v="1"/>
    <s v="OtherFly"/>
    <x v="12"/>
    <m/>
    <s v="tachinid"/>
    <s v="sp_D"/>
    <x v="66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130"/>
    <n v="1577"/>
    <d v="2021-07-07T00:00:00"/>
    <s v="Pajaro"/>
    <s v="Jenny Hsu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168"/>
    <n v="1665"/>
    <d v="2021-07-09T00:00:00"/>
    <s v="Prusch"/>
    <s v="Gabriella Pardee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337"/>
    <n v="343"/>
    <d v="2021-07-08T00:00:00"/>
    <s v="Salinas"/>
    <s v="Gabriella Pardee"/>
    <s v="Netting"/>
    <x v="1"/>
    <s v="OtherFly"/>
    <x v="8"/>
    <m/>
    <s v="anthomyid"/>
    <s v="sp_A"/>
    <x v="24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2/2)"/>
  </r>
  <r>
    <n v="320"/>
    <n v="236"/>
    <d v="2021-07-08T00:00:00"/>
    <s v="Salinas"/>
    <s v="Jenny Hsu"/>
    <s v="Netting"/>
    <x v="1"/>
    <s v="OtherFly"/>
    <x v="4"/>
    <m/>
    <s v="calliphorid"/>
    <s v="sp_B"/>
    <x v="67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3/3)"/>
  </r>
  <r>
    <n v="336"/>
    <n v="342"/>
    <d v="2021-07-08T00:00:00"/>
    <s v="Salinas"/>
    <s v="Gabriella Pardee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1/2)"/>
  </r>
  <r>
    <n v="334"/>
    <n v="340"/>
    <d v="2021-07-08T00:00:00"/>
    <s v="Salinas"/>
    <s v="Edith Gonzales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1/2)"/>
  </r>
  <r>
    <n v="332"/>
    <n v="248"/>
    <d v="2021-07-08T00:00:00"/>
    <s v="Salinas"/>
    <s v="Gabriella Pardee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1/2)"/>
  </r>
  <r>
    <n v="335"/>
    <n v="341"/>
    <d v="2021-07-08T00:00:00"/>
    <s v="Salinas"/>
    <s v="Edith Gonzales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2/2)"/>
  </r>
  <r>
    <n v="333"/>
    <n v="339"/>
    <d v="2021-07-08T00:00:00"/>
    <s v="Salinas"/>
    <s v="Gabriella Pardee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2/2)"/>
  </r>
  <r>
    <n v="351"/>
    <n v="357"/>
    <d v="2021-07-08T00:00:00"/>
    <s v="Salinas"/>
    <s v="Gabriella Pardee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1/3)"/>
  </r>
  <r>
    <n v="348"/>
    <n v="354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1/3)"/>
  </r>
  <r>
    <n v="352"/>
    <n v="358"/>
    <d v="2021-07-08T00:00:00"/>
    <s v="Salinas"/>
    <s v="Gabriella Pardee"/>
    <s v="Netting"/>
    <x v="1"/>
    <s v="OtherFly"/>
    <x v="4"/>
    <s v="Lucilini"/>
    <s v="Lucila"/>
    <s v="sp_A"/>
    <x v="10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2/3)"/>
  </r>
  <r>
    <n v="349"/>
    <n v="355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2/3)"/>
  </r>
  <r>
    <n v="319"/>
    <n v="235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2/3)"/>
  </r>
  <r>
    <n v="350"/>
    <n v="356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3/3)"/>
  </r>
  <r>
    <n v="354"/>
    <n v="360"/>
    <d v="2021-07-08T00:00:00"/>
    <s v="Salinas"/>
    <s v="Jenny Hsu"/>
    <s v="Netting"/>
    <x v="1"/>
    <s v="OtherFly"/>
    <x v="4"/>
    <s v="Lucilini"/>
    <s v="Lucila"/>
    <s v="sp_A"/>
    <x v="10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1/5)"/>
  </r>
  <r>
    <n v="360"/>
    <n v="366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2/5)"/>
  </r>
  <r>
    <n v="355"/>
    <n v="361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2/5)"/>
  </r>
  <r>
    <n v="361"/>
    <n v="367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3/5)"/>
  </r>
  <r>
    <n v="356"/>
    <n v="362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3/5)"/>
  </r>
  <r>
    <n v="362"/>
    <n v="368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4/5)"/>
  </r>
  <r>
    <n v="357"/>
    <n v="363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4/5)"/>
  </r>
  <r>
    <n v="325"/>
    <n v="241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24"/>
    <n v="240"/>
    <d v="2021-07-08T00:00:00"/>
    <s v="Salinas"/>
    <s v="Stacy Philpott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23"/>
    <n v="239"/>
    <d v="2021-07-08T00:00:00"/>
    <s v="Salinas"/>
    <s v="Jenny Hsu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17"/>
    <n v="233"/>
    <d v="2021-07-08T00:00:00"/>
    <s v="Salinas"/>
    <s v="Stacy Philpott"/>
    <s v="Netting"/>
    <x v="1"/>
    <s v="OtherFly"/>
    <x v="4"/>
    <s v="Lucilini"/>
    <s v="Lucila"/>
    <s v="sp_A"/>
    <x v="10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42"/>
    <n v="348"/>
    <d v="2021-07-08T00:00:00"/>
    <s v="Salinas"/>
    <s v="Gabriella Pardee"/>
    <s v="Netting"/>
    <x v="1"/>
    <s v="OtherFly"/>
    <x v="10"/>
    <m/>
    <s v="muscid"/>
    <s v="sp_A"/>
    <x v="68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1/2)"/>
  </r>
  <r>
    <n v="318"/>
    <n v="234"/>
    <d v="2021-07-08T00:00:00"/>
    <s v="Salinas"/>
    <s v="Jenny Hsu"/>
    <s v="Netting"/>
    <x v="1"/>
    <s v="OtherFly"/>
    <x v="10"/>
    <m/>
    <s v="muscid"/>
    <s v="sp_A"/>
    <x v="68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1/3)"/>
  </r>
  <r>
    <n v="359"/>
    <n v="365"/>
    <d v="2021-07-08T00:00:00"/>
    <s v="Salinas"/>
    <s v="Jenny Hsu"/>
    <s v="Netting"/>
    <x v="1"/>
    <s v="OtherFly"/>
    <x v="10"/>
    <m/>
    <s v="muscid"/>
    <s v="sp_A"/>
    <x v="68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1/5)"/>
  </r>
  <r>
    <n v="327"/>
    <n v="243"/>
    <d v="2021-07-08T00:00:00"/>
    <s v="Salinas"/>
    <s v="Jenny Hsu"/>
    <s v="Netting"/>
    <x v="1"/>
    <s v="OtherFly"/>
    <x v="10"/>
    <m/>
    <s v="muscid"/>
    <s v="sp_A"/>
    <x v="68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71"/>
    <n v="467"/>
    <d v="2021-07-08T00:00:00"/>
    <s v="Salinas"/>
    <s v="Gabriella Pardee"/>
    <s v="Netting"/>
    <x v="1"/>
    <s v="Hoverfly"/>
    <x v="2"/>
    <s v="Paragini"/>
    <s v="Paragus"/>
    <s v="haemorrhous"/>
    <x v="45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2/2)"/>
  </r>
  <r>
    <n v="370"/>
    <n v="466"/>
    <d v="2021-07-08T00:00:00"/>
    <s v="Salinas"/>
    <s v="Gabriella Pardee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1/2)"/>
  </r>
  <r>
    <n v="343"/>
    <n v="349"/>
    <d v="2021-07-08T00:00:00"/>
    <s v="Salinas"/>
    <s v="Gabriella Pardee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2 pollinators 1 bag (2/2)"/>
  </r>
  <r>
    <n v="363"/>
    <n v="369"/>
    <d v="2021-07-08T00:00:00"/>
    <s v="Salinas"/>
    <s v="Jenny Hsu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5/5)"/>
  </r>
  <r>
    <n v="358"/>
    <n v="364"/>
    <d v="2021-07-08T00:00:00"/>
    <s v="Salinas"/>
    <s v="Jenny Hsu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5/5)"/>
  </r>
  <r>
    <n v="353"/>
    <n v="359"/>
    <d v="2021-07-08T00:00:00"/>
    <s v="Salinas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3 pollinators 1 bag (3/3)"/>
  </r>
  <r>
    <n v="304"/>
    <n v="120"/>
    <d v="2021-07-08T00:00:00"/>
    <s v="Salinas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303"/>
    <n v="119"/>
    <d v="2021-07-08T00:00:00"/>
    <s v="Salinas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1"/>
    <s v="Pollen"/>
    <s v="Robyn Fowler"/>
    <m/>
  </r>
  <r>
    <n v="346"/>
    <n v="352"/>
    <d v="2021-07-08T00:00:00"/>
    <s v="Salinas"/>
    <s v="Stacy Philpott"/>
    <s v="Netting"/>
    <x v="2"/>
    <s v="Butterfly"/>
    <x v="6"/>
    <s v="Hesperiini"/>
    <s v="Hylephila"/>
    <s v="phyleus"/>
    <x v="17"/>
    <s v="M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1672"/>
    <n v="445"/>
    <d v="2021-07-11T00:00:00"/>
    <s v="Trescony"/>
    <s v="Jenny Hsu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Janine Tan"/>
    <m/>
  </r>
  <r>
    <n v="1671"/>
    <n v="444"/>
    <d v="2021-07-11T00:00:00"/>
    <s v="Trescony"/>
    <s v="Gabriella Pardee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Janine Tan"/>
    <m/>
  </r>
  <r>
    <n v="1590"/>
    <n v="577"/>
    <d v="2021-07-11T00:00:00"/>
    <s v="Trescony"/>
    <s v="Jenny Hsu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Sofie Andrade"/>
    <m/>
  </r>
  <r>
    <n v="562"/>
    <n v="193"/>
    <d v="2021-07-11T00:00:00"/>
    <s v="Trescony"/>
    <s v="Jenny Hsu"/>
    <s v="Netting"/>
    <x v="0"/>
    <s v="OtherBee"/>
    <x v="7"/>
    <s v="Colletini"/>
    <s v="Hylaeus"/>
    <s v="sp_B"/>
    <x v="18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197"/>
    <n v="1423"/>
    <d v="2021-07-11T00:00:00"/>
    <s v="Trescony"/>
    <s v="Gabriella Pardee"/>
    <s v="Netting"/>
    <x v="0"/>
    <s v="OtherBee"/>
    <x v="7"/>
    <s v="Colletini"/>
    <s v="Hylaeus"/>
    <s v="sp_B"/>
    <x v="18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193"/>
    <n v="1419"/>
    <d v="2021-07-11T00:00:00"/>
    <s v="Trescony"/>
    <s v="Gabriella Pardee"/>
    <s v="Netting"/>
    <x v="0"/>
    <s v="OtherBee"/>
    <x v="7"/>
    <s v="Colletini"/>
    <s v="Hylaeus"/>
    <s v="sp_B"/>
    <x v="18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198"/>
    <n v="1424"/>
    <d v="2021-07-11T00:00:00"/>
    <s v="Trescony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657"/>
    <n v="994"/>
    <d v="2021-07-07T00:00:00"/>
    <s v="ValleVerde"/>
    <s v="Gabriella Pardee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m/>
  </r>
  <r>
    <n v="649"/>
    <n v="986"/>
    <d v="2021-07-07T00:00:00"/>
    <s v="ValleVerde"/>
    <s v="Gabriella Pardee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m/>
  </r>
  <r>
    <n v="631"/>
    <n v="168"/>
    <d v="2021-07-07T00:00:00"/>
    <s v="ValleVerde"/>
    <s v="Gabriella Pardee"/>
    <s v="Netting"/>
    <x v="1"/>
    <s v="Hoverfly"/>
    <x v="2"/>
    <s v="Eristalini"/>
    <s v="Eristalis"/>
    <s v="arbustorum"/>
    <x v="61"/>
    <m/>
    <s v="cilantro"/>
    <s v="crop"/>
    <s v="Apiaceae"/>
    <s v="Coriandrum"/>
    <s v="sativum"/>
    <s v="Coriandrum sativum"/>
    <s v="Not Native"/>
    <s v="PurpleWhite"/>
    <x v="9"/>
    <x v="0"/>
    <x v="0"/>
    <s v="Nectar"/>
    <s v="Jenny Hsu"/>
    <m/>
  </r>
  <r>
    <n v="397"/>
    <n v="493"/>
    <d v="2021-07-07T00:00:00"/>
    <s v="ValleVerde"/>
    <s v="Azucena Luctaero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1/5)"/>
  </r>
  <r>
    <n v="395"/>
    <n v="491"/>
    <d v="2021-07-07T00:00:00"/>
    <s v="ValleVerde"/>
    <s v="Jenny Hsu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378"/>
    <n v="474"/>
    <d v="2021-07-07T00:00:00"/>
    <s v="ValleVerde"/>
    <s v="Sofie Andrade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633"/>
    <n v="970"/>
    <d v="2021-07-07T00:00:00"/>
    <s v="ValleVerde"/>
    <s v="Jenny Hsu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169+970)"/>
  </r>
  <r>
    <n v="632"/>
    <n v="169"/>
    <d v="2021-07-07T00:00:00"/>
    <s v="ValleVerde"/>
    <s v="Jenny Hsu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169+970)"/>
  </r>
  <r>
    <n v="635"/>
    <n v="972"/>
    <d v="2021-07-07T00:00:00"/>
    <s v="ValleVerd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Pollen"/>
    <s v="Jenny Hsu"/>
    <s v="2 poll (971+972)"/>
  </r>
  <r>
    <n v="634"/>
    <n v="971"/>
    <d v="2021-07-07T00:00:00"/>
    <s v="ValleVerd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Pollen"/>
    <s v="Jenny Hsu"/>
    <s v="2 poll (971+972)"/>
  </r>
  <r>
    <n v="656"/>
    <n v="993"/>
    <d v="2021-07-07T00:00:00"/>
    <s v="ValleVerd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2+993)"/>
  </r>
  <r>
    <n v="655"/>
    <n v="992"/>
    <d v="2021-07-07T00:00:00"/>
    <s v="ValleVerd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2+993)"/>
  </r>
  <r>
    <n v="398"/>
    <n v="494"/>
    <d v="2021-07-07T00:00:00"/>
    <s v="ValleVerde"/>
    <s v="Azucena Luctaero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2/5)"/>
  </r>
  <r>
    <n v="399"/>
    <n v="495"/>
    <d v="2021-07-07T00:00:00"/>
    <s v="ValleVerde"/>
    <s v="Azucena Luctaero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3/5)"/>
  </r>
  <r>
    <n v="400"/>
    <n v="496"/>
    <d v="2021-07-07T00:00:00"/>
    <s v="ValleVerde"/>
    <s v="Azucena Luctaero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4/5)"/>
  </r>
  <r>
    <n v="629"/>
    <n v="166"/>
    <d v="2021-07-07T00:00:00"/>
    <s v="ValleVerde"/>
    <s v="Gabriella Pardee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Pollen"/>
    <s v="Jenny Hsu"/>
    <m/>
  </r>
  <r>
    <n v="381"/>
    <n v="477"/>
    <d v="2021-07-07T00:00:00"/>
    <s v="ValleVerde"/>
    <s v="Jenny Hsu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1"/>
    <s v="NA"/>
    <s v="Robyn Fowler"/>
    <m/>
  </r>
  <r>
    <n v="650"/>
    <n v="987"/>
    <d v="2021-07-07T00:00:00"/>
    <s v="ValleVerde"/>
    <s v="Jenny Hsu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396"/>
    <n v="492"/>
    <d v="2021-07-07T00:00:00"/>
    <s v="ValleVerde"/>
    <s v="Jenny Hsu"/>
    <s v="Netting"/>
    <x v="0"/>
    <s v="SweatBee"/>
    <x v="1"/>
    <s v="Halictini"/>
    <s v="Halictus"/>
    <s v="tripartitus"/>
    <x v="4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m/>
  </r>
  <r>
    <n v="654"/>
    <n v="991"/>
    <d v="2021-07-07T00:00:00"/>
    <s v="ValleVerde"/>
    <s v="Gabriella Pardee"/>
    <s v="Netting"/>
    <x v="0"/>
    <s v="SweatBee"/>
    <x v="1"/>
    <s v="Halictini"/>
    <s v="Lasioglossum"/>
    <s v="sp_F"/>
    <x v="22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0+991)"/>
  </r>
  <r>
    <n v="659"/>
    <n v="996"/>
    <d v="2021-07-07T00:00:00"/>
    <s v="ValleVerde"/>
    <s v="Gabriella Pardee"/>
    <s v="Netting"/>
    <x v="0"/>
    <s v="SweatBee"/>
    <x v="1"/>
    <s v="Halictini"/>
    <s v="Lasioglossum"/>
    <s v="sp_F"/>
    <x v="22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5+996)"/>
  </r>
  <r>
    <n v="401"/>
    <n v="497"/>
    <d v="2021-07-07T00:00:00"/>
    <s v="ValleVerde"/>
    <s v="Azucena Luctaero"/>
    <s v="Netting"/>
    <x v="0"/>
    <s v="SweatBee"/>
    <x v="1"/>
    <s v="Halictini"/>
    <s v="Lasioglossum"/>
    <s v="sp_F"/>
    <x v="22"/>
    <s v="male"/>
    <s v="cilantro"/>
    <s v="crop"/>
    <s v="Apiaceae"/>
    <s v="Coriandrum"/>
    <s v="sativum"/>
    <s v="Coriandrum sativum"/>
    <s v="Not Native"/>
    <s v="PurpleWhite"/>
    <x v="9"/>
    <x v="0"/>
    <x v="0"/>
    <s v="NA"/>
    <s v="Robyn Fowler"/>
    <s v="5 pollinators 1 bag (5/5)"/>
  </r>
  <r>
    <n v="653"/>
    <n v="990"/>
    <d v="2021-07-07T00:00:00"/>
    <s v="ValleVerde"/>
    <s v="Gabriella Pardee"/>
    <s v="Netting"/>
    <x v="0"/>
    <s v="SweatBee"/>
    <x v="1"/>
    <s v="Halictini"/>
    <s v="Lasioglossum"/>
    <s v="sp_G"/>
    <x v="8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2 poll (990+991)"/>
  </r>
  <r>
    <n v="955"/>
    <n v="589"/>
    <d v="2021-07-07T00:00:00"/>
    <s v="WVIMiJardinVerde"/>
    <s v="Sofie Andrade"/>
    <s v="Netting"/>
    <x v="1"/>
    <s v="OtherFly"/>
    <x v="8"/>
    <m/>
    <s v="anthomyid"/>
    <s v="sp_C"/>
    <x v="69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589+590+1265)"/>
  </r>
  <r>
    <n v="957"/>
    <n v="1265"/>
    <d v="2021-07-07T00:00:00"/>
    <s v="WVIMiJardinVerde"/>
    <s v="Sofie Andrade"/>
    <s v="Netting"/>
    <x v="1"/>
    <s v="Hoverfly"/>
    <x v="2"/>
    <s v="Paragini"/>
    <s v="Paragus"/>
    <s v="haemorrhous"/>
    <x v="45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589+590+1265)"/>
  </r>
  <r>
    <n v="956"/>
    <n v="590"/>
    <d v="2021-07-07T00:00:00"/>
    <s v="WVIMiJardinVerde"/>
    <s v="Sofie Andrade"/>
    <s v="Netting"/>
    <x v="1"/>
    <s v="Hoverfly"/>
    <x v="2"/>
    <s v="Paragini"/>
    <s v="Paragus"/>
    <s v="haemorrhous"/>
    <x v="45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s v="3 poll (589+590+1265)"/>
  </r>
  <r>
    <n v="952"/>
    <n v="586"/>
    <d v="2021-07-07T00:00:00"/>
    <s v="WVIMiJardinVerde"/>
    <s v="Jenny Hsu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950"/>
    <n v="584"/>
    <d v="2021-07-07T00:00:00"/>
    <s v="WVIMiJardinVerde"/>
    <s v="Jenny Hsu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925"/>
    <n v="1101"/>
    <d v="2021-07-07T00:00:00"/>
    <s v="WVIMiJardinVerde"/>
    <s v="Azucena Luctaero"/>
    <s v="Netting"/>
    <x v="1"/>
    <s v="Hoverfly"/>
    <x v="2"/>
    <s v="Milesini"/>
    <s v="Syritta"/>
    <s v="pipiens"/>
    <x v="11"/>
    <m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943"/>
    <n v="1119"/>
    <d v="2021-07-07T00:00:00"/>
    <s v="WVIMiJardinVerde"/>
    <s v="Jenny Hsu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918"/>
    <n v="336"/>
    <d v="2021-07-07T00:00:00"/>
    <s v="WVIMiJardinVerde"/>
    <s v="Azucena Luctaero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916"/>
    <n v="334"/>
    <d v="2021-07-07T00:00:00"/>
    <s v="WVIMiJardinVerde"/>
    <s v="Azucena Luctaero"/>
    <s v="Netting"/>
    <x v="0"/>
    <s v="HoneyBee"/>
    <x v="0"/>
    <s v="Apini"/>
    <s v="Apis"/>
    <s v="mellifera"/>
    <x v="2"/>
    <s v="female"/>
    <s v="cilantro"/>
    <s v="crop"/>
    <s v="Apiaceae"/>
    <s v="Coriandrum"/>
    <s v="sativum"/>
    <s v="Coriandrum sativum"/>
    <s v="Not Native"/>
    <s v="PurpleWhite"/>
    <x v="9"/>
    <x v="0"/>
    <x v="0"/>
    <s v="NA"/>
    <s v="Jenny Hsu"/>
    <m/>
  </r>
  <r>
    <n v="777"/>
    <n v="1306"/>
    <d v="2021-07-10T00:00:00"/>
    <s v="HomelessGardenProject"/>
    <s v="Gabriella Pardee"/>
    <s v="Netting"/>
    <x v="0"/>
    <s v="SweatBee"/>
    <x v="1"/>
    <s v="Halictini"/>
    <s v="Lasioglossum"/>
    <s v="sp_G"/>
    <x v="8"/>
    <s v="female"/>
    <s v="balloon plant"/>
    <s v="ornamental"/>
    <s v="Campanulaceae"/>
    <s v="Platycodon"/>
    <s v="grandiflorus"/>
    <s v="Platycodon grandiflorus"/>
    <s v="Not Native"/>
    <s v="PurpleWhite"/>
    <x v="2"/>
    <x v="0"/>
    <x v="1"/>
    <s v="NA"/>
    <s v="Jenny Hsu"/>
    <m/>
  </r>
  <r>
    <n v="1697"/>
    <n v="576"/>
    <d v="2021-07-11T00:00:00"/>
    <s v="BeachFlats"/>
    <s v="Sofie Andrade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anine Tan"/>
    <m/>
  </r>
  <r>
    <n v="1369"/>
    <n v="2066"/>
    <d v="2021-07-09T00:00:00"/>
    <s v="Berryessa"/>
    <s v="Robyn Fowler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364"/>
    <n v="2061"/>
    <d v="2021-07-09T00:00:00"/>
    <s v="Berryessa"/>
    <s v="Robyn Fowler"/>
    <s v="Netting"/>
    <x v="0"/>
    <s v="OtherBee"/>
    <x v="7"/>
    <s v="Colletini"/>
    <s v="Hylaeus"/>
    <s v="sp_D"/>
    <x v="42"/>
    <s v="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659"/>
    <n v="430"/>
    <d v="2021-07-11T00:00:00"/>
    <s v="Grange"/>
    <s v="Robyn Fowler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anine Tan"/>
    <m/>
  </r>
  <r>
    <n v="1652"/>
    <n v="423"/>
    <d v="2021-07-11T00:00:00"/>
    <s v="Grange"/>
    <s v="Robyn Fowler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anine Tan"/>
    <m/>
  </r>
  <r>
    <n v="1073"/>
    <n v="376"/>
    <d v="2021-07-10T00:00:00"/>
    <s v="LagunaSeca"/>
    <s v="Gabriella Pardee"/>
    <s v="Netting"/>
    <x v="1"/>
    <s v="Hoverfly"/>
    <x v="2"/>
    <s v="Paragini"/>
    <s v="Paragus"/>
    <s v="haemorrhous"/>
    <x v="45"/>
    <m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081"/>
    <n v="503"/>
    <d v="2021-07-10T00:00:00"/>
    <s v="LagunaSeca"/>
    <s v="Stacy Philpott"/>
    <s v="Netting"/>
    <x v="0"/>
    <s v="OtherBee"/>
    <x v="0"/>
    <s v="Ceratinini"/>
    <s v="Ceratina"/>
    <s v="nanula"/>
    <x v="9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s v="2 poll (503+504)"/>
  </r>
  <r>
    <n v="1082"/>
    <n v="504"/>
    <d v="2021-07-10T00:00:00"/>
    <s v="LagunaSeca"/>
    <s v="Stacy Philpott"/>
    <s v="Netting"/>
    <x v="0"/>
    <s v="SweatBee"/>
    <x v="1"/>
    <s v="Halictini"/>
    <s v="Lasioglossum"/>
    <s v="sp_G"/>
    <x v="8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s v="2 poll (503+504)"/>
  </r>
  <r>
    <n v="1309"/>
    <n v="2006"/>
    <d v="2021-07-08T00:00:00"/>
    <s v="MIIS"/>
    <s v="Jenny Hsu"/>
    <s v="Netting"/>
    <x v="1"/>
    <s v="OtherFly"/>
    <x v="12"/>
    <m/>
    <s v="tachinid"/>
    <s v="sp_A"/>
    <x v="70"/>
    <m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768"/>
    <n v="1249"/>
    <d v="2021-07-08T00:00:00"/>
    <s v="Natividad"/>
    <s v="Stacy Philpott"/>
    <s v="Netting"/>
    <x v="1"/>
    <s v="Hoverfly"/>
    <x v="2"/>
    <s v="Paragini"/>
    <s v="Paragus"/>
    <s v="haemorrhous"/>
    <x v="45"/>
    <m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733"/>
    <n v="1166"/>
    <d v="2021-07-08T00:00:00"/>
    <s v="Natividad"/>
    <s v="Jenny Hsu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752"/>
    <n v="1233"/>
    <d v="2021-07-08T00:00:00"/>
    <s v="Natividad"/>
    <s v="Stacy Philpott"/>
    <s v="Netting"/>
    <x v="0"/>
    <s v="SweatBee"/>
    <x v="1"/>
    <s v="Halictini"/>
    <s v="Lasioglossum"/>
    <s v="sp_F"/>
    <x v="22"/>
    <s v="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197"/>
    <n v="1744"/>
    <d v="2021-07-09T00:00:00"/>
    <s v="Prusch"/>
    <s v="Robyn Fowler"/>
    <s v="Netting"/>
    <x v="0"/>
    <s v="HoneyBee"/>
    <x v="0"/>
    <s v="Apini"/>
    <s v="Apis"/>
    <s v="mellifera"/>
    <x v="2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174"/>
    <n v="1671"/>
    <d v="2021-07-09T00:00:00"/>
    <s v="Prusch"/>
    <s v="Gabriella Pardee"/>
    <s v="Netting"/>
    <x v="0"/>
    <s v="OtherBee"/>
    <x v="5"/>
    <s v="Osmiini"/>
    <s v="Heriades"/>
    <s v="sp_B"/>
    <x v="71"/>
    <s v="fe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1204"/>
    <n v="1751"/>
    <d v="2021-07-09T00:00:00"/>
    <s v="Prusch"/>
    <s v="Robyn Fowler"/>
    <s v="Netting"/>
    <x v="0"/>
    <s v="OtherBee"/>
    <x v="5"/>
    <s v="Megachilini"/>
    <s v="Megachile"/>
    <s v="angelarum"/>
    <x v="56"/>
    <s v="male"/>
    <s v="thyme"/>
    <s v="crop"/>
    <s v="Lamiaceae"/>
    <s v="Thymus"/>
    <s v="vulgaris"/>
    <s v="Thymus vulgaris"/>
    <s v="Not Native"/>
    <s v="PurpleWhite"/>
    <x v="1"/>
    <x v="2"/>
    <x v="0"/>
    <s v="NA"/>
    <s v="Jenny Hsu"/>
    <m/>
  </r>
  <r>
    <n v="339"/>
    <n v="345"/>
    <d v="2021-07-08T00:00:00"/>
    <s v="Salinas"/>
    <s v="Edith Gonzales"/>
    <s v="Netting"/>
    <x v="1"/>
    <s v="OtherFly"/>
    <x v="8"/>
    <m/>
    <s v="anthomyid"/>
    <s v="sp_A"/>
    <x v="24"/>
    <m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2 pollinators 1 bag (2/2)"/>
  </r>
  <r>
    <n v="330"/>
    <n v="246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2 pollinators 1 bag (1/2)"/>
  </r>
  <r>
    <n v="331"/>
    <n v="247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2 pollinators 1 bag (2/2)"/>
  </r>
  <r>
    <n v="364"/>
    <n v="370"/>
    <d v="2021-07-08T00:00:00"/>
    <s v="Salinas"/>
    <s v="Edith Gonzales"/>
    <s v="Netting"/>
    <x v="1"/>
    <s v="OtherFly"/>
    <x v="4"/>
    <s v="Lucilini"/>
    <s v="Lucila"/>
    <s v="sp_A"/>
    <x v="10"/>
    <s v="fe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1/6)"/>
  </r>
  <r>
    <n v="365"/>
    <n v="371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2/6)"/>
  </r>
  <r>
    <n v="366"/>
    <n v="372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3/6)"/>
  </r>
  <r>
    <n v="367"/>
    <n v="373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4/6)"/>
  </r>
  <r>
    <n v="368"/>
    <n v="374"/>
    <d v="2021-07-08T00:00:00"/>
    <s v="Salinas"/>
    <s v="Edith Gonzales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5/6)"/>
  </r>
  <r>
    <n v="326"/>
    <n v="242"/>
    <d v="2021-07-08T00:00:00"/>
    <s v="Salinas"/>
    <s v="Jenny Hsu"/>
    <s v="Netting"/>
    <x v="1"/>
    <s v="OtherFly"/>
    <x v="4"/>
    <s v="Lucilini"/>
    <s v="Lucila"/>
    <s v="sp_A"/>
    <x v="10"/>
    <s v="male"/>
    <s v="thyme"/>
    <s v="crop"/>
    <s v="Lamiaceae"/>
    <s v="Thymus"/>
    <s v="vulgaris"/>
    <s v="Thymus vulgaris"/>
    <s v="Not Native"/>
    <s v="PurpleWhite"/>
    <x v="1"/>
    <x v="2"/>
    <x v="0"/>
    <s v="NA"/>
    <s v="Robyn Fowler"/>
    <m/>
  </r>
  <r>
    <n v="338"/>
    <n v="344"/>
    <d v="2021-07-08T00:00:00"/>
    <s v="Salinas"/>
    <s v="Edith Gonzales"/>
    <s v="Netting"/>
    <x v="1"/>
    <s v="OtherFly"/>
    <x v="10"/>
    <m/>
    <s v="muscid"/>
    <s v="sp_A"/>
    <x v="68"/>
    <m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2 pollinators 1 bag (1/2)"/>
  </r>
  <r>
    <n v="369"/>
    <n v="465"/>
    <d v="2021-07-08T00:00:00"/>
    <s v="Salinas"/>
    <s v="Edith Gonzales"/>
    <s v="Netting"/>
    <x v="1"/>
    <s v="Hoverfly"/>
    <x v="2"/>
    <s v="Milesini"/>
    <s v="Syritta"/>
    <s v="pipiens"/>
    <x v="11"/>
    <m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6 pollinators 1 bag (6/6)"/>
  </r>
  <r>
    <n v="373"/>
    <n v="469"/>
    <d v="2021-07-08T00:00:00"/>
    <s v="Salinas"/>
    <s v="Jenny Hsu"/>
    <s v="Netting"/>
    <x v="1"/>
    <s v="Hoverfly"/>
    <x v="2"/>
    <s v="Milesini"/>
    <s v="Syritta"/>
    <s v="pipiens"/>
    <x v="11"/>
    <m/>
    <s v="thyme"/>
    <s v="crop"/>
    <s v="Lamiaceae"/>
    <s v="Thymus"/>
    <s v="vulgaris"/>
    <s v="Thymus vulgaris"/>
    <s v="Not Native"/>
    <s v="PurpleWhite"/>
    <x v="1"/>
    <x v="2"/>
    <x v="0"/>
    <s v="NA"/>
    <s v="Robyn Fowler"/>
    <m/>
  </r>
  <r>
    <n v="567"/>
    <n v="198"/>
    <d v="2021-07-11T00:00:00"/>
    <s v="Trescony"/>
    <s v="Gabriella Pardee"/>
    <s v="Netting"/>
    <x v="1"/>
    <s v="Hoverfly"/>
    <x v="2"/>
    <s v="Milesini"/>
    <s v="Syritta"/>
    <s v="pipiens"/>
    <x v="11"/>
    <m/>
    <s v="thyme"/>
    <s v="crop"/>
    <s v="Lamiaceae"/>
    <s v="Thymus"/>
    <s v="vulgaris"/>
    <s v="Thymus vulgaris"/>
    <s v="Not Native"/>
    <s v="PurpleWhite"/>
    <x v="1"/>
    <x v="2"/>
    <x v="0"/>
    <s v="NA"/>
    <s v="Jenny Hsu"/>
    <s v="2 poll (197+198)"/>
  </r>
  <r>
    <n v="566"/>
    <n v="197"/>
    <d v="2021-07-11T00:00:00"/>
    <s v="Trescony"/>
    <s v="Gabriella Pardee"/>
    <s v="Netting"/>
    <x v="1"/>
    <s v="Hoverfly"/>
    <x v="2"/>
    <s v="Milesini"/>
    <s v="Syritta"/>
    <s v="pipiens"/>
    <x v="11"/>
    <m/>
    <s v="thyme"/>
    <s v="crop"/>
    <s v="Lamiaceae"/>
    <s v="Thymus"/>
    <s v="vulgaris"/>
    <s v="Thymus vulgaris"/>
    <s v="Not Native"/>
    <s v="PurpleWhite"/>
    <x v="1"/>
    <x v="2"/>
    <x v="0"/>
    <s v="NA"/>
    <s v="Jenny Hsu"/>
    <s v="2 poll (197+198)"/>
  </r>
  <r>
    <n v="206"/>
    <n v="1432"/>
    <d v="2021-07-11T00:00:00"/>
    <s v="Trescony"/>
    <s v="Sofie Andrade"/>
    <s v="Netting"/>
    <x v="1"/>
    <s v="Hoverfly"/>
    <x v="2"/>
    <s v="Milesini"/>
    <s v="Syritta"/>
    <s v="pipiens"/>
    <x v="11"/>
    <m/>
    <s v="thyme"/>
    <s v="crop"/>
    <s v="Lamiaceae"/>
    <s v="Thymus"/>
    <s v="vulgaris"/>
    <s v="Thymus vulgaris"/>
    <s v="Not Native"/>
    <s v="PurpleWhite"/>
    <x v="1"/>
    <x v="2"/>
    <x v="0"/>
    <s v="NA"/>
    <s v="Robyn Fowler"/>
    <s v="detached leg (glued on paper and pinned underneath)"/>
  </r>
  <r>
    <n v="167"/>
    <n v="1253"/>
    <d v="2021-07-11T00:00:00"/>
    <s v="Grange"/>
    <s v="Gabriella Pardee"/>
    <s v="Netting"/>
    <x v="0"/>
    <s v="HoneyBee"/>
    <x v="0"/>
    <s v="Apini"/>
    <s v="Apis"/>
    <s v="mellifera"/>
    <x v="2"/>
    <s v="female"/>
    <s v="passion fruit"/>
    <s v="crop"/>
    <s v="Passifloraceae"/>
    <s v="Passiflora"/>
    <s v="edulis"/>
    <s v="Passiflora edulis"/>
    <s v="Not Native"/>
    <s v="PurpleWhite"/>
    <x v="1"/>
    <x v="3"/>
    <x v="0"/>
    <s v="NA"/>
    <s v="Robyn Fowler"/>
    <m/>
  </r>
  <r>
    <n v="1075"/>
    <n v="378"/>
    <d v="2021-07-10T00:00:00"/>
    <s v="LagunaSeca"/>
    <s v="Azucena Luctaero"/>
    <s v="Netting"/>
    <x v="0"/>
    <s v="HoneyBee"/>
    <x v="0"/>
    <s v="Apini"/>
    <s v="Apis"/>
    <s v="mellifera"/>
    <x v="2"/>
    <s v="female"/>
    <s v="passion fruit"/>
    <s v="crop"/>
    <s v="Passifloraceae"/>
    <s v="Passiflora"/>
    <s v="edulis"/>
    <s v="Passiflora edulis"/>
    <s v="Not Native"/>
    <s v="PurpleWhite"/>
    <x v="1"/>
    <x v="3"/>
    <x v="0"/>
    <s v="NA"/>
    <s v="Jenny Hsu"/>
    <m/>
  </r>
  <r>
    <n v="865"/>
    <n v="945"/>
    <d v="2021-07-11T00:00:00"/>
    <s v="Chadwick"/>
    <s v="Sofie Andrade"/>
    <s v="Netting"/>
    <x v="0"/>
    <s v="HoneyBee"/>
    <x v="0"/>
    <s v="Apini"/>
    <s v="Apis"/>
    <s v="mellifera"/>
    <x v="2"/>
    <s v="female"/>
    <s v="sage, Mexican bush"/>
    <s v="ornamental"/>
    <s v="Lamiaceae"/>
    <s v="Salvia"/>
    <s v="leucantha"/>
    <s v="Salvia leucantha"/>
    <s v="Not Native"/>
    <s v="PurpleWhite"/>
    <x v="2"/>
    <x v="1"/>
    <x v="0"/>
    <s v="NA"/>
    <s v="Jenny Hsu"/>
    <m/>
  </r>
  <r>
    <n v="874"/>
    <n v="954"/>
    <d v="2021-07-11T00:00:00"/>
    <s v="Chadwick"/>
    <s v="Jenny Hsu"/>
    <s v="Netting"/>
    <x v="0"/>
    <s v="BumbleBee"/>
    <x v="0"/>
    <s v="Bombini"/>
    <s v="Bombus"/>
    <s v="vosnesenskii"/>
    <x v="0"/>
    <s v="male"/>
    <s v="sage, Mexican bush"/>
    <s v="ornamental"/>
    <s v="Lamiaceae"/>
    <s v="Salvia"/>
    <s v="leucantha"/>
    <s v="Salvia leucantha"/>
    <s v="Not Native"/>
    <s v="PurpleWhite"/>
    <x v="2"/>
    <x v="1"/>
    <x v="0"/>
    <s v="NA"/>
    <s v="Jenny Hsu"/>
    <m/>
  </r>
  <r>
    <n v="899"/>
    <n v="1027"/>
    <d v="2021-07-11T00:00:00"/>
    <s v="Chadwick"/>
    <s v="Gabriella Pardee"/>
    <s v="Netting"/>
    <x v="1"/>
    <s v="OtherFly"/>
    <x v="4"/>
    <s v="Lucilini"/>
    <s v="Lucila"/>
    <s v="sp_A"/>
    <x v="10"/>
    <s v="female"/>
    <s v="sage, tropical"/>
    <s v="ornamental"/>
    <s v="Lamiaceae"/>
    <s v="Salvia"/>
    <s v="coccinea"/>
    <s v="Salvia coccinea"/>
    <s v="Not Native"/>
    <s v="Red"/>
    <x v="6"/>
    <x v="1"/>
    <x v="0"/>
    <s v="NA"/>
    <s v="Jenny Hsu"/>
    <m/>
  </r>
  <r>
    <n v="1743"/>
    <n v="830"/>
    <d v="2021-07-07T00:00:00"/>
    <s v="Aptos"/>
    <s v="Gabriella Pardee"/>
    <s v="Netting"/>
    <x v="0"/>
    <s v="HoneyBee"/>
    <x v="0"/>
    <s v="Apini"/>
    <s v="Apis"/>
    <s v="mellifera"/>
    <x v="2"/>
    <s v="female"/>
    <s v="marigold"/>
    <s v="ornamental"/>
    <s v="Asteraceae"/>
    <s v="Tagetes"/>
    <s v="sp."/>
    <s v="Tagetes sp. A"/>
    <s v="U"/>
    <s v="RedOrangePinkYellow"/>
    <x v="3"/>
    <x v="3"/>
    <x v="0"/>
    <s v="NA"/>
    <s v="Janine Tan"/>
    <m/>
  </r>
  <r>
    <n v="1736"/>
    <n v="823"/>
    <d v="2021-07-07T00:00:00"/>
    <s v="Aptos"/>
    <s v="Gabriella Pardee"/>
    <s v="Netting"/>
    <x v="0"/>
    <s v="HoneyBee"/>
    <x v="0"/>
    <s v="Apini"/>
    <s v="Apis"/>
    <s v="mellifera"/>
    <x v="2"/>
    <s v="female"/>
    <s v="marigold"/>
    <s v="ornamental"/>
    <s v="Asteraceae"/>
    <s v="Tagetes"/>
    <s v="sp."/>
    <s v="Tagetes sp. A"/>
    <s v="U"/>
    <s v="RedOrangePinkYellow"/>
    <x v="3"/>
    <x v="3"/>
    <x v="0"/>
    <s v="NA"/>
    <s v="Janine Tan"/>
    <m/>
  </r>
  <r>
    <n v="1600"/>
    <n v="25"/>
    <d v="2021-07-07T00:00:00"/>
    <s v="Aptos"/>
    <s v="Azucena Luctaero"/>
    <s v="Netting"/>
    <x v="0"/>
    <s v="SweatBee"/>
    <x v="1"/>
    <s v="Halictini"/>
    <s v="Halictus"/>
    <s v="tripartitus"/>
    <x v="4"/>
    <s v="female"/>
    <s v="marigold"/>
    <s v="ornamental"/>
    <s v="Asteraceae"/>
    <s v="Tagetes"/>
    <s v="sp."/>
    <s v="Tagetes sp. A"/>
    <s v="U"/>
    <s v="RedOrangePinkYellow"/>
    <x v="3"/>
    <x v="3"/>
    <x v="1"/>
    <s v="NA"/>
    <s v="Genesis Perez"/>
    <m/>
  </r>
  <r>
    <n v="1377"/>
    <n v="2074"/>
    <d v="2021-07-09T00:00:00"/>
    <s v="Berryessa"/>
    <s v="Gabriella Pardee"/>
    <s v="Netting"/>
    <x v="0"/>
    <s v="SweatBee"/>
    <x v="1"/>
    <s v="Halictini"/>
    <s v="Lasioglossum"/>
    <s v="sp_G"/>
    <x v="8"/>
    <s v="female"/>
    <s v="marigold"/>
    <s v="ornamental"/>
    <s v="Asteraceae"/>
    <s v="Tagetes"/>
    <s v="sp."/>
    <s v="Tagetes sp. A"/>
    <s v="U"/>
    <s v="RedOrangePinkYellow"/>
    <x v="3"/>
    <x v="3"/>
    <x v="0"/>
    <s v="NA"/>
    <s v="Jenny Hsu"/>
    <m/>
  </r>
  <r>
    <n v="1447"/>
    <n v="2244"/>
    <d v="2021-07-11T00:00:00"/>
    <s v="FarmGardenUCSC"/>
    <s v="Robyn Fowler"/>
    <s v="Netting"/>
    <x v="0"/>
    <s v="BumbleBee"/>
    <x v="0"/>
    <s v="Bombini"/>
    <s v="Bombus"/>
    <s v="vosnesenskii"/>
    <x v="0"/>
    <s v="male"/>
    <s v="marigold"/>
    <s v="ornamental"/>
    <s v="Asteraceae"/>
    <s v="Tagetes"/>
    <s v="sp."/>
    <s v="Tagetes sp. A"/>
    <s v="U"/>
    <s v="RedOrangePinkYellow"/>
    <x v="3"/>
    <x v="3"/>
    <x v="1"/>
    <s v="NA"/>
    <s v="Jenny Hsu"/>
    <m/>
  </r>
  <r>
    <n v="1581"/>
    <n v="324"/>
    <d v="2021-07-11T00:00:00"/>
    <s v="Grange"/>
    <s v="Robyn Fowler"/>
    <s v="Netting"/>
    <x v="0"/>
    <s v="HoneyBee"/>
    <x v="0"/>
    <s v="Apini"/>
    <s v="Apis"/>
    <s v="mellifera"/>
    <x v="2"/>
    <s v="female"/>
    <s v="marigold"/>
    <s v="ornamental"/>
    <s v="Asteraceae"/>
    <s v="Tagetes"/>
    <s v="sp."/>
    <s v="Tagetes sp. A"/>
    <s v="U"/>
    <s v="RedOrangePinkYellow"/>
    <x v="3"/>
    <x v="3"/>
    <x v="0"/>
    <s v="NA"/>
    <s v="Sofie Andrade"/>
    <m/>
  </r>
  <r>
    <n v="289"/>
    <n v="903"/>
    <d v="2021-07-09T00:00:00"/>
    <s v="Guadalupe"/>
    <s v="Robyn Fowler"/>
    <s v="Netting"/>
    <x v="1"/>
    <s v="OtherFly"/>
    <x v="19"/>
    <m/>
    <s v="tephritid"/>
    <s v="sp_A"/>
    <x v="72"/>
    <m/>
    <s v="marigold"/>
    <s v="ornamental"/>
    <s v="Asteraceae"/>
    <s v="Tagetes"/>
    <s v="sp."/>
    <s v="Tagetes sp. A"/>
    <s v="U"/>
    <s v="RedOrangePinkYellow"/>
    <x v="3"/>
    <x v="3"/>
    <x v="0"/>
    <s v="NA"/>
    <s v="Robyn Fowler"/>
    <m/>
  </r>
  <r>
    <n v="830"/>
    <n v="1407"/>
    <d v="2021-07-10T00:00:00"/>
    <s v="HomelessGardenProject"/>
    <s v="Jenny Hsu"/>
    <s v="Netting"/>
    <x v="0"/>
    <s v="HoneyBee"/>
    <x v="0"/>
    <s v="Apini"/>
    <s v="Apis"/>
    <s v="mellifera"/>
    <x v="2"/>
    <s v="female"/>
    <s v="marigold"/>
    <s v="ornamental"/>
    <s v="Asteraceae"/>
    <s v="Tagetes"/>
    <s v="sp."/>
    <s v="Tagetes sp. A"/>
    <s v="U"/>
    <s v="RedOrangePinkYellow"/>
    <x v="3"/>
    <x v="3"/>
    <x v="0"/>
    <s v="NA"/>
    <s v="Jenny Hsu"/>
    <m/>
  </r>
  <r>
    <n v="1302"/>
    <n v="1999"/>
    <d v="2021-07-08T00:00:00"/>
    <s v="MIIS"/>
    <s v="Gabriella Pardee"/>
    <s v="Netting"/>
    <x v="0"/>
    <s v="SweatBee"/>
    <x v="1"/>
    <s v="Halictini"/>
    <s v="Halictus"/>
    <s v="tripartitus"/>
    <x v="4"/>
    <s v="female"/>
    <s v="marigold"/>
    <s v="ornamental"/>
    <s v="Asteraceae"/>
    <s v="Tagetes"/>
    <s v="sp."/>
    <s v="Tagetes sp. A"/>
    <s v="U"/>
    <s v="RedOrangePinkYellow"/>
    <x v="3"/>
    <x v="3"/>
    <x v="0"/>
    <s v="Pollen"/>
    <s v="Jenny Hsu"/>
    <m/>
  </r>
  <r>
    <n v="730"/>
    <n v="1163"/>
    <d v="2021-07-08T00:00:00"/>
    <s v="Natividad"/>
    <s v="Jenny Hsu"/>
    <s v="Netting"/>
    <x v="0"/>
    <s v="BumbleBee"/>
    <x v="0"/>
    <s v="Bombini"/>
    <s v="Bombus"/>
    <s v="vosnesenskii"/>
    <x v="0"/>
    <s v="male"/>
    <s v="marigold"/>
    <s v="ornamental"/>
    <s v="Asteraceae"/>
    <s v="Tagetes"/>
    <s v="sp."/>
    <s v="Tagetes sp. A"/>
    <s v="U"/>
    <s v="RedOrangePinkYellow"/>
    <x v="3"/>
    <x v="3"/>
    <x v="0"/>
    <s v="NA"/>
    <s v="Jenny Hsu"/>
    <m/>
  </r>
  <r>
    <n v="728"/>
    <n v="1161"/>
    <d v="2021-07-08T00:00:00"/>
    <s v="Natividad"/>
    <s v="Gabriella Pardee"/>
    <s v="Netting"/>
    <x v="0"/>
    <s v="BumbleBee"/>
    <x v="0"/>
    <s v="Bombini"/>
    <s v="Bombus"/>
    <s v="vosnesenskii"/>
    <x v="0"/>
    <s v="male"/>
    <s v="marigold"/>
    <s v="ornamental"/>
    <s v="Asteraceae"/>
    <s v="Tagetes"/>
    <s v="sp."/>
    <s v="Tagetes sp. A"/>
    <s v="U"/>
    <s v="RedOrangePinkYellow"/>
    <x v="3"/>
    <x v="3"/>
    <x v="1"/>
    <s v="Pollen"/>
    <s v="Jenny Hsu"/>
    <m/>
  </r>
  <r>
    <n v="725"/>
    <n v="1158"/>
    <d v="2021-07-08T00:00:00"/>
    <s v="Natividad"/>
    <s v="Gabriella Pardee"/>
    <s v="Netting"/>
    <x v="0"/>
    <s v="SweatBee"/>
    <x v="1"/>
    <s v="Halictini"/>
    <s v="Lasioglossum"/>
    <s v="sp_G"/>
    <x v="8"/>
    <s v="female"/>
    <s v="marigold"/>
    <s v="ornamental"/>
    <s v="Asteraceae"/>
    <s v="Tagetes"/>
    <s v="sp."/>
    <s v="Tagetes sp. A"/>
    <s v="U"/>
    <s v="RedOrangePinkYellow"/>
    <x v="3"/>
    <x v="3"/>
    <x v="1"/>
    <s v="Pollen"/>
    <s v="Jenny Hsu"/>
    <m/>
  </r>
  <r>
    <n v="751"/>
    <n v="1232"/>
    <d v="2021-07-08T00:00:00"/>
    <s v="Natividad"/>
    <s v="Jenny Hsu"/>
    <s v="Netting"/>
    <x v="2"/>
    <s v="Butterfly"/>
    <x v="6"/>
    <s v="Hesperiini"/>
    <s v="Hylephila"/>
    <s v="phyleus"/>
    <x v="17"/>
    <s v="M"/>
    <s v="marigold"/>
    <s v="ornamental"/>
    <s v="Asteraceae"/>
    <s v="Tagetes"/>
    <s v="sp."/>
    <s v="Tagetes sp. A"/>
    <s v="U"/>
    <s v="RedOrangePinkYellow"/>
    <x v="3"/>
    <x v="3"/>
    <x v="0"/>
    <s v="NA"/>
    <s v="Jenny Hsu"/>
    <m/>
  </r>
  <r>
    <n v="1114"/>
    <n v="1561"/>
    <d v="2021-07-07T00:00:00"/>
    <s v="Pajaro"/>
    <s v="Jenny Hsu"/>
    <s v="Netting"/>
    <x v="0"/>
    <s v="BumbleBee"/>
    <x v="0"/>
    <s v="Bombini"/>
    <s v="Bombus"/>
    <s v="vosnesenskii"/>
    <x v="0"/>
    <s v="male"/>
    <s v="marigold"/>
    <s v="ornamental"/>
    <s v="Asteraceae"/>
    <s v="Tagetes"/>
    <s v="sp."/>
    <s v="Tagetes sp. A"/>
    <s v="U"/>
    <s v="RedOrangePinkYellow"/>
    <x v="3"/>
    <x v="3"/>
    <x v="0"/>
    <s v="NA"/>
    <s v="Jenny Hsu"/>
    <m/>
  </r>
  <r>
    <n v="1691"/>
    <n v="570"/>
    <d v="2021-07-11T00:00:00"/>
    <s v="Trescony"/>
    <s v="Gabriella Pardee"/>
    <s v="Netting"/>
    <x v="0"/>
    <s v="OtherBee"/>
    <x v="7"/>
    <s v="Colletini"/>
    <s v="Hylaeus"/>
    <s v="sp_B"/>
    <x v="18"/>
    <s v="female"/>
    <s v="marigold"/>
    <s v="ornamental"/>
    <s v="Asteraceae"/>
    <s v="Tagetes"/>
    <s v="sp."/>
    <s v="Tagetes sp. A"/>
    <s v="U"/>
    <s v="RedOrangePinkYellow"/>
    <x v="3"/>
    <x v="3"/>
    <x v="0"/>
    <s v="Pollen"/>
    <s v="Janine Tan"/>
    <s v="3 pollinators, 1 bag 570-572"/>
  </r>
  <r>
    <n v="1695"/>
    <n v="574"/>
    <d v="2021-07-11T00:00:00"/>
    <s v="Trescony"/>
    <s v="Gabriella Pardee"/>
    <s v="Netting"/>
    <x v="0"/>
    <s v="OtherBee"/>
    <x v="7"/>
    <s v="Colletini"/>
    <s v="Hylaeus"/>
    <s v="sp_D"/>
    <x v="42"/>
    <s v="male"/>
    <s v="marigold"/>
    <s v="ornamental"/>
    <s v="Asteraceae"/>
    <s v="Tagetes"/>
    <s v="sp."/>
    <s v="Tagetes sp. A"/>
    <s v="U"/>
    <s v="RedOrangePinkYellow"/>
    <x v="3"/>
    <x v="3"/>
    <x v="0"/>
    <s v="NA"/>
    <s v="Janine Tan"/>
    <s v="2 pollinators, 1 bag 573-574"/>
  </r>
  <r>
    <n v="1694"/>
    <n v="573"/>
    <d v="2021-07-11T00:00:00"/>
    <s v="Trescony"/>
    <s v="Gabriella Pardee"/>
    <s v="Netting"/>
    <x v="0"/>
    <s v="SweatBee"/>
    <x v="1"/>
    <s v="Halictini"/>
    <s v="Lasioglossum"/>
    <s v="sp_F"/>
    <x v="22"/>
    <s v="male"/>
    <s v="marigold"/>
    <s v="ornamental"/>
    <s v="Asteraceae"/>
    <s v="Tagetes"/>
    <s v="sp."/>
    <s v="Tagetes sp. A"/>
    <s v="U"/>
    <s v="RedOrangePinkYellow"/>
    <x v="3"/>
    <x v="3"/>
    <x v="0"/>
    <s v="NA"/>
    <s v="Janine Tan"/>
    <s v="2 pollinators, 1 bag 573-574"/>
  </r>
  <r>
    <n v="1692"/>
    <n v="571"/>
    <d v="2021-07-11T00:00:00"/>
    <s v="Trescony"/>
    <s v="Gabriella Pardee"/>
    <s v="Netting"/>
    <x v="0"/>
    <s v="SweatBee"/>
    <x v="1"/>
    <s v="Halictini"/>
    <s v="Lasioglossum"/>
    <s v="sp_F"/>
    <x v="22"/>
    <s v="male"/>
    <s v="marigold"/>
    <s v="ornamental"/>
    <s v="Asteraceae"/>
    <s v="Tagetes"/>
    <s v="sp."/>
    <s v="Tagetes sp. A"/>
    <s v="U"/>
    <s v="RedOrangePinkYellow"/>
    <x v="3"/>
    <x v="3"/>
    <x v="0"/>
    <s v="Pollen"/>
    <s v="Janine Tan"/>
    <s v="3 pollinators, 1 bag 570-572"/>
  </r>
  <r>
    <n v="1693"/>
    <n v="572"/>
    <d v="2021-07-11T00:00:00"/>
    <s v="Trescony"/>
    <s v="Gabriella Pardee"/>
    <s v="Netting"/>
    <x v="0"/>
    <s v="SweatBee"/>
    <x v="1"/>
    <s v="Halictini"/>
    <s v="Lasioglossum"/>
    <s v="sp_G"/>
    <x v="8"/>
    <s v="female"/>
    <s v="marigold"/>
    <s v="ornamental"/>
    <s v="Asteraceae"/>
    <s v="Tagetes"/>
    <s v="sp."/>
    <s v="Tagetes sp. A"/>
    <s v="U"/>
    <s v="RedOrangePinkYellow"/>
    <x v="3"/>
    <x v="3"/>
    <x v="0"/>
    <s v="Pollen"/>
    <s v="Janine Tan"/>
    <s v="3 pollinators, 1 bag 570-572"/>
  </r>
  <r>
    <n v="211"/>
    <n v="962"/>
    <d v="2021-07-11T00:00:00"/>
    <s v="Trescony"/>
    <s v="Sofie Andrade"/>
    <s v="Netting"/>
    <x v="2"/>
    <s v="Butterfly"/>
    <x v="6"/>
    <s v="Hesperiini"/>
    <s v="Hylephila"/>
    <s v="phyleus"/>
    <x v="17"/>
    <s v="M"/>
    <s v="marigold"/>
    <s v="ornamental"/>
    <s v="Asteraceae"/>
    <s v="Tagetes"/>
    <s v="sp."/>
    <s v="Tagetes sp. A"/>
    <s v="U"/>
    <s v="RedOrangePinkYellow"/>
    <x v="3"/>
    <x v="3"/>
    <x v="0"/>
    <s v="NA"/>
    <s v="Robyn Fowler"/>
    <m/>
  </r>
  <r>
    <n v="897"/>
    <n v="1025"/>
    <d v="2021-07-11T00:00:00"/>
    <s v="Chadwick"/>
    <s v="Gabriella Pardee"/>
    <s v="Netting"/>
    <x v="0"/>
    <s v="HoneyBee"/>
    <x v="0"/>
    <s v="Apini"/>
    <s v="Apis"/>
    <s v="mellifera"/>
    <x v="2"/>
    <s v="female"/>
    <s v="milkweed, tropical"/>
    <s v="ornamental"/>
    <s v="Apocynaceae"/>
    <s v="Asclepias"/>
    <s v="curassavica"/>
    <s v="Asclepias curassavica"/>
    <s v="Not Native"/>
    <s v="RedOrangeYellow"/>
    <x v="6"/>
    <x v="3"/>
    <x v="0"/>
    <s v="NA"/>
    <s v="Jenny Hsu"/>
    <m/>
  </r>
  <r>
    <n v="1569"/>
    <n v="314"/>
    <d v="2021-07-09T00:00:00"/>
    <s v="CharlesStreet"/>
    <s v="Edith Gonzales"/>
    <s v="Netting"/>
    <x v="1"/>
    <s v="Hoverfly"/>
    <x v="2"/>
    <s v="Syrphini"/>
    <s v="Sphaerophoria"/>
    <s v="sulphuripes"/>
    <x v="40"/>
    <m/>
    <s v="milkweed, tropical"/>
    <s v="ornamental"/>
    <s v="Apocynaceae"/>
    <s v="Asclepias"/>
    <s v="curassavica"/>
    <s v="Asclepias curassavica"/>
    <s v="Not Native"/>
    <s v="RedOrangeYellow"/>
    <x v="6"/>
    <x v="3"/>
    <x v="0"/>
    <s v="Pollen"/>
    <s v="Sofie Andrade"/>
    <m/>
  </r>
  <r>
    <n v="763"/>
    <n v="1244"/>
    <d v="2021-07-08T00:00:00"/>
    <s v="Natividad"/>
    <s v="Gabriella Pardee"/>
    <s v="Netting"/>
    <x v="1"/>
    <s v="OtherFly"/>
    <x v="4"/>
    <s v="Lucilini"/>
    <s v="Lucila"/>
    <s v="sp_A"/>
    <x v="10"/>
    <s v="male"/>
    <s v="milkweed, tropical"/>
    <s v="ornamental"/>
    <s v="Apocynaceae"/>
    <s v="Asclepias"/>
    <s v="curassavica"/>
    <s v="Asclepias curassavica"/>
    <s v="Not Native"/>
    <s v="RedOrangeYellow"/>
    <x v="6"/>
    <x v="3"/>
    <x v="0"/>
    <s v="NA"/>
    <s v="Jenny Hsu"/>
    <m/>
  </r>
  <r>
    <n v="754"/>
    <n v="1235"/>
    <d v="2021-07-08T00:00:00"/>
    <s v="Natividad"/>
    <s v="Gabriella Pardee"/>
    <s v="Netting"/>
    <x v="1"/>
    <s v="OtherFly"/>
    <x v="4"/>
    <s v="Lucilini"/>
    <s v="Lucila"/>
    <s v="sp_A"/>
    <x v="10"/>
    <s v="male"/>
    <s v="milkweed, tropical"/>
    <s v="ornamental"/>
    <s v="Apocynaceae"/>
    <s v="Asclepias"/>
    <s v="curassavica"/>
    <s v="Asclepias curassavica"/>
    <s v="Not Native"/>
    <s v="RedOrangeYellow"/>
    <x v="6"/>
    <x v="3"/>
    <x v="0"/>
    <s v="NA"/>
    <s v="Jenny Hsu"/>
    <m/>
  </r>
  <r>
    <n v="755"/>
    <n v="1236"/>
    <d v="2021-07-08T00:00:00"/>
    <s v="Natividad"/>
    <s v="Gabriella Pardee"/>
    <s v="Netting"/>
    <x v="0"/>
    <s v="HoneyBee"/>
    <x v="0"/>
    <s v="Apini"/>
    <s v="Apis"/>
    <s v="mellifera"/>
    <x v="2"/>
    <s v="female"/>
    <s v="milkweed, tropical"/>
    <s v="ornamental"/>
    <s v="Apocynaceae"/>
    <s v="Asclepias"/>
    <s v="curassavica"/>
    <s v="Asclepias curassavica"/>
    <s v="Not Native"/>
    <s v="RedOrangeYellow"/>
    <x v="6"/>
    <x v="3"/>
    <x v="0"/>
    <s v="NA"/>
    <s v="Jenny Hsu"/>
    <m/>
  </r>
  <r>
    <n v="961"/>
    <n v="1269"/>
    <d v="2021-07-07T00:00:00"/>
    <s v="WVIMiJardinVerde"/>
    <s v="Gabriella Pardee"/>
    <s v="Netting"/>
    <x v="0"/>
    <s v="HoneyBee"/>
    <x v="0"/>
    <s v="Apini"/>
    <s v="Apis"/>
    <s v="mellifera"/>
    <x v="2"/>
    <s v="female"/>
    <s v="Red Pea"/>
    <s v="crop"/>
    <s v="Fabaceae"/>
    <s v="Lathyrus"/>
    <s v="cicera"/>
    <s v="Lathyrus cicera"/>
    <s v="Not Native"/>
    <s v="RedPurple"/>
    <x v="6"/>
    <x v="4"/>
    <x v="0"/>
    <s v="NA"/>
    <s v="Jenny Hsu"/>
    <m/>
  </r>
  <r>
    <n v="618"/>
    <n v="215"/>
    <d v="2021-07-09T00:00:00"/>
    <s v="Guadalupe"/>
    <s v="Gabriella Pardee"/>
    <s v="Netting"/>
    <x v="0"/>
    <s v="OtherBee"/>
    <x v="0"/>
    <s v="Eucerini"/>
    <s v="Melissodes"/>
    <s v="sp_A"/>
    <x v="38"/>
    <s v="male"/>
    <s v="Gaillardia pulchella"/>
    <s v="ornamental"/>
    <s v="Asteraceae"/>
    <s v="Gaillardia"/>
    <s v="pulchella"/>
    <s v="Gaillardia pulchella"/>
    <s v="Native"/>
    <s v="RedPurpleYellow"/>
    <x v="6"/>
    <x v="0"/>
    <x v="1"/>
    <s v="NA"/>
    <s v="Jenny Hsu"/>
    <m/>
  </r>
  <r>
    <n v="610"/>
    <n v="709"/>
    <d v="2021-07-09T00:00:00"/>
    <s v="Guadalupe"/>
    <s v="Gabriella Pardee"/>
    <s v="Netting"/>
    <x v="0"/>
    <s v="OtherBee"/>
    <x v="0"/>
    <s v="Eucerini"/>
    <s v="Melissodes"/>
    <s v="sp_A"/>
    <x v="38"/>
    <s v="male"/>
    <s v="Gaillardia pulchella"/>
    <s v="ornamental"/>
    <s v="Asteraceae"/>
    <s v="Gaillardia"/>
    <s v="pulchella"/>
    <s v="Gaillardia pulchella"/>
    <s v="Native"/>
    <s v="RedPurpleYellow"/>
    <x v="6"/>
    <x v="0"/>
    <x v="1"/>
    <s v="NA"/>
    <s v="Jenny Hsu"/>
    <m/>
  </r>
  <r>
    <n v="1678"/>
    <n v="451"/>
    <d v="2021-07-11T00:00:00"/>
    <s v="Trescony"/>
    <s v="Gabriella Pardee"/>
    <s v="Netting"/>
    <x v="0"/>
    <s v="HoneyBee"/>
    <x v="0"/>
    <s v="Apini"/>
    <s v="Apis"/>
    <s v="mellifera"/>
    <x v="2"/>
    <s v="female"/>
    <s v="ipomopsis"/>
    <s v="ornamental"/>
    <s v="Polemoniaceae"/>
    <s v="Ipomopsis"/>
    <s v="sp."/>
    <s v="Ipomopsis sp. A"/>
    <s v="U"/>
    <s v="RedWhitePurple"/>
    <x v="3"/>
    <x v="1"/>
    <x v="0"/>
    <s v="Nectar"/>
    <s v="Janine Tan"/>
    <m/>
  </r>
  <r>
    <n v="1679"/>
    <n v="452"/>
    <d v="2021-07-11T00:00:00"/>
    <s v="Trescony"/>
    <s v="Gabriella Pardee"/>
    <s v="Netting"/>
    <x v="0"/>
    <s v="HoneyBee"/>
    <x v="0"/>
    <s v="Apini"/>
    <s v="Apis"/>
    <s v="mellifera"/>
    <x v="2"/>
    <s v="female"/>
    <s v="ipomopsis"/>
    <s v="ornamental"/>
    <s v="Polemoniaceae"/>
    <s v="Ipomopsis"/>
    <s v="sp."/>
    <s v="Ipomopsis sp. A"/>
    <s v="U"/>
    <s v="RedWhitePurple"/>
    <x v="3"/>
    <x v="1"/>
    <x v="0"/>
    <s v="Nectar"/>
    <s v="Janine Tan"/>
    <m/>
  </r>
  <r>
    <n v="547"/>
    <n v="178"/>
    <d v="2021-07-11T00:00:00"/>
    <s v="Trescony"/>
    <s v="Robyn Fowler"/>
    <s v="Netting"/>
    <x v="0"/>
    <s v="HoneyBee"/>
    <x v="0"/>
    <s v="Apini"/>
    <s v="Apis"/>
    <s v="mellifera"/>
    <x v="2"/>
    <s v="female"/>
    <s v="red ipomopsis"/>
    <s v="ornamental"/>
    <s v="Polemoniaceae"/>
    <s v="Ipomopsis"/>
    <s v="sp."/>
    <s v="Ipomopsis sp. A"/>
    <s v="U"/>
    <s v="RedWhitePurple"/>
    <x v="3"/>
    <x v="1"/>
    <x v="0"/>
    <s v="NA"/>
    <s v="Jenny Hsu"/>
    <m/>
  </r>
  <r>
    <n v="1205"/>
    <n v="1752"/>
    <d v="2021-07-09T00:00:00"/>
    <s v="Prusch"/>
    <s v="Sofie Andrade"/>
    <s v="Netting"/>
    <x v="0"/>
    <s v="HoneyBee"/>
    <x v="0"/>
    <s v="Apini"/>
    <s v="Apis"/>
    <s v="mellifera"/>
    <x v="2"/>
    <s v="female"/>
    <s v="Narrowleaf Bedstraw"/>
    <s v="weed"/>
    <s v="Rubiaceae"/>
    <s v="Galium"/>
    <s v="angustifolium"/>
    <s v="Galium angustifolium"/>
    <s v="Native"/>
    <s v="RedYellow"/>
    <x v="3"/>
    <x v="0"/>
    <x v="0"/>
    <s v="NA"/>
    <s v="Jenny Hsu"/>
    <m/>
  </r>
  <r>
    <n v="1337"/>
    <n v="2420"/>
    <d v="2021-07-08T00:00:00"/>
    <s v="MIIS"/>
    <s v="Edith Gonzales"/>
    <s v="Netting"/>
    <x v="0"/>
    <s v="SweatBee"/>
    <x v="1"/>
    <s v="Halictini"/>
    <s v="Halictus"/>
    <s v="tripartitus"/>
    <x v="4"/>
    <s v="female"/>
    <s v="Clarkia"/>
    <s v="ornamental"/>
    <s v="Onagraceae"/>
    <s v="Clarkia"/>
    <s v="sp."/>
    <s v="Clarkia sp. A"/>
    <s v="Native"/>
    <s v="U"/>
    <x v="3"/>
    <x v="5"/>
    <x v="0"/>
    <s v="NA"/>
    <s v="Jenny Hsu"/>
    <m/>
  </r>
  <r>
    <n v="1336"/>
    <n v="2419"/>
    <d v="2021-07-08T00:00:00"/>
    <s v="MIIS"/>
    <s v="Edith Gonzales"/>
    <s v="Netting"/>
    <x v="0"/>
    <s v="SweatBee"/>
    <x v="1"/>
    <s v="Halictini"/>
    <s v="Halictus"/>
    <s v="tripartitus"/>
    <x v="4"/>
    <s v="female"/>
    <s v="Clarkia"/>
    <s v="ornamental"/>
    <s v="Onagraceae"/>
    <s v="Clarkia"/>
    <s v="sp."/>
    <s v="Clarkia sp. A"/>
    <s v="Native"/>
    <s v="U"/>
    <x v="3"/>
    <x v="5"/>
    <x v="0"/>
    <s v="NA"/>
    <s v="Jenny Hsu"/>
    <m/>
  </r>
  <r>
    <n v="582"/>
    <n v="681"/>
    <d v="2021-07-07T00:00:00"/>
    <s v="SeniorCenter"/>
    <s v="Gabriella Pardee"/>
    <s v="Netting"/>
    <x v="0"/>
    <s v="HoneyBee"/>
    <x v="0"/>
    <s v="Apini"/>
    <s v="Apis"/>
    <s v="mellifera"/>
    <x v="2"/>
    <s v="female"/>
    <s v="Clarkia"/>
    <s v="ornamental"/>
    <s v="Onagraceae"/>
    <s v="Clarkia"/>
    <s v="sp."/>
    <s v="Clarkia sp. A"/>
    <s v="Native"/>
    <s v="U"/>
    <x v="3"/>
    <x v="5"/>
    <x v="1"/>
    <s v="NA"/>
    <s v="Jenny Hsu"/>
    <m/>
  </r>
  <r>
    <n v="286"/>
    <n v="900"/>
    <d v="2021-07-09T00:00:00"/>
    <s v="Guadalupe"/>
    <s v="Gabriella Pardee"/>
    <s v="Netting"/>
    <x v="0"/>
    <s v="SweatBee"/>
    <x v="1"/>
    <s v="Halictini"/>
    <s v="Halictus"/>
    <s v="ligatus"/>
    <x v="32"/>
    <s v="male"/>
    <s v="coreopsis"/>
    <s v="ornamental"/>
    <s v="Asteraceae"/>
    <s v="Coreopsis"/>
    <s v="sp."/>
    <s v="Coreopsis sp. A"/>
    <s v="Not Native"/>
    <s v="U"/>
    <x v="3"/>
    <x v="0"/>
    <x v="0"/>
    <s v="NA"/>
    <s v="Robyn Fowler"/>
    <m/>
  </r>
  <r>
    <n v="1259"/>
    <n v="1906"/>
    <d v="2021-07-10T00:00:00"/>
    <s v="LaColina"/>
    <s v="Jenny Hsu"/>
    <s v="Netting"/>
    <x v="0"/>
    <s v="SweatBee"/>
    <x v="1"/>
    <s v="Halictini"/>
    <s v="Halictus"/>
    <s v="ligatus"/>
    <x v="32"/>
    <s v="female"/>
    <s v="coreopsis"/>
    <s v="ornamental"/>
    <s v="Asteraceae"/>
    <s v="Coreopsis"/>
    <s v="sp."/>
    <s v="Coreopsis sp. A"/>
    <s v="Not Native"/>
    <s v="U"/>
    <x v="3"/>
    <x v="0"/>
    <x v="0"/>
    <s v="NA"/>
    <s v="Jenny Hsu"/>
    <m/>
  </r>
  <r>
    <n v="262"/>
    <n v="1468"/>
    <d v="2021-07-09T00:00:00"/>
    <s v="Guadalupe"/>
    <s v="Gabriella Pardee"/>
    <s v="Netting"/>
    <x v="0"/>
    <s v="HoneyBee"/>
    <x v="0"/>
    <s v="Apini"/>
    <s v="Apis"/>
    <s v="mellifera"/>
    <x v="2"/>
    <s v="female"/>
    <s v="lantana"/>
    <s v="ornamental"/>
    <s v="Verbenaceae"/>
    <s v="Lantana"/>
    <s v="sp."/>
    <s v="Lantana sp. A"/>
    <s v="Not Native"/>
    <s v="U"/>
    <x v="3"/>
    <x v="1"/>
    <x v="0"/>
    <s v="NA"/>
    <s v="Robyn Fowler"/>
    <m/>
  </r>
  <r>
    <n v="294"/>
    <n v="908"/>
    <d v="2021-07-09T00:00:00"/>
    <s v="Guadalupe"/>
    <s v="Robyn Fowler"/>
    <s v="Netting"/>
    <x v="2"/>
    <s v="Butterfly"/>
    <x v="6"/>
    <s v="Hesperiini"/>
    <s v="Hylephila"/>
    <s v="phyleus"/>
    <x v="17"/>
    <s v="M"/>
    <s v="lantana"/>
    <s v="ornamental"/>
    <s v="Verbenaceae"/>
    <s v="Lantana"/>
    <s v="sp."/>
    <s v="Lantana sp. A"/>
    <s v="Not Native"/>
    <s v="U"/>
    <x v="3"/>
    <x v="1"/>
    <x v="0"/>
    <s v="NA"/>
    <s v="Robyn Fowler"/>
    <m/>
  </r>
  <r>
    <n v="276"/>
    <n v="890"/>
    <d v="2021-07-09T00:00:00"/>
    <s v="Guadalupe"/>
    <s v="Robyn Fowler"/>
    <s v="Netting"/>
    <x v="2"/>
    <s v="Butterfly"/>
    <x v="6"/>
    <s v="Hesperiini"/>
    <s v="Hylephila"/>
    <s v="phyleus"/>
    <x v="17"/>
    <s v="M"/>
    <s v="lantana"/>
    <s v="ornamental"/>
    <s v="Verbenaceae"/>
    <s v="Lantana"/>
    <s v="sp."/>
    <s v="Lantana sp. A"/>
    <s v="Not Native"/>
    <s v="U"/>
    <x v="3"/>
    <x v="1"/>
    <x v="0"/>
    <s v="NA"/>
    <s v="Robyn Fowler"/>
    <m/>
  </r>
  <r>
    <n v="275"/>
    <n v="889"/>
    <d v="2021-07-09T00:00:00"/>
    <s v="Guadalupe"/>
    <s v="Jenny Hsu"/>
    <s v="Netting"/>
    <x v="2"/>
    <s v="Butterfly"/>
    <x v="6"/>
    <s v="Hesperiini"/>
    <s v="Hylephila"/>
    <s v="phyleus"/>
    <x v="17"/>
    <s v="M"/>
    <s v="lantana"/>
    <s v="ornamental"/>
    <s v="Verbenaceae"/>
    <s v="Lantana"/>
    <s v="sp."/>
    <s v="Lantana sp. A"/>
    <s v="Not Native"/>
    <s v="U"/>
    <x v="3"/>
    <x v="1"/>
    <x v="0"/>
    <s v="NA"/>
    <s v="Robyn Fowler"/>
    <m/>
  </r>
  <r>
    <n v="1730"/>
    <n v="817"/>
    <d v="2021-07-07T00:00:00"/>
    <s v="SeniorCenter"/>
    <s v="Sofie Andrade"/>
    <s v="Netting"/>
    <x v="0"/>
    <s v="HoneyBee"/>
    <x v="0"/>
    <s v="Apini"/>
    <s v="Apis"/>
    <s v="mellifera"/>
    <x v="2"/>
    <s v="female"/>
    <s v="gladiolus"/>
    <s v="ornamental"/>
    <s v="Iridaceae"/>
    <s v="Gladiolus"/>
    <s v="sp."/>
    <s v="Gladiolus sp. A"/>
    <s v="Not Native"/>
    <s v="U"/>
    <x v="3"/>
    <x v="5"/>
    <x v="0"/>
    <s v="NA"/>
    <s v="Janine Tan"/>
    <m/>
  </r>
  <r>
    <n v="1000"/>
    <n v="1356"/>
    <d v="2021-07-08T00:00:00"/>
    <s v="MEarth"/>
    <s v="Gabriella Pardee"/>
    <s v="Netting"/>
    <x v="1"/>
    <s v="OtherFly"/>
    <x v="4"/>
    <m/>
    <s v="calliphorid"/>
    <s v="sp_A"/>
    <x v="73"/>
    <m/>
    <s v="Honeysuckle"/>
    <s v="ornamental"/>
    <s v="Caprifoliaceae"/>
    <s v="Lonicera"/>
    <s v="sp."/>
    <s v="Lonicera sp. A"/>
    <s v="Not Native"/>
    <s v="U"/>
    <x v="3"/>
    <x v="5"/>
    <x v="0"/>
    <s v="NA"/>
    <s v="Jenny Hsu"/>
    <s v="2 poll (1356+1357)"/>
  </r>
  <r>
    <n v="987"/>
    <n v="711"/>
    <d v="2021-07-08T00:00:00"/>
    <s v="MEarth"/>
    <s v="Gabriella Pardee"/>
    <s v="Netting"/>
    <x v="0"/>
    <s v="BumbleBee"/>
    <x v="0"/>
    <s v="Bombini"/>
    <s v="Bombus"/>
    <s v="californicus"/>
    <x v="1"/>
    <s v="female"/>
    <s v="Honeysuckle"/>
    <s v="ornamental"/>
    <s v="Caprifoliaceae"/>
    <s v="Lonicera"/>
    <s v="sp."/>
    <s v="Lonicera sp. A"/>
    <s v="Not Native"/>
    <s v="U"/>
    <x v="3"/>
    <x v="5"/>
    <x v="0"/>
    <s v="NA"/>
    <s v="Jenny Hsu"/>
    <m/>
  </r>
  <r>
    <n v="1001"/>
    <n v="1357"/>
    <d v="2021-07-08T00:00:00"/>
    <s v="MEarth"/>
    <s v="Gabriella Pardee"/>
    <s v="Netting"/>
    <x v="0"/>
    <s v="SweatBee"/>
    <x v="1"/>
    <s v="Halictini"/>
    <s v="Lasioglossum"/>
    <s v="sp_B"/>
    <x v="47"/>
    <s v="female"/>
    <s v="Honeysuckle"/>
    <s v="ornamental"/>
    <s v="Caprifoliaceae"/>
    <s v="Lonicera"/>
    <s v="sp."/>
    <s v="Lonicera sp. A"/>
    <s v="Not Native"/>
    <s v="U"/>
    <x v="3"/>
    <x v="5"/>
    <x v="0"/>
    <s v="NA"/>
    <s v="Jenny Hsu"/>
    <s v="2 poll (1356+1357)"/>
  </r>
  <r>
    <n v="939"/>
    <n v="1115"/>
    <d v="2021-07-07T00:00:00"/>
    <s v="WVIMiJardinVerde"/>
    <s v="Gabriella Pardee"/>
    <s v="Netting"/>
    <x v="0"/>
    <s v="HoneyBee"/>
    <x v="0"/>
    <s v="Apini"/>
    <s v="Apis"/>
    <s v="mellifera"/>
    <x v="2"/>
    <s v="female"/>
    <s v="Lache"/>
    <s v="crop"/>
    <s v="Malvaceae"/>
    <s v="Pavonia"/>
    <s v="cavaniles"/>
    <s v="Pavonia cavaniles"/>
    <s v="Not Native"/>
    <s v="U"/>
    <x v="3"/>
    <x v="5"/>
    <x v="0"/>
    <s v="Pollen"/>
    <s v="Jenny Hsu"/>
    <m/>
  </r>
  <r>
    <n v="936"/>
    <n v="1112"/>
    <d v="2021-07-07T00:00:00"/>
    <s v="WVIMiJardinVerde"/>
    <s v="Azucena Luctaero"/>
    <s v="Netting"/>
    <x v="0"/>
    <s v="HoneyBee"/>
    <x v="0"/>
    <s v="Apini"/>
    <s v="Apis"/>
    <s v="mellifera"/>
    <x v="2"/>
    <s v="female"/>
    <s v="Lache"/>
    <s v="crop"/>
    <s v="Malvaceae"/>
    <s v="Pavonia"/>
    <s v="cavaniles"/>
    <s v="Pavonia cavaniles"/>
    <s v="Not Native"/>
    <s v="U"/>
    <x v="3"/>
    <x v="5"/>
    <x v="0"/>
    <s v="NA"/>
    <s v="Jenny Hsu"/>
    <m/>
  </r>
  <r>
    <n v="933"/>
    <n v="1109"/>
    <d v="2021-07-07T00:00:00"/>
    <s v="WVIMiJardinVerde"/>
    <s v="Azucena Luctaero"/>
    <s v="Netting"/>
    <x v="0"/>
    <s v="HoneyBee"/>
    <x v="0"/>
    <s v="Apini"/>
    <s v="Apis"/>
    <s v="mellifera"/>
    <x v="2"/>
    <s v="female"/>
    <s v="Lache"/>
    <s v="crop"/>
    <s v="Malvaceae"/>
    <s v="Pavonia"/>
    <s v="cavaniles"/>
    <s v="Pavonia cavaniles"/>
    <s v="Not Native"/>
    <s v="U"/>
    <x v="3"/>
    <x v="5"/>
    <x v="0"/>
    <s v="NA"/>
    <s v="Jenny Hsu"/>
    <m/>
  </r>
  <r>
    <n v="931"/>
    <n v="1107"/>
    <d v="2021-07-07T00:00:00"/>
    <s v="WVIMiJardinVerde"/>
    <s v="Gabriella Pardee"/>
    <s v="Netting"/>
    <x v="0"/>
    <s v="HoneyBee"/>
    <x v="0"/>
    <s v="Apini"/>
    <s v="Apis"/>
    <s v="mellifera"/>
    <x v="2"/>
    <s v="female"/>
    <s v="Lache"/>
    <s v="crop"/>
    <s v="Malvaceae"/>
    <s v="Pavonia"/>
    <s v="cavaniles"/>
    <s v="Pavonia cavaniles"/>
    <s v="Not Native"/>
    <s v="U"/>
    <x v="3"/>
    <x v="5"/>
    <x v="0"/>
    <s v="Pollen"/>
    <s v="Jenny Hsu"/>
    <m/>
  </r>
  <r>
    <n v="928"/>
    <n v="1104"/>
    <d v="2021-07-07T00:00:00"/>
    <s v="WVIMiJardinVerde"/>
    <s v="Gabriella Pardee"/>
    <s v="Netting"/>
    <x v="0"/>
    <s v="HoneyBee"/>
    <x v="0"/>
    <s v="Apini"/>
    <s v="Apis"/>
    <s v="mellifera"/>
    <x v="2"/>
    <s v="female"/>
    <s v="Lache"/>
    <s v="crop"/>
    <s v="Malvaceae"/>
    <s v="Pavonia"/>
    <s v="cavaniles"/>
    <s v="Pavonia cavaniles"/>
    <s v="Not Native"/>
    <s v="U"/>
    <x v="3"/>
    <x v="5"/>
    <x v="0"/>
    <s v="NA"/>
    <s v="Jenny Hsu"/>
    <m/>
  </r>
  <r>
    <n v="966"/>
    <n v="1274"/>
    <d v="2021-07-07T00:00:00"/>
    <s v="WVIMiJardinVerde"/>
    <s v="Gabriella Pardee"/>
    <s v="Netting"/>
    <x v="0"/>
    <s v="SweatBee"/>
    <x v="1"/>
    <s v="Halictini"/>
    <s v="Halictus"/>
    <s v="tripartitus"/>
    <x v="4"/>
    <s v="female"/>
    <s v="Lache"/>
    <s v="crop"/>
    <s v="Malvaceae"/>
    <s v="Pavonia"/>
    <s v="cavaniles"/>
    <s v="Pavonia cavaniles"/>
    <s v="Not Native"/>
    <s v="U"/>
    <x v="3"/>
    <x v="5"/>
    <x v="0"/>
    <s v="NA"/>
    <s v="Jenny Hsu"/>
    <m/>
  </r>
  <r>
    <n v="885"/>
    <n v="1013"/>
    <d v="2021-07-11T00:00:00"/>
    <s v="Chadwick"/>
    <s v="Robyn Fowler"/>
    <s v="Netting"/>
    <x v="0"/>
    <s v="BumbleBee"/>
    <x v="0"/>
    <s v="Bombini"/>
    <s v="Bombus"/>
    <s v="vosnesenskii"/>
    <x v="0"/>
    <s v="male"/>
    <s v="geranium"/>
    <s v="ornamental"/>
    <s v="Geraniaceae"/>
    <s v="Pelargonium"/>
    <s v="sp."/>
    <s v="Pelargonium sp. A"/>
    <s v="Not Native"/>
    <s v="U"/>
    <x v="3"/>
    <x v="5"/>
    <x v="0"/>
    <s v="NA"/>
    <s v="Jenny Hsu"/>
    <m/>
  </r>
  <r>
    <n v="1510"/>
    <n v="2407"/>
    <d v="2021-07-11T00:00:00"/>
    <s v="FarmGardenUCSC"/>
    <s v="Robyn Fowler"/>
    <s v="Netting"/>
    <x v="0"/>
    <s v="BumbleBee"/>
    <x v="0"/>
    <s v="Bombini"/>
    <s v="Bombus"/>
    <s v="vosnesenskii"/>
    <x v="0"/>
    <s v="male"/>
    <s v="geranium"/>
    <s v="ornamental"/>
    <s v="Geraniaceae"/>
    <s v="Pelargonium"/>
    <s v="sp."/>
    <s v="Pelargonium sp. A"/>
    <s v="Not Native"/>
    <s v="U"/>
    <x v="3"/>
    <x v="5"/>
    <x v="0"/>
    <s v="NA"/>
    <s v="Jenny Hsu"/>
    <m/>
  </r>
  <r>
    <n v="1101"/>
    <n v="1201"/>
    <d v="2021-07-07T00:00:00"/>
    <s v="Pajaro"/>
    <s v="Jenny Hsu"/>
    <s v="Netting"/>
    <x v="0"/>
    <s v="HoneyBee"/>
    <x v="0"/>
    <s v="Apini"/>
    <s v="Apis"/>
    <s v="mellifera"/>
    <x v="2"/>
    <s v="female"/>
    <s v="geranium"/>
    <s v="ornamental"/>
    <s v="Geraniaceae"/>
    <s v="Pelargonium"/>
    <s v="sp."/>
    <s v="Pelargonium sp. A"/>
    <s v="Not Native"/>
    <s v="U"/>
    <x v="3"/>
    <x v="5"/>
    <x v="1"/>
    <s v="NA"/>
    <s v="Jenny Hsu"/>
    <m/>
  </r>
  <r>
    <n v="947"/>
    <n v="1123"/>
    <d v="2021-07-07T00:00:00"/>
    <s v="WVIMiJardinVerde"/>
    <s v="Sofie Andrade"/>
    <s v="Netting"/>
    <x v="0"/>
    <s v="HoneyBee"/>
    <x v="0"/>
    <s v="Apini"/>
    <s v="Apis"/>
    <s v="mellifera"/>
    <x v="2"/>
    <s v="female"/>
    <s v="geranium"/>
    <s v="ornamental"/>
    <s v="Geraniaceae"/>
    <s v="Pelargonium"/>
    <s v="sp."/>
    <s v="Pelargonium sp. A"/>
    <s v="Not Native"/>
    <s v="U"/>
    <x v="3"/>
    <x v="5"/>
    <x v="0"/>
    <s v="NA"/>
    <s v="Jenny Hsu"/>
    <m/>
  </r>
  <r>
    <n v="1666"/>
    <n v="439"/>
    <d v="2021-07-11T00:00:00"/>
    <s v="Grange"/>
    <s v="Gabriella Pardee"/>
    <s v="Netting"/>
    <x v="0"/>
    <s v="HoneyBee"/>
    <x v="0"/>
    <s v="Apini"/>
    <s v="Apis"/>
    <s v="mellifera"/>
    <x v="2"/>
    <s v="female"/>
    <s v="wild buckwheat"/>
    <s v="ornamental"/>
    <s v="Polygonaceae"/>
    <s v="Erigonum"/>
    <s v="sp."/>
    <s v="Erigonum sp. A"/>
    <s v="U"/>
    <s v="U"/>
    <x v="3"/>
    <x v="0"/>
    <x v="0"/>
    <s v="NA"/>
    <s v="Janine Tan"/>
    <m/>
  </r>
  <r>
    <n v="245"/>
    <n v="1296"/>
    <d v="2021-07-07T00:00:00"/>
    <s v="Aptos"/>
    <s v="Gabriella Pardee"/>
    <s v="Netting"/>
    <x v="0"/>
    <s v="BumbleBee"/>
    <x v="0"/>
    <s v="Bombini"/>
    <s v="Bombus"/>
    <s v="vosnesenskii"/>
    <x v="0"/>
    <s v="male"/>
    <s v="mint"/>
    <s v="crop"/>
    <s v="Lamiaceae"/>
    <s v="Mentha"/>
    <s v="sp."/>
    <s v="Mentha sp. A"/>
    <s v="U"/>
    <s v="U"/>
    <x v="3"/>
    <x v="1"/>
    <x v="0"/>
    <s v="NA"/>
    <s v="Robyn Fowler"/>
    <m/>
  </r>
  <r>
    <n v="1367"/>
    <n v="2064"/>
    <d v="2021-07-09T00:00:00"/>
    <s v="Berryessa"/>
    <s v="Edith Gonzales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510"/>
    <n v="50"/>
    <d v="2021-07-09T00:00:00"/>
    <s v="CharlesStreet"/>
    <s v="Jenny Hsu"/>
    <s v="Netting"/>
    <x v="1"/>
    <s v="Hoverfly"/>
    <x v="2"/>
    <s v="Milesini"/>
    <s v="Syritta"/>
    <s v="pipiens"/>
    <x v="11"/>
    <m/>
    <s v="mint"/>
    <s v="crop"/>
    <s v="Lamiaceae"/>
    <s v="Mentha"/>
    <s v="sp."/>
    <s v="Mentha sp. A"/>
    <s v="U"/>
    <s v="U"/>
    <x v="3"/>
    <x v="1"/>
    <x v="0"/>
    <s v="NA"/>
    <s v="Jenny Hsu"/>
    <s v="2 poll (49+50)"/>
  </r>
  <r>
    <n v="509"/>
    <n v="49"/>
    <d v="2021-07-09T00:00:00"/>
    <s v="CharlesStreet"/>
    <s v="Jenny Hsu"/>
    <s v="Netting"/>
    <x v="1"/>
    <s v="Hoverfly"/>
    <x v="2"/>
    <s v="Milesini"/>
    <s v="Syritta"/>
    <s v="pipiens"/>
    <x v="11"/>
    <m/>
    <s v="mint"/>
    <s v="crop"/>
    <s v="Lamiaceae"/>
    <s v="Mentha"/>
    <s v="sp."/>
    <s v="Mentha sp. A"/>
    <s v="U"/>
    <s v="U"/>
    <x v="3"/>
    <x v="1"/>
    <x v="0"/>
    <s v="NA"/>
    <s v="Jenny Hsu"/>
    <s v="2 poll (49+50)"/>
  </r>
  <r>
    <n v="165"/>
    <n v="1251"/>
    <d v="2021-07-11T00:00:00"/>
    <s v="Grange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Robyn Fowler"/>
    <m/>
  </r>
  <r>
    <n v="161"/>
    <n v="1177"/>
    <d v="2021-07-11T00:00:00"/>
    <s v="Grange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Robyn Fowler"/>
    <m/>
  </r>
  <r>
    <n v="1245"/>
    <n v="1842"/>
    <d v="2021-07-10T00:00:00"/>
    <s v="LaColina"/>
    <s v="Gabriella Pardee"/>
    <s v="Netting"/>
    <x v="1"/>
    <s v="BeeFly"/>
    <x v="15"/>
    <s v="Villini"/>
    <s v="Hemipenthes"/>
    <s v="sp_A"/>
    <x v="48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257"/>
    <n v="1904"/>
    <d v="2021-07-10T00:00:00"/>
    <s v="LaColina"/>
    <s v="Azucena Luctaero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233"/>
    <n v="1830"/>
    <d v="2021-07-10T00:00:00"/>
    <s v="LaColina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222"/>
    <n v="1819"/>
    <d v="2021-07-10T00:00:00"/>
    <s v="LaColina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236"/>
    <n v="1833"/>
    <d v="2021-07-10T00:00:00"/>
    <s v="LaColina"/>
    <s v="Azucena Luctaero"/>
    <s v="Netting"/>
    <x v="0"/>
    <s v="BumbleBee"/>
    <x v="0"/>
    <s v="Bombini"/>
    <s v="Bombus"/>
    <s v="vosnesenskii"/>
    <x v="0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062"/>
    <n v="883"/>
    <d v="2021-07-10T00:00:00"/>
    <s v="LagunaSeca"/>
    <s v="Jenny Hsu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039"/>
    <n v="1443"/>
    <d v="2021-07-10T00:00:00"/>
    <s v="LagunaSeca"/>
    <s v="Azucena Luctaero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1"/>
    <s v="NA"/>
    <s v="Jenny Hsu"/>
    <m/>
  </r>
  <r>
    <n v="1054"/>
    <n v="1458"/>
    <d v="2021-07-10T00:00:00"/>
    <s v="LagunaSeca"/>
    <s v="Gabriella Pardee"/>
    <s v="Netting"/>
    <x v="0"/>
    <s v="OtherBee"/>
    <x v="7"/>
    <s v="Colletini"/>
    <s v="Hylaeus"/>
    <s v="sp_C"/>
    <x v="43"/>
    <s v="male"/>
    <s v="mint"/>
    <s v="crop"/>
    <s v="Lamiaceae"/>
    <s v="Mentha"/>
    <s v="sp."/>
    <s v="Mentha sp. A"/>
    <s v="U"/>
    <s v="U"/>
    <x v="3"/>
    <x v="1"/>
    <x v="0"/>
    <s v="NA"/>
    <s v="Jenny Hsu"/>
    <m/>
  </r>
  <r>
    <n v="1133"/>
    <n v="1580"/>
    <d v="2021-07-07T00:00:00"/>
    <s v="Pajaro"/>
    <s v="Jenny Hsu"/>
    <s v="Netting"/>
    <x v="0"/>
    <s v="Sawfly"/>
    <x v="20"/>
    <m/>
    <s v="agrid"/>
    <s v="sp_A"/>
    <x v="74"/>
    <m/>
    <s v="mint"/>
    <s v="crop"/>
    <s v="Lamiaceae"/>
    <s v="Mentha"/>
    <s v="sp."/>
    <s v="Mentha sp. A"/>
    <s v="U"/>
    <s v="U"/>
    <x v="3"/>
    <x v="1"/>
    <x v="0"/>
    <s v="NA"/>
    <s v="Jenny Hsu"/>
    <m/>
  </r>
  <r>
    <n v="1147"/>
    <n v="1644"/>
    <d v="2021-07-07T00:00:00"/>
    <s v="Pajaro"/>
    <s v="Gabriella Pardee"/>
    <s v="Netting"/>
    <x v="0"/>
    <s v="SweatBee"/>
    <x v="1"/>
    <s v="Halictini"/>
    <s v="Lasioglossum"/>
    <s v="sp_F"/>
    <x v="22"/>
    <s v="male"/>
    <s v="mint"/>
    <s v="crop"/>
    <s v="Lamiaceae"/>
    <s v="Mentha"/>
    <s v="sp."/>
    <s v="Mentha sp. A"/>
    <s v="U"/>
    <s v="U"/>
    <x v="3"/>
    <x v="1"/>
    <x v="0"/>
    <s v="NA"/>
    <s v="Jenny Hsu"/>
    <m/>
  </r>
  <r>
    <n v="1172"/>
    <n v="1669"/>
    <d v="2021-07-09T00:00:00"/>
    <s v="Prusch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enny Hsu"/>
    <m/>
  </r>
  <r>
    <n v="1180"/>
    <n v="1677"/>
    <d v="2021-07-09T00:00:00"/>
    <s v="Prusch"/>
    <s v="Gabriella Pardee"/>
    <s v="Netting"/>
    <x v="0"/>
    <s v="OtherBee"/>
    <x v="0"/>
    <s v="Melectini"/>
    <s v="Xeromelecta"/>
    <s v="californica"/>
    <x v="59"/>
    <s v="male"/>
    <s v="mint"/>
    <s v="crop"/>
    <s v="Lamiaceae"/>
    <s v="Mentha"/>
    <s v="sp."/>
    <s v="Mentha sp. A"/>
    <s v="U"/>
    <s v="U"/>
    <x v="3"/>
    <x v="1"/>
    <x v="0"/>
    <s v="NA"/>
    <s v="Jenny Hsu"/>
    <m/>
  </r>
  <r>
    <n v="1717"/>
    <n v="804"/>
    <d v="2021-07-07T00:00:00"/>
    <s v="SeniorCenter"/>
    <s v="Azucena Luctaero"/>
    <s v="Netting"/>
    <x v="0"/>
    <s v="BumbleBee"/>
    <x v="0"/>
    <s v="Bombini"/>
    <s v="Bombus"/>
    <s v="caliginosus"/>
    <x v="6"/>
    <s v="female"/>
    <s v="mint"/>
    <s v="crop"/>
    <s v="Lamiaceae"/>
    <s v="Mentha"/>
    <s v="sp."/>
    <s v="Mentha sp. A"/>
    <s v="U"/>
    <s v="U"/>
    <x v="3"/>
    <x v="1"/>
    <x v="0"/>
    <s v="NA"/>
    <s v="Janine Tan"/>
    <s v="bumble bee"/>
  </r>
  <r>
    <n v="1685"/>
    <n v="564"/>
    <d v="2021-07-11T00:00:00"/>
    <s v="Trescony"/>
    <s v="Gabriella Pardee"/>
    <s v="Netting"/>
    <x v="0"/>
    <s v="HoneyBee"/>
    <x v="0"/>
    <s v="Apini"/>
    <s v="Apis"/>
    <s v="mellifera"/>
    <x v="2"/>
    <s v="female"/>
    <s v="mint"/>
    <s v="crop"/>
    <s v="Lamiaceae"/>
    <s v="Mentha"/>
    <s v="sp."/>
    <s v="Mentha sp. A"/>
    <s v="U"/>
    <s v="U"/>
    <x v="3"/>
    <x v="1"/>
    <x v="0"/>
    <s v="NA"/>
    <s v="Janine Tan"/>
    <m/>
  </r>
  <r>
    <n v="881"/>
    <n v="209"/>
    <d v="2021-07-11T00:00:00"/>
    <s v="Chadwick"/>
    <s v="Gabriella Pardee"/>
    <s v="Netting"/>
    <x v="0"/>
    <s v="BumbleBee"/>
    <x v="0"/>
    <s v="Bombini"/>
    <s v="Bombus"/>
    <s v="vosnesenskii"/>
    <x v="0"/>
    <s v="male"/>
    <s v="Lady Henley Penstemon"/>
    <s v="ornamental"/>
    <s v="Plantaginaceae"/>
    <s v="Penstemon"/>
    <s v="sp."/>
    <s v="Penstemon sp. A"/>
    <s v="U"/>
    <s v="U"/>
    <x v="3"/>
    <x v="1"/>
    <x v="0"/>
    <s v="NA"/>
    <s v="Jenny Hsu"/>
    <m/>
  </r>
  <r>
    <n v="554"/>
    <n v="185"/>
    <d v="2021-07-11T00:00:00"/>
    <s v="Trescony"/>
    <s v="Gabriella Pardee"/>
    <s v="Netting"/>
    <x v="0"/>
    <s v="BumbleBee"/>
    <x v="0"/>
    <s v="Bombini"/>
    <s v="Bombus"/>
    <s v="vosnesenskii"/>
    <x v="0"/>
    <s v="male"/>
    <s v="Purple Penstemon"/>
    <s v="ornamental"/>
    <s v="Plantaginaceae"/>
    <s v="Penstemon"/>
    <s v="sp."/>
    <s v="Penstemon sp. B"/>
    <s v="U"/>
    <s v="U"/>
    <x v="3"/>
    <x v="1"/>
    <x v="0"/>
    <s v="Pollen"/>
    <s v="Jenny Hsu"/>
    <m/>
  </r>
  <r>
    <n v="205"/>
    <n v="1431"/>
    <d v="2021-07-11T00:00:00"/>
    <s v="Trescony"/>
    <s v="Gabriella Pardee"/>
    <s v="Netting"/>
    <x v="0"/>
    <s v="BumbleBee"/>
    <x v="0"/>
    <s v="Bombini"/>
    <s v="Bombus"/>
    <s v="vosnesenskii"/>
    <x v="0"/>
    <s v="female"/>
    <s v="purple penstemon"/>
    <s v="ornamental"/>
    <s v="Plantaginaceae"/>
    <s v="Penstemon"/>
    <s v="sp."/>
    <s v="Penstemon sp. B"/>
    <s v="U"/>
    <s v="U"/>
    <x v="3"/>
    <x v="1"/>
    <x v="0"/>
    <s v="Pollen"/>
    <s v="Robyn Fowler"/>
    <m/>
  </r>
  <r>
    <n v="550"/>
    <n v="181"/>
    <d v="2021-07-11T00:00:00"/>
    <s v="Trescony"/>
    <s v="Gabriella Pardee"/>
    <s v="Netting"/>
    <x v="0"/>
    <s v="OtherBee"/>
    <x v="5"/>
    <s v="Osmiini"/>
    <s v="Hoplitis"/>
    <s v="sp_B"/>
    <x v="75"/>
    <s v="female"/>
    <s v="purple penstemon"/>
    <s v="ornamental"/>
    <s v="Plantaginaceae"/>
    <s v="Penstemon"/>
    <s v="sp."/>
    <s v="Penstemon sp. B"/>
    <s v="U"/>
    <s v="U"/>
    <x v="3"/>
    <x v="1"/>
    <x v="0"/>
    <s v="Pollen"/>
    <s v="Jenny Hsu"/>
    <m/>
  </r>
  <r>
    <n v="1322"/>
    <n v="2019"/>
    <d v="2021-07-08T00:00:00"/>
    <s v="MIIS"/>
    <s v="Gabriella Pardee"/>
    <s v="Netting"/>
    <x v="0"/>
    <s v="SweatBee"/>
    <x v="1"/>
    <s v="Halictini"/>
    <s v="Halictus"/>
    <s v="tripartitus"/>
    <x v="4"/>
    <s v="female"/>
    <s v="allium"/>
    <s v="crop"/>
    <s v="Allioideae"/>
    <s v="Allium"/>
    <s v="sp."/>
    <s v="Allium sp. A"/>
    <s v="U"/>
    <s v="U"/>
    <x v="3"/>
    <x v="5"/>
    <x v="0"/>
    <s v="Pollen"/>
    <s v="Jenny Hsu"/>
    <m/>
  </r>
  <r>
    <n v="721"/>
    <n v="1154"/>
    <d v="2021-07-08T00:00:00"/>
    <s v="PacificGrove"/>
    <s v="Gabriella Pardee"/>
    <s v="Netting"/>
    <x v="0"/>
    <s v="HoneyBee"/>
    <x v="0"/>
    <s v="Apini"/>
    <s v="Apis"/>
    <s v="mellifera"/>
    <x v="2"/>
    <s v="female"/>
    <s v="allium"/>
    <s v="crop"/>
    <s v="Allioideae"/>
    <s v="Allium"/>
    <s v="sp."/>
    <s v="Allium sp. A"/>
    <s v="U"/>
    <s v="U"/>
    <x v="3"/>
    <x v="5"/>
    <x v="0"/>
    <s v="NA"/>
    <s v="Jenny Hsu"/>
    <m/>
  </r>
  <r>
    <n v="1752"/>
    <n v="90"/>
    <d v="2021-07-07T00:00:00"/>
    <s v="Aptos"/>
    <s v="Gabriella Pardee"/>
    <s v="Netting"/>
    <x v="0"/>
    <s v="HoneyBee"/>
    <x v="0"/>
    <s v="Apini"/>
    <s v="Apis"/>
    <s v="mellifera"/>
    <x v="2"/>
    <s v="female"/>
    <s v="milkweed"/>
    <s v="ornamental"/>
    <s v="Apocynaceae"/>
    <s v="Asclepias"/>
    <s v="sp."/>
    <s v="Asclepias sp. A"/>
    <s v="U"/>
    <s v="U"/>
    <x v="3"/>
    <x v="5"/>
    <x v="0"/>
    <s v="Nectar"/>
    <s v="Janine Tan"/>
    <m/>
  </r>
  <r>
    <n v="598"/>
    <n v="697"/>
    <d v="2021-07-07T00:00:00"/>
    <s v="Aptos"/>
    <s v="Gabriella Pardee"/>
    <s v="Netting"/>
    <x v="0"/>
    <s v="HoneyBee"/>
    <x v="0"/>
    <s v="Apini"/>
    <s v="Apis"/>
    <s v="mellifera"/>
    <x v="2"/>
    <s v="female"/>
    <s v="milkweed"/>
    <s v="ornamental"/>
    <s v="Apocynaceae"/>
    <s v="Asclepias"/>
    <s v="sp."/>
    <s v="Asclepias sp. A"/>
    <s v="U"/>
    <s v="U"/>
    <x v="3"/>
    <x v="5"/>
    <x v="0"/>
    <s v="NA"/>
    <s v="Jenny Hsu"/>
    <m/>
  </r>
  <r>
    <n v="1570"/>
    <n v="315"/>
    <d v="2021-07-11T00:00:00"/>
    <s v="Grange"/>
    <s v="Jenny Hsu"/>
    <s v="Netting"/>
    <x v="0"/>
    <s v="OtherBee"/>
    <x v="5"/>
    <s v="Megachilini"/>
    <s v="Megachile"/>
    <s v="perihirta"/>
    <x v="31"/>
    <s v="female"/>
    <s v="knapweed"/>
    <s v="weed"/>
    <s v="Asteraceae"/>
    <s v="Centaurea"/>
    <s v="sp."/>
    <s v="Centaurea sp. A"/>
    <s v="U"/>
    <s v="U"/>
    <x v="3"/>
    <x v="5"/>
    <x v="1"/>
    <s v="NA"/>
    <s v="Sofie Andrade"/>
    <m/>
  </r>
  <r>
    <n v="1701"/>
    <n v="551"/>
    <d v="2021-07-11T00:00:00"/>
    <s v="BeachFlats"/>
    <s v="Gabriella Pardee"/>
    <s v="Netting"/>
    <x v="0"/>
    <s v="HoneyBee"/>
    <x v="0"/>
    <s v="Apini"/>
    <s v="Apis"/>
    <s v="mellifera"/>
    <x v="2"/>
    <s v="female"/>
    <s v="chrysanthemum"/>
    <s v="ornamental"/>
    <s v="Asteraceae"/>
    <s v="Chrysanthemum"/>
    <s v="sp."/>
    <s v="Chrysanthemum sp."/>
    <s v="U"/>
    <s v="U"/>
    <x v="3"/>
    <x v="5"/>
    <x v="0"/>
    <s v="NA"/>
    <s v="Janine Tan"/>
    <m/>
  </r>
  <r>
    <n v="1396"/>
    <n v="2093"/>
    <d v="2021-07-09T00:00:00"/>
    <s v="Berryessa"/>
    <s v="Jenny Hsu"/>
    <s v="Netting"/>
    <x v="0"/>
    <s v="OtherBee"/>
    <x v="0"/>
    <s v="Eucerini"/>
    <s v="Melissodes"/>
    <s v="sp_B"/>
    <x v="39"/>
    <s v="male"/>
    <s v="coneflower"/>
    <s v="ornamental"/>
    <s v="Asteraceae"/>
    <s v="Echinacea"/>
    <s v="sp."/>
    <s v="Echinacea sp. A"/>
    <s v="U"/>
    <s v="U"/>
    <x v="3"/>
    <x v="5"/>
    <x v="0"/>
    <s v="NA"/>
    <s v="Jenny Hsu"/>
    <m/>
  </r>
  <r>
    <n v="546"/>
    <n v="177"/>
    <d v="2021-07-11T00:00:00"/>
    <s v="Trescony"/>
    <s v="Robyn Fowler"/>
    <s v="Netting"/>
    <x v="0"/>
    <s v="HoneyBee"/>
    <x v="0"/>
    <s v="Apini"/>
    <s v="Apis"/>
    <s v="mellifera"/>
    <x v="2"/>
    <s v="female"/>
    <s v="coneflower"/>
    <s v="ornamental"/>
    <s v="Asteraceae"/>
    <s v="Echinacea"/>
    <s v="sp."/>
    <s v="Echinacea sp. A"/>
    <s v="U"/>
    <s v="U"/>
    <x v="3"/>
    <x v="5"/>
    <x v="0"/>
    <s v="NA"/>
    <s v="Jenny Hsu"/>
    <m/>
  </r>
  <r>
    <n v="1557"/>
    <n v="301"/>
    <d v="2021-07-09T00:00:00"/>
    <s v="CharlesStreet"/>
    <s v="Jenny Hsu"/>
    <s v="Netting"/>
    <x v="0"/>
    <s v="HoneyBee"/>
    <x v="0"/>
    <s v="Apini"/>
    <s v="Apis"/>
    <s v="mellifera"/>
    <x v="2"/>
    <s v="female"/>
    <s v="rosemary"/>
    <s v="crop"/>
    <s v="Lamiaceae"/>
    <s v="Lamiaceae"/>
    <s v="Rosmarinus"/>
    <s v="Lamiaceae Rosmarinus"/>
    <s v="U"/>
    <s v="U"/>
    <x v="3"/>
    <x v="5"/>
    <x v="2"/>
    <s v="NA"/>
    <s v="Sofie Andrade"/>
    <m/>
  </r>
  <r>
    <n v="1556"/>
    <n v="300"/>
    <d v="2021-07-09T00:00:00"/>
    <s v="CharlesStreet"/>
    <s v="Robyn Fowler"/>
    <s v="Netting"/>
    <x v="0"/>
    <s v="HoneyBee"/>
    <x v="0"/>
    <s v="Apini"/>
    <s v="Apis"/>
    <s v="mellifera"/>
    <x v="2"/>
    <s v="female"/>
    <s v="rosemary"/>
    <s v="crop"/>
    <s v="Lamiaceae"/>
    <s v="Lamiaceae"/>
    <s v="Rosmarinus"/>
    <s v="Lamiaceae Rosmarinus"/>
    <s v="U"/>
    <s v="U"/>
    <x v="3"/>
    <x v="5"/>
    <x v="2"/>
    <s v="NA"/>
    <s v="Sofie Andrade"/>
    <m/>
  </r>
  <r>
    <n v="804"/>
    <n v="1333"/>
    <d v="2021-07-10T00:00:00"/>
    <s v="HomelessGardenProject"/>
    <s v="Jenny Hsu"/>
    <s v="Netting"/>
    <x v="1"/>
    <s v="Hoverfly"/>
    <x v="2"/>
    <s v="Paragini"/>
    <s v="Paragus"/>
    <s v="haemorrhous"/>
    <x v="45"/>
    <m/>
    <s v="Leucanthemum"/>
    <s v="ornamental"/>
    <s v="Asteraceae"/>
    <s v="Leucanthemum"/>
    <s v="sp."/>
    <s v="Leucanthemum sp. A"/>
    <s v="U"/>
    <s v="U"/>
    <x v="3"/>
    <x v="5"/>
    <x v="0"/>
    <s v="NA"/>
    <s v="Jenny Hsu"/>
    <m/>
  </r>
  <r>
    <n v="833"/>
    <n v="1410"/>
    <d v="2021-07-10T00:00:00"/>
    <s v="HomelessGardenProject"/>
    <s v="Jenny Hsu"/>
    <s v="Netting"/>
    <x v="2"/>
    <s v="Butterfly"/>
    <x v="17"/>
    <s v="Polyommatini"/>
    <s v="Brephidium"/>
    <s v="exilis"/>
    <x v="76"/>
    <s v="Unable to ID"/>
    <s v="Leucanthemum"/>
    <s v="ornamental"/>
    <s v="Asteraceae"/>
    <s v="Leucanthemum"/>
    <s v="sp."/>
    <s v="Leucanthemum sp. A"/>
    <s v="U"/>
    <s v="U"/>
    <x v="3"/>
    <x v="5"/>
    <x v="0"/>
    <s v="NA"/>
    <s v="Jenny Hsu"/>
    <m/>
  </r>
  <r>
    <n v="800"/>
    <n v="1329"/>
    <d v="2021-07-10T00:00:00"/>
    <s v="HomelessGardenProject"/>
    <s v="Stacy Philpott"/>
    <s v="Netting"/>
    <x v="0"/>
    <s v="BumbleBee"/>
    <x v="0"/>
    <s v="Bombini"/>
    <s v="Bombus"/>
    <s v="vosnesenskii"/>
    <x v="0"/>
    <s v="male"/>
    <s v="Statis"/>
    <s v="ornamental"/>
    <s v="Plumbaginaceae"/>
    <s v="Limonium"/>
    <s v="sp."/>
    <s v="Limonium sp. A"/>
    <s v="U"/>
    <s v="U"/>
    <x v="3"/>
    <x v="5"/>
    <x v="0"/>
    <s v="NA"/>
    <s v="Jenny Hsu"/>
    <m/>
  </r>
  <r>
    <n v="142"/>
    <n v="1088"/>
    <d v="2021-07-09T00:00:00"/>
    <s v="CharlesStreet"/>
    <s v="Jenny Hsu"/>
    <s v="Netting"/>
    <x v="0"/>
    <s v="SweatBee"/>
    <x v="1"/>
    <s v="Halictini"/>
    <s v="Agapostemon"/>
    <s v="texanus"/>
    <x v="44"/>
    <m/>
    <s v="lomelosia"/>
    <s v="ornamental"/>
    <s v="Caprifoliaceae"/>
    <s v="Lomelsosia"/>
    <s v="sp."/>
    <s v="Lomelsosia sp."/>
    <s v="U"/>
    <s v="U"/>
    <x v="3"/>
    <x v="5"/>
    <x v="0"/>
    <s v="NA"/>
    <s v="Robyn Fowler"/>
    <m/>
  </r>
  <r>
    <n v="534"/>
    <n v="75"/>
    <d v="2021-07-11T00:00:00"/>
    <s v="Grange"/>
    <s v="Gabriella Pardee"/>
    <s v="Netting"/>
    <x v="0"/>
    <s v="SweatBee"/>
    <x v="1"/>
    <s v="Halictini"/>
    <s v="Halictus"/>
    <s v="tripartitus"/>
    <x v="4"/>
    <s v="female"/>
    <s v="oxalis"/>
    <s v="weed"/>
    <s v="Oxalidaceae"/>
    <s v="Oxalis"/>
    <s v="sp."/>
    <s v="Oxalis sp. A"/>
    <s v="U"/>
    <s v="U"/>
    <x v="3"/>
    <x v="5"/>
    <x v="0"/>
    <s v="Pollen"/>
    <s v="Jenny Hsu"/>
    <m/>
  </r>
  <r>
    <n v="532"/>
    <n v="73"/>
    <d v="2021-07-11T00:00:00"/>
    <s v="Grange"/>
    <s v="Sofie Andrade"/>
    <s v="Netting"/>
    <x v="2"/>
    <s v="Moth"/>
    <x v="9"/>
    <s v="Platyptiliini"/>
    <s v="Pyrausta"/>
    <s v="volupialis"/>
    <x v="25"/>
    <s v="Unable to ID"/>
    <s v="oxalis"/>
    <s v="weed"/>
    <s v="Oxalidaceae"/>
    <s v="Oxalis"/>
    <s v="sp."/>
    <s v="Oxalis sp. A"/>
    <s v="U"/>
    <s v="U"/>
    <x v="3"/>
    <x v="5"/>
    <x v="0"/>
    <s v="NA"/>
    <s v="Jenny Hsu"/>
    <m/>
  </r>
  <r>
    <n v="1079"/>
    <n v="501"/>
    <d v="2021-07-10T00:00:00"/>
    <s v="LagunaSeca"/>
    <s v="Jenny Hsu"/>
    <s v="Netting"/>
    <x v="0"/>
    <s v="HoneyBee"/>
    <x v="0"/>
    <s v="Apini"/>
    <s v="Apis"/>
    <s v="mellifera"/>
    <x v="2"/>
    <s v="female"/>
    <s v="Red Salvia"/>
    <s v="ornamental"/>
    <s v="Lamiaceae"/>
    <s v="Salvia"/>
    <s v="sp."/>
    <s v="Salvia sp. A"/>
    <s v="U"/>
    <s v="U"/>
    <x v="3"/>
    <x v="5"/>
    <x v="0"/>
    <s v="NA"/>
    <s v="Jenny Hsu"/>
    <s v="2 poll (501+502)"/>
  </r>
  <r>
    <n v="1065"/>
    <n v="249"/>
    <d v="2021-07-10T00:00:00"/>
    <s v="LagunaSeca"/>
    <s v="Gabriella Pardee"/>
    <s v="Netting"/>
    <x v="0"/>
    <s v="HoneyBee"/>
    <x v="0"/>
    <s v="Apini"/>
    <s v="Apis"/>
    <s v="mellifera"/>
    <x v="2"/>
    <s v="female"/>
    <s v="Red Salvia"/>
    <s v="ornamental"/>
    <s v="Lamiaceae"/>
    <s v="Salvia"/>
    <s v="sp."/>
    <s v="Salvia sp. A"/>
    <s v="U"/>
    <s v="U"/>
    <x v="3"/>
    <x v="5"/>
    <x v="0"/>
    <s v="NA"/>
    <s v="Jenny Hsu"/>
    <m/>
  </r>
  <r>
    <n v="1080"/>
    <n v="502"/>
    <d v="2021-07-10T00:00:00"/>
    <s v="LagunaSeca"/>
    <s v="Jenny Hsu"/>
    <s v="Netting"/>
    <x v="0"/>
    <s v="CarpenterBee"/>
    <x v="0"/>
    <s v="Xylocopini"/>
    <s v="Xylocopa"/>
    <s v="tabaniformis"/>
    <x v="14"/>
    <s v="female"/>
    <s v="Red Salvia"/>
    <s v="ornamental"/>
    <s v="Lamiaceae"/>
    <s v="Salvia"/>
    <s v="sp."/>
    <s v="Salvia sp. A"/>
    <s v="U"/>
    <s v="U"/>
    <x v="3"/>
    <x v="5"/>
    <x v="0"/>
    <s v="NA"/>
    <s v="Jenny Hsu"/>
    <s v="2 poll (501+502)"/>
  </r>
  <r>
    <n v="866"/>
    <n v="946"/>
    <d v="2021-07-11T00:00:00"/>
    <s v="Chadwick"/>
    <s v="Robyn Fowler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0"/>
    <s v="NA"/>
    <s v="Jenny Hsu"/>
    <m/>
  </r>
  <r>
    <n v="849"/>
    <n v="929"/>
    <d v="2021-07-11T00:00:00"/>
    <s v="Chadwick"/>
    <s v="Robyn Fowler"/>
    <s v="Netting"/>
    <x v="0"/>
    <s v="BumbleBee"/>
    <x v="0"/>
    <s v="Bombini"/>
    <s v="Bombus"/>
    <s v="flavifrons"/>
    <x v="57"/>
    <s v="male"/>
    <s v="salvia"/>
    <s v="ornamental"/>
    <s v="Lamiaceae"/>
    <s v="Salvia"/>
    <s v="sp."/>
    <s v="Salvia sp. B"/>
    <s v="U"/>
    <s v="U"/>
    <x v="3"/>
    <x v="5"/>
    <x v="1"/>
    <s v="NA"/>
    <s v="Jenny Hsu"/>
    <m/>
  </r>
  <r>
    <n v="857"/>
    <n v="937"/>
    <d v="2021-07-11T00:00:00"/>
    <s v="Chadwick"/>
    <s v="Robyn Fowler"/>
    <s v="Netting"/>
    <x v="0"/>
    <s v="CarpenterBee"/>
    <x v="0"/>
    <s v="Xylocopini"/>
    <s v="Xylocopa"/>
    <s v="tabaniformis"/>
    <x v="14"/>
    <s v="male"/>
    <s v="salvia"/>
    <s v="ornamental"/>
    <s v="Lamiaceae"/>
    <s v="Salvia"/>
    <s v="sp."/>
    <s v="Salvia sp. B"/>
    <s v="U"/>
    <s v="U"/>
    <x v="3"/>
    <x v="5"/>
    <x v="0"/>
    <s v="NA"/>
    <s v="Jenny Hsu"/>
    <m/>
  </r>
  <r>
    <n v="852"/>
    <n v="932"/>
    <d v="2021-07-11T00:00:00"/>
    <s v="Chadwick"/>
    <s v="Robyn Fowler"/>
    <s v="Netting"/>
    <x v="0"/>
    <s v="CarpenterBee"/>
    <x v="0"/>
    <s v="Xylocopini"/>
    <s v="Xylocopa"/>
    <s v="tabaniformis"/>
    <x v="14"/>
    <s v="female"/>
    <s v="salvia"/>
    <s v="ornamental"/>
    <s v="Lamiaceae"/>
    <s v="Salvia"/>
    <s v="sp."/>
    <s v="Salvia sp. B"/>
    <s v="U"/>
    <s v="U"/>
    <x v="3"/>
    <x v="5"/>
    <x v="1"/>
    <s v="NA"/>
    <s v="Jenny Hsu"/>
    <m/>
  </r>
  <r>
    <n v="1574"/>
    <n v="319"/>
    <d v="2021-07-11T00:00:00"/>
    <s v="Grange"/>
    <s v="Gabriella Pardee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1"/>
    <s v="NA"/>
    <s v="Sofie Andrade"/>
    <m/>
  </r>
  <r>
    <n v="160"/>
    <n v="1176"/>
    <d v="2021-07-11T00:00:00"/>
    <s v="Grange"/>
    <s v="Robyn Fowler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0"/>
    <s v="NA"/>
    <s v="Robyn Fowler"/>
    <m/>
  </r>
  <r>
    <n v="281"/>
    <n v="895"/>
    <d v="2021-07-09T00:00:00"/>
    <s v="Guadalupe"/>
    <s v="Gabriella Pardee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0"/>
    <s v="NA"/>
    <s v="Robyn Fowler"/>
    <m/>
  </r>
  <r>
    <n v="279"/>
    <n v="893"/>
    <d v="2021-07-09T00:00:00"/>
    <s v="Guadalupe"/>
    <s v="Robyn Fowler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0"/>
    <s v="NA"/>
    <s v="Robyn Fowler"/>
    <m/>
  </r>
  <r>
    <n v="265"/>
    <n v="37"/>
    <d v="2021-07-09T00:00:00"/>
    <s v="Guadalupe"/>
    <s v="Gabriella Pardee"/>
    <s v="Netting"/>
    <x v="0"/>
    <s v="OtherBee"/>
    <x v="5"/>
    <s v="Megachilini"/>
    <s v="Megachile"/>
    <s v="angelarum"/>
    <x v="56"/>
    <s v="male"/>
    <s v="salvia"/>
    <s v="ornamental"/>
    <s v="Lamiaceae"/>
    <s v="Salvia"/>
    <s v="sp."/>
    <s v="Salvia sp. B"/>
    <s v="U"/>
    <s v="U"/>
    <x v="3"/>
    <x v="5"/>
    <x v="0"/>
    <s v="NA"/>
    <s v="Robyn Fowler"/>
    <m/>
  </r>
  <r>
    <n v="1020"/>
    <n v="1376"/>
    <d v="2021-07-08T00:00:00"/>
    <s v="MEarth"/>
    <s v="Stacy Philpott"/>
    <s v="Netting"/>
    <x v="0"/>
    <s v="BumbleBee"/>
    <x v="0"/>
    <s v="Bombini"/>
    <s v="Bombus"/>
    <s v="caliginosus"/>
    <x v="6"/>
    <s v="female"/>
    <s v="sage, ornamental"/>
    <s v="ornamental"/>
    <s v="Lamiaceae"/>
    <s v="Salvia"/>
    <s v="sp."/>
    <s v="Salvia sp. B"/>
    <s v="U"/>
    <s v="U"/>
    <x v="3"/>
    <x v="5"/>
    <x v="0"/>
    <s v="NA"/>
    <s v="Jenny Hsu"/>
    <m/>
  </r>
  <r>
    <n v="1112"/>
    <n v="1559"/>
    <d v="2021-07-07T00:00:00"/>
    <s v="Pajaro"/>
    <s v="Jenny Hsu"/>
    <s v="Netting"/>
    <x v="0"/>
    <s v="BumbleBee"/>
    <x v="0"/>
    <s v="Bombini"/>
    <s v="Bombus"/>
    <s v="vosnesenskii"/>
    <x v="0"/>
    <s v="male"/>
    <s v="salvia"/>
    <s v="ornamental"/>
    <s v="Lamiaceae"/>
    <s v="Salvia"/>
    <s v="sp."/>
    <s v="Salvia sp. B"/>
    <s v="U"/>
    <s v="U"/>
    <x v="3"/>
    <x v="5"/>
    <x v="0"/>
    <s v="NA"/>
    <s v="Jenny Hsu"/>
    <m/>
  </r>
  <r>
    <n v="312"/>
    <n v="228"/>
    <d v="2021-07-08T00:00:00"/>
    <s v="Salinas"/>
    <s v="Edith Gonzales"/>
    <s v="Netting"/>
    <x v="0"/>
    <s v="HoneyBee"/>
    <x v="0"/>
    <s v="Apini"/>
    <s v="Apis"/>
    <s v="mellifera"/>
    <x v="2"/>
    <s v="female"/>
    <s v="salvia"/>
    <s v="ornamental"/>
    <s v="Lamiaceae"/>
    <s v="Salvia"/>
    <s v="sp."/>
    <s v="Salvia sp. B"/>
    <s v="U"/>
    <s v="U"/>
    <x v="3"/>
    <x v="5"/>
    <x v="0"/>
    <s v="NA"/>
    <s v="Robyn Fowler"/>
    <m/>
  </r>
  <r>
    <n v="315"/>
    <n v="231"/>
    <d v="2021-07-08T00:00:00"/>
    <s v="Salinas"/>
    <s v="Gabriella Pardee"/>
    <s v="Netting"/>
    <x v="0"/>
    <s v="OtherBee"/>
    <x v="5"/>
    <s v="Megachilini"/>
    <s v="Megachile"/>
    <s v="perihirta"/>
    <x v="31"/>
    <s v="female"/>
    <s v="salvia"/>
    <s v="ornamental"/>
    <s v="Lamiaceae"/>
    <s v="Salvia"/>
    <s v="sp."/>
    <s v="Salvia sp. B"/>
    <s v="U"/>
    <s v="U"/>
    <x v="3"/>
    <x v="5"/>
    <x v="0"/>
    <s v="Pollen"/>
    <s v="Robyn Fowler"/>
    <m/>
  </r>
  <r>
    <n v="1011"/>
    <n v="1367"/>
    <d v="2021-07-08T00:00:00"/>
    <s v="MEarth"/>
    <s v="Stacy Philpott"/>
    <s v="Netting"/>
    <x v="0"/>
    <s v="BumbleBee"/>
    <x v="0"/>
    <s v="Bombini"/>
    <s v="Bombus"/>
    <s v="vosnesenskii"/>
    <x v="0"/>
    <s v="male"/>
    <s v="Sedum sp."/>
    <s v="ornamental"/>
    <s v="Crassulaceae"/>
    <s v="Sedum"/>
    <s v="sp."/>
    <s v="Sedum sp. A"/>
    <s v="U"/>
    <s v="U"/>
    <x v="3"/>
    <x v="5"/>
    <x v="0"/>
    <s v="NA"/>
    <s v="Jenny Hsu"/>
    <m/>
  </r>
  <r>
    <n v="1739"/>
    <n v="826"/>
    <d v="2021-07-07T00:00:00"/>
    <s v="Aptos"/>
    <s v="Gabriella Pardee"/>
    <s v="Netting"/>
    <x v="0"/>
    <s v="SweatBee"/>
    <x v="1"/>
    <s v="Halictini"/>
    <s v="Halictus"/>
    <s v="tripartitus"/>
    <x v="4"/>
    <s v="female"/>
    <s v="Symphytotrichum"/>
    <s v="ornamental"/>
    <s v="Asteraceae"/>
    <s v="Symphytotrichum"/>
    <s v="sp."/>
    <s v="Symphytotrichum sp. A"/>
    <s v="U"/>
    <s v="VioletPinkWhite"/>
    <x v="3"/>
    <x v="0"/>
    <x v="0"/>
    <s v="Pollen"/>
    <s v="Janine Tan"/>
    <m/>
  </r>
  <r>
    <n v="1109"/>
    <n v="1209"/>
    <d v="2021-07-07T00:00:00"/>
    <s v="Pajaro"/>
    <s v="Sofie Andrade"/>
    <s v="Netting"/>
    <x v="1"/>
    <s v="Hoverfly"/>
    <x v="2"/>
    <s v="Milesini"/>
    <s v="Syritta"/>
    <s v="pipiens"/>
    <x v="11"/>
    <m/>
    <s v="Symphytotrichum"/>
    <s v="ornamental"/>
    <s v="Asteraceae"/>
    <s v="Symphytotrichum"/>
    <s v="sp."/>
    <s v="Symphytotrichum sp. A"/>
    <s v="U"/>
    <s v="VioletPinkWhite"/>
    <x v="3"/>
    <x v="0"/>
    <x v="0"/>
    <s v="NA"/>
    <s v="Jenny Hsu"/>
    <s v="2 poll (1208+1209)"/>
  </r>
  <r>
    <n v="1108"/>
    <n v="1208"/>
    <d v="2021-07-07T00:00:00"/>
    <s v="Pajaro"/>
    <s v="Sofie Andrade"/>
    <s v="Netting"/>
    <x v="1"/>
    <s v="Hoverfly"/>
    <x v="2"/>
    <s v="Milesini"/>
    <s v="Syritta"/>
    <s v="pipiens"/>
    <x v="11"/>
    <m/>
    <s v="Symphytotrichum"/>
    <s v="ornamental"/>
    <s v="Asteraceae"/>
    <s v="Symphytotrichum"/>
    <s v="sp."/>
    <s v="Symphytotrichum sp. A"/>
    <s v="U"/>
    <s v="VioletPinkWhite"/>
    <x v="3"/>
    <x v="0"/>
    <x v="0"/>
    <s v="NA"/>
    <s v="Jenny Hsu"/>
    <s v="2 poll (1208+1209)"/>
  </r>
  <r>
    <n v="1113"/>
    <n v="1560"/>
    <d v="2021-07-07T00:00:00"/>
    <s v="Pajaro"/>
    <s v="Sofie Andrade"/>
    <s v="Netting"/>
    <x v="0"/>
    <s v="BumbleBee"/>
    <x v="0"/>
    <s v="Bombini"/>
    <s v="Bombus"/>
    <s v="vosnesenskii"/>
    <x v="0"/>
    <s v="male"/>
    <s v="Symphytotrichum"/>
    <s v="ornamental"/>
    <s v="Asteraceae"/>
    <s v="Symphytotrichum"/>
    <s v="sp."/>
    <s v="Symphytotrichum sp. A"/>
    <s v="U"/>
    <s v="VioletPinkWhite"/>
    <x v="3"/>
    <x v="0"/>
    <x v="0"/>
    <s v="NA"/>
    <s v="Jenny Hsu"/>
    <m/>
  </r>
  <r>
    <n v="986"/>
    <n v="710"/>
    <d v="2021-07-08T00:00:00"/>
    <s v="MEarth"/>
    <s v="Gabriella Pardee"/>
    <s v="Netting"/>
    <x v="0"/>
    <s v="BumbleBee"/>
    <x v="0"/>
    <s v="Bombini"/>
    <s v="Bombus"/>
    <s v="caliginosus"/>
    <x v="6"/>
    <s v="female"/>
    <s v="bluebell"/>
    <s v="ornamental"/>
    <s v="Asparagaceae"/>
    <s v="Hyacinthoides"/>
    <s v="non-scripta"/>
    <s v="Hyacinthoides non-scripta"/>
    <s v="Not Native"/>
    <s v="VioletWhite"/>
    <x v="2"/>
    <x v="1"/>
    <x v="0"/>
    <s v="NA"/>
    <s v="Jenny Hsu"/>
    <m/>
  </r>
  <r>
    <n v="977"/>
    <n v="1285"/>
    <d v="2021-07-08T00:00:00"/>
    <s v="MEarth"/>
    <s v="Jenny Hsu"/>
    <s v="Netting"/>
    <x v="0"/>
    <s v="BumbleBee"/>
    <x v="0"/>
    <s v="Bombini"/>
    <s v="Bombus"/>
    <s v="vosnesenskii"/>
    <x v="0"/>
    <s v="female"/>
    <s v="Fingertips"/>
    <s v="ornamental"/>
    <s v="Crassulaceae"/>
    <s v="Dudleya"/>
    <s v="edulis"/>
    <s v="Dudleya edulis"/>
    <s v="Native"/>
    <s v="White"/>
    <x v="9"/>
    <x v="0"/>
    <x v="0"/>
    <s v="NA"/>
    <s v="Jenny Hsu"/>
    <s v="queen"/>
  </r>
  <r>
    <n v="991"/>
    <n v="715"/>
    <d v="2021-07-08T00:00:00"/>
    <s v="MEarth"/>
    <s v="Jenny Hsu"/>
    <s v="Netting"/>
    <x v="0"/>
    <s v="SweatBee"/>
    <x v="1"/>
    <s v="Halictini"/>
    <s v="Lasioglossum"/>
    <s v="sp_G"/>
    <x v="8"/>
    <s v="female"/>
    <s v="Fingertips"/>
    <s v="ornamental"/>
    <s v="Crassulaceae"/>
    <s v="Dudleya"/>
    <s v="edulis"/>
    <s v="Dudleya edulis"/>
    <s v="Native"/>
    <s v="White"/>
    <x v="9"/>
    <x v="0"/>
    <x v="0"/>
    <s v="NA"/>
    <s v="Jenny Hsu"/>
    <m/>
  </r>
  <r>
    <n v="1013"/>
    <n v="1369"/>
    <d v="2021-07-08T00:00:00"/>
    <s v="MEarth"/>
    <s v="Stacy Philpott"/>
    <s v="Netting"/>
    <x v="1"/>
    <s v="OtherFly"/>
    <x v="10"/>
    <m/>
    <s v="muscid"/>
    <s v="sp_C"/>
    <x v="77"/>
    <m/>
    <s v="Peppergrass"/>
    <s v="weed"/>
    <s v="Brassicaceae"/>
    <s v="Lepidium"/>
    <s v="virginicum"/>
    <s v="Lepidium virginicum"/>
    <s v="Native"/>
    <s v="White"/>
    <x v="9"/>
    <x v="0"/>
    <x v="0"/>
    <s v="NA"/>
    <s v="Jenny Hsu"/>
    <m/>
  </r>
  <r>
    <n v="560"/>
    <n v="191"/>
    <d v="2021-07-11T00:00:00"/>
    <s v="Trescony"/>
    <s v="Gabriella Pardee"/>
    <s v="Netting"/>
    <x v="0"/>
    <s v="HoneyBee"/>
    <x v="0"/>
    <s v="Apini"/>
    <s v="Apis"/>
    <s v="mellifera"/>
    <x v="2"/>
    <s v="female"/>
    <s v="Raspberry"/>
    <s v="crop"/>
    <s v="Rosaceae"/>
    <s v="Rubus"/>
    <s v="idaeus"/>
    <s v="Rubus idaeus"/>
    <s v="Native"/>
    <s v="White"/>
    <x v="9"/>
    <x v="0"/>
    <x v="0"/>
    <s v="NA"/>
    <s v="Jenny Hsu"/>
    <m/>
  </r>
  <r>
    <n v="1456"/>
    <n v="2253"/>
    <d v="2021-07-11T00:00:00"/>
    <s v="FarmGardenUCSC"/>
    <s v="Jenny Hsu"/>
    <s v="Netting"/>
    <x v="0"/>
    <s v="HoneyBee"/>
    <x v="0"/>
    <s v="Apini"/>
    <s v="Apis"/>
    <s v="mellifera"/>
    <x v="2"/>
    <s v="female"/>
    <s v="blackberry"/>
    <s v="crop"/>
    <s v="Rosaceae"/>
    <s v="Rubus"/>
    <s v="ursinus"/>
    <s v="Rubus ursinus"/>
    <s v="Native"/>
    <s v="White"/>
    <x v="9"/>
    <x v="0"/>
    <x v="1"/>
    <s v="NA"/>
    <s v="Jenny Hsu"/>
    <m/>
  </r>
  <r>
    <n v="1509"/>
    <n v="2406"/>
    <d v="2021-07-11T00:00:00"/>
    <s v="FarmGardenUCSC"/>
    <s v="Robyn Fowler"/>
    <s v="Netting"/>
    <x v="0"/>
    <s v="BumbleBee"/>
    <x v="0"/>
    <s v="Bombini"/>
    <s v="Bombus"/>
    <s v="vosnesenskii"/>
    <x v="0"/>
    <s v="female"/>
    <s v="blackberry"/>
    <s v="crop"/>
    <s v="Rosaceae"/>
    <s v="Rubus"/>
    <s v="ursinus"/>
    <s v="Rubus ursinus"/>
    <s v="Native"/>
    <s v="White"/>
    <x v="9"/>
    <x v="0"/>
    <x v="0"/>
    <s v="NA"/>
    <s v="Jenny Hsu"/>
    <m/>
  </r>
  <r>
    <n v="784"/>
    <n v="1313"/>
    <d v="2021-07-10T00:00:00"/>
    <s v="HomelessGardenProject"/>
    <s v="Jenny Hsu"/>
    <s v="Netting"/>
    <x v="0"/>
    <s v="HoneyBee"/>
    <x v="0"/>
    <s v="Apini"/>
    <s v="Apis"/>
    <s v="mellifera"/>
    <x v="2"/>
    <s v="female"/>
    <s v="blackberry"/>
    <s v="crop"/>
    <s v="Rosaceae"/>
    <s v="Rubus"/>
    <s v="ursinus"/>
    <s v="Rubus ursinus"/>
    <s v="Native"/>
    <s v="White"/>
    <x v="9"/>
    <x v="0"/>
    <x v="1"/>
    <s v="NA"/>
    <s v="Jenny Hsu"/>
    <m/>
  </r>
  <r>
    <n v="808"/>
    <n v="795"/>
    <d v="2021-07-10T00:00:00"/>
    <s v="HomelessGardenProject"/>
    <s v="Stacy Philpott"/>
    <s v="Netting"/>
    <x v="0"/>
    <s v="BumbleBee"/>
    <x v="0"/>
    <s v="Bombini"/>
    <s v="Bombus"/>
    <s v="caliginosus"/>
    <x v="6"/>
    <s v="female"/>
    <s v="blackberry"/>
    <s v="crop"/>
    <s v="Rosaceae"/>
    <s v="Rubus"/>
    <s v="ursinus"/>
    <s v="Rubus ursinus"/>
    <s v="Native"/>
    <s v="White"/>
    <x v="9"/>
    <x v="0"/>
    <x v="0"/>
    <s v="NA"/>
    <s v="Jenny Hsu"/>
    <m/>
  </r>
  <r>
    <n v="1595"/>
    <n v="582"/>
    <d v="2021-07-11T00:00:00"/>
    <s v="Trescony"/>
    <s v="Robyn Fowler"/>
    <s v="Netting"/>
    <x v="0"/>
    <s v="HoneyBee"/>
    <x v="0"/>
    <s v="Apini"/>
    <s v="Apis"/>
    <s v="mellifera"/>
    <x v="2"/>
    <s v="female"/>
    <s v="blackberry"/>
    <s v="crop"/>
    <s v="Rosaceae"/>
    <s v="Rubus"/>
    <s v="ursinus"/>
    <s v="Rubus ursinus"/>
    <s v="Native"/>
    <s v="White"/>
    <x v="9"/>
    <x v="0"/>
    <x v="0"/>
    <s v="NA"/>
    <s v="Sofie Andrade"/>
    <m/>
  </r>
  <r>
    <n v="1592"/>
    <n v="579"/>
    <d v="2021-07-11T00:00:00"/>
    <s v="Trescony"/>
    <s v="Robyn Fowler"/>
    <s v="Netting"/>
    <x v="0"/>
    <s v="HoneyBee"/>
    <x v="0"/>
    <s v="Apini"/>
    <s v="Apis"/>
    <s v="mellifera"/>
    <x v="2"/>
    <s v="female"/>
    <s v="blackberry"/>
    <s v="crop"/>
    <s v="Rosaceae"/>
    <s v="Rubus"/>
    <s v="ursinus"/>
    <s v="Rubus ursinus"/>
    <s v="Native"/>
    <s v="White"/>
    <x v="9"/>
    <x v="0"/>
    <x v="0"/>
    <s v="NA"/>
    <s v="Sofie Andrade"/>
    <m/>
  </r>
  <r>
    <n v="636"/>
    <n v="973"/>
    <d v="2021-07-07T00:00:00"/>
    <s v="ValleVerde"/>
    <s v="Gabriella Pardee"/>
    <s v="Netting"/>
    <x v="0"/>
    <s v="SweatBee"/>
    <x v="1"/>
    <s v="Halictini"/>
    <s v="Halictus"/>
    <s v="tripartitus"/>
    <x v="4"/>
    <s v="female"/>
    <s v="blackberry"/>
    <s v="crop"/>
    <s v="Rosaceae"/>
    <s v="Rubus"/>
    <s v="ursinus"/>
    <s v="Rubus ursinus"/>
    <s v="Native"/>
    <s v="White"/>
    <x v="9"/>
    <x v="0"/>
    <x v="0"/>
    <s v="Pollen"/>
    <s v="Jenny Hsu"/>
    <s v="2 poll (973+974)"/>
  </r>
  <r>
    <n v="637"/>
    <n v="974"/>
    <d v="2021-07-07T00:00:00"/>
    <s v="ValleVerde"/>
    <s v="Gabriella Pardee"/>
    <s v="Netting"/>
    <x v="0"/>
    <s v="SweatBee"/>
    <x v="1"/>
    <s v="Halictini"/>
    <s v="Halictus"/>
    <s v="tripartitus"/>
    <x v="4"/>
    <s v="female"/>
    <s v="blackberry"/>
    <s v="crop"/>
    <s v="Rosaceae"/>
    <s v="Rubus"/>
    <s v="ursinus"/>
    <s v="Rubus ursinus"/>
    <s v="Native"/>
    <s v="White"/>
    <x v="9"/>
    <x v="0"/>
    <x v="0"/>
    <s v="Pollen"/>
    <s v="Jenny Hsu"/>
    <s v="2 poll (973+974)"/>
  </r>
  <r>
    <n v="1687"/>
    <n v="566"/>
    <d v="2021-07-11T00:00:00"/>
    <s v="Trescony"/>
    <s v="Gabriella Pardee"/>
    <s v="Netting"/>
    <x v="0"/>
    <s v="OtherBee"/>
    <x v="7"/>
    <s v="Colletini"/>
    <s v="Hylaeus"/>
    <s v="sp_B"/>
    <x v="18"/>
    <s v="female"/>
    <s v="hot rock penstemon"/>
    <s v="ornamental"/>
    <s v="Plantaginaceae"/>
    <s v="Penstemon"/>
    <s v="deustus"/>
    <s v="Penstemon deustus"/>
    <s v="Native"/>
    <s v="White"/>
    <x v="9"/>
    <x v="1"/>
    <x v="0"/>
    <s v="NA"/>
    <s v="Janine Tan"/>
    <m/>
  </r>
  <r>
    <n v="1503"/>
    <n v="2350"/>
    <d v="2021-07-11T00:00:00"/>
    <s v="FarmGardenUCSC"/>
    <s v="Jenny Hsu"/>
    <s v="Netting"/>
    <x v="0"/>
    <s v="HoneyBee"/>
    <x v="0"/>
    <s v="Apini"/>
    <s v="Apis"/>
    <s v="mellifera"/>
    <x v="2"/>
    <s v="female"/>
    <s v="Lemon Verbena"/>
    <s v="crop"/>
    <s v="Verbenaceae"/>
    <s v="Aloysia"/>
    <s v="citrodora"/>
    <s v="Aloysia citrodora"/>
    <s v="Not Native"/>
    <s v="White"/>
    <x v="9"/>
    <x v="0"/>
    <x v="0"/>
    <s v="NA"/>
    <s v="Jenny Hsu"/>
    <m/>
  </r>
  <r>
    <n v="1481"/>
    <n v="2328"/>
    <d v="2021-07-11T00:00:00"/>
    <s v="FarmGardenUCSC"/>
    <s v="Gabriella Pardee"/>
    <s v="Netting"/>
    <x v="0"/>
    <s v="HoneyBee"/>
    <x v="0"/>
    <s v="Apini"/>
    <s v="Apis"/>
    <s v="mellifera"/>
    <x v="2"/>
    <s v="female"/>
    <s v="Lemon Verbena"/>
    <s v="crop"/>
    <s v="Verbenaceae"/>
    <s v="Aloysia"/>
    <s v="citrodora"/>
    <s v="Aloysia citrodora"/>
    <s v="Not Native"/>
    <s v="White"/>
    <x v="9"/>
    <x v="0"/>
    <x v="0"/>
    <s v="NA"/>
    <s v="Jenny Hsu"/>
    <m/>
  </r>
  <r>
    <n v="1441"/>
    <n v="2238"/>
    <d v="2021-07-11T00:00:00"/>
    <s v="FarmGardenUCSC"/>
    <s v="Jenny Hsu"/>
    <s v="Netting"/>
    <x v="0"/>
    <s v="HoneyBee"/>
    <x v="0"/>
    <s v="Apini"/>
    <s v="Apis"/>
    <s v="mellifera"/>
    <x v="2"/>
    <s v="female"/>
    <s v="Lemon Verbena"/>
    <s v="crop"/>
    <s v="Verbenaceae"/>
    <s v="Aloysia"/>
    <s v="citrodora"/>
    <s v="Aloysia citrodora"/>
    <s v="Not Native"/>
    <s v="White"/>
    <x v="9"/>
    <x v="0"/>
    <x v="1"/>
    <s v="NA"/>
    <s v="Jenny Hsu"/>
    <m/>
  </r>
  <r>
    <n v="1427"/>
    <n v="2174"/>
    <d v="2021-07-10T00:00:00"/>
    <s v="CoyoteCreek"/>
    <s v="Stacy Philpott"/>
    <s v="Netting"/>
    <x v="1"/>
    <s v="Hoverfly"/>
    <x v="2"/>
    <s v="Paragini"/>
    <s v="Paragus"/>
    <s v="haemorrhous"/>
    <x v="45"/>
    <m/>
    <s v="celery"/>
    <s v="ornamental"/>
    <s v="Apiaceae"/>
    <s v="Apium"/>
    <s v="graveolens"/>
    <s v="Apium graveolens"/>
    <s v="Not Native"/>
    <s v="White"/>
    <x v="9"/>
    <x v="0"/>
    <x v="0"/>
    <s v="NA"/>
    <s v="Jenny Hsu"/>
    <m/>
  </r>
  <r>
    <n v="680"/>
    <n v="1065"/>
    <d v="2021-07-08T00:00:00"/>
    <s v="PacificGrove"/>
    <s v="Stacy Philpott"/>
    <s v="Netting"/>
    <x v="1"/>
    <s v="OtherFly"/>
    <x v="12"/>
    <m/>
    <s v="tachinid"/>
    <s v="sp_B"/>
    <x v="29"/>
    <m/>
    <s v="celery"/>
    <s v="ornamental"/>
    <s v="Apiaceae"/>
    <s v="Apium"/>
    <s v="graveolens"/>
    <s v="Apium graveolens"/>
    <s v="Not Native"/>
    <s v="White"/>
    <x v="9"/>
    <x v="0"/>
    <x v="0"/>
    <s v="NA"/>
    <s v="Jenny Hsu"/>
    <m/>
  </r>
  <r>
    <n v="672"/>
    <n v="1057"/>
    <d v="2021-07-08T00:00:00"/>
    <s v="PacificGrove"/>
    <s v="Stacy Philpott"/>
    <s v="Netting"/>
    <x v="0"/>
    <s v="SweatBee"/>
    <x v="1"/>
    <s v="Halictini"/>
    <s v="Lasioglossum"/>
    <s v="sp_E"/>
    <x v="78"/>
    <s v="female"/>
    <s v="celery"/>
    <s v="ornamental"/>
    <s v="Apiaceae"/>
    <s v="Apium"/>
    <s v="graveolens"/>
    <s v="Apium graveolens"/>
    <s v="Not Native"/>
    <s v="White"/>
    <x v="9"/>
    <x v="0"/>
    <x v="0"/>
    <s v="NA"/>
    <s v="Jenny Hsu"/>
    <m/>
  </r>
  <r>
    <n v="685"/>
    <n v="1070"/>
    <d v="2021-07-08T00:00:00"/>
    <s v="PacificGrove"/>
    <s v="Stacy Philpott"/>
    <s v="Netting"/>
    <x v="0"/>
    <s v="SweatBee"/>
    <x v="1"/>
    <s v="Halictini"/>
    <s v="Lasioglossum"/>
    <s v="sp_K"/>
    <x v="79"/>
    <s v="male"/>
    <s v="celery"/>
    <s v="ornamental"/>
    <s v="Apiaceae"/>
    <s v="Apium"/>
    <s v="graveolens"/>
    <s v="Apium graveolens"/>
    <s v="Not Native"/>
    <s v="White"/>
    <x v="9"/>
    <x v="0"/>
    <x v="0"/>
    <s v="NA"/>
    <s v="Jenny Hsu"/>
    <m/>
  </r>
  <r>
    <n v="1170"/>
    <n v="1667"/>
    <d v="2021-07-09T00:00:00"/>
    <s v="Prusch"/>
    <s v="Robyn Fowler"/>
    <s v="Netting"/>
    <x v="1"/>
    <s v="Hoverfly"/>
    <x v="2"/>
    <s v="Eristalini"/>
    <s v="Eristalis"/>
    <s v="hirta"/>
    <x v="80"/>
    <m/>
    <s v="celery"/>
    <s v="ornamental"/>
    <s v="Apiaceae"/>
    <s v="Apium"/>
    <s v="graveolens"/>
    <s v="Apium graveolens"/>
    <s v="Not Native"/>
    <s v="White"/>
    <x v="9"/>
    <x v="0"/>
    <x v="0"/>
    <s v="NA"/>
    <s v="Jenny Hsu"/>
    <m/>
  </r>
  <r>
    <n v="1384"/>
    <n v="2081"/>
    <d v="2021-07-09T00:00:00"/>
    <s v="Berryessa"/>
    <s v="Robyn Fowler"/>
    <s v="Netting"/>
    <x v="0"/>
    <s v="SweatBee"/>
    <x v="1"/>
    <s v="Halictini"/>
    <s v="Lasioglossum"/>
    <s v="sp_G"/>
    <x v="8"/>
    <s v="female"/>
    <s v="daisy"/>
    <s v="ornamental"/>
    <s v="Asteraceae"/>
    <s v="Bellis"/>
    <s v="perennis"/>
    <s v="Bellis perennis"/>
    <s v="Not Native"/>
    <s v="White"/>
    <x v="9"/>
    <x v="0"/>
    <x v="0"/>
    <s v="NA"/>
    <s v="Jenny Hsu"/>
    <m/>
  </r>
  <r>
    <n v="838"/>
    <n v="1415"/>
    <d v="2021-07-10T00:00:00"/>
    <s v="HomelessGardenProject"/>
    <s v="Azucena Luctaero"/>
    <s v="Netting"/>
    <x v="1"/>
    <s v="Hoverfly"/>
    <x v="2"/>
    <s v="Paragini"/>
    <s v="Paragus"/>
    <s v="haemorrhous"/>
    <x v="45"/>
    <m/>
    <s v="daisy"/>
    <s v="ornamental"/>
    <s v="Asteraceae"/>
    <s v="Bellis"/>
    <s v="perennis"/>
    <s v="Bellis perennis"/>
    <s v="Not Native"/>
    <s v="White"/>
    <x v="9"/>
    <x v="0"/>
    <x v="0"/>
    <s v="NA"/>
    <s v="Jenny Hsu"/>
    <m/>
  </r>
  <r>
    <n v="1330"/>
    <n v="2413"/>
    <d v="2021-07-08T00:00:00"/>
    <s v="MIIS"/>
    <s v="Gabriella Pardee"/>
    <s v="Netting"/>
    <x v="0"/>
    <s v="HoneyBee"/>
    <x v="0"/>
    <s v="Apini"/>
    <s v="Apis"/>
    <s v="mellifera"/>
    <x v="2"/>
    <s v="female"/>
    <s v="daisy"/>
    <s v="ornamental"/>
    <s v="Asteraceae"/>
    <s v="Bellis"/>
    <s v="perennis"/>
    <s v="Bellis perennis"/>
    <s v="Not Native"/>
    <s v="White"/>
    <x v="9"/>
    <x v="0"/>
    <x v="0"/>
    <s v="Pollen"/>
    <s v="Jenny Hsu"/>
    <m/>
  </r>
  <r>
    <n v="1304"/>
    <n v="2001"/>
    <d v="2021-07-08T00:00:00"/>
    <s v="MIIS"/>
    <s v="Gabriella Pardee"/>
    <s v="Netting"/>
    <x v="0"/>
    <s v="SweatBee"/>
    <x v="1"/>
    <s v="Halictini"/>
    <s v="Halictus"/>
    <s v="tripartitus"/>
    <x v="4"/>
    <s v="female"/>
    <s v="daisy"/>
    <s v="ornamental"/>
    <s v="Asteraceae"/>
    <s v="Bellis"/>
    <s v="perennis"/>
    <s v="Bellis perennis"/>
    <s v="Not Native"/>
    <s v="White"/>
    <x v="9"/>
    <x v="0"/>
    <x v="0"/>
    <s v="NA"/>
    <s v="Jenny Hsu"/>
    <m/>
  </r>
  <r>
    <n v="1200"/>
    <n v="1747"/>
    <d v="2021-07-09T00:00:00"/>
    <s v="Prusch"/>
    <s v="Sofie Andrade"/>
    <s v="Netting"/>
    <x v="1"/>
    <s v="Hoverfly"/>
    <x v="2"/>
    <s v="Eristalini"/>
    <s v="Eristalis"/>
    <s v="hirta"/>
    <x v="80"/>
    <m/>
    <s v="daisy"/>
    <s v="ornamental"/>
    <s v="Asteraceae"/>
    <s v="Bellis"/>
    <s v="perennis"/>
    <s v="Bellis perennis"/>
    <s v="Not Native"/>
    <s v="White"/>
    <x v="9"/>
    <x v="0"/>
    <x v="0"/>
    <s v="NA"/>
    <s v="Jenny Hsu"/>
    <m/>
  </r>
  <r>
    <n v="1214"/>
    <n v="1761"/>
    <d v="2021-07-10T00:00:00"/>
    <s v="LaColina"/>
    <s v="Gabriella Pardee"/>
    <s v="Netting"/>
    <x v="0"/>
    <s v="SweatBee"/>
    <x v="1"/>
    <s v="Halictini"/>
    <s v="Lasioglossum"/>
    <s v="sp_G"/>
    <x v="8"/>
    <s v="female"/>
    <s v="Jalapeno"/>
    <s v="ornamental"/>
    <s v="Solanaceae"/>
    <s v="Capsicum"/>
    <s v="annum"/>
    <s v="Capsicum annum"/>
    <s v="Not Native"/>
    <s v="White"/>
    <x v="9"/>
    <x v="0"/>
    <x v="1"/>
    <s v="NA"/>
    <s v="Jenny Hsu"/>
    <m/>
  </r>
  <r>
    <n v="1184"/>
    <n v="1731"/>
    <d v="2021-07-09T00:00:00"/>
    <s v="Prusch"/>
    <s v="Edith Gonzales"/>
    <s v="Netting"/>
    <x v="0"/>
    <s v="SweatBee"/>
    <x v="1"/>
    <s v="Halictini"/>
    <s v="Lasioglossum"/>
    <s v="sp_L"/>
    <x v="81"/>
    <s v="male"/>
    <s v="pepper, light green"/>
    <s v="crop"/>
    <s v="Solanaceae"/>
    <s v="Capsicum"/>
    <s v="annum"/>
    <s v="Capsicum annum"/>
    <s v="Not Native"/>
    <s v="White"/>
    <x v="9"/>
    <x v="0"/>
    <x v="0"/>
    <s v="NA"/>
    <s v="Jenny Hsu"/>
    <m/>
  </r>
  <r>
    <n v="646"/>
    <n v="983"/>
    <d v="2021-07-07T00:00:00"/>
    <s v="ValleVerde"/>
    <s v="Sofie Andrade"/>
    <s v="Netting"/>
    <x v="1"/>
    <s v="Hoverfly"/>
    <x v="2"/>
    <s v="Syrphini"/>
    <s v="Allograpta"/>
    <s v="obliqua"/>
    <x v="5"/>
    <m/>
    <s v="Jalapeno"/>
    <s v="crop"/>
    <s v="Solanaceae"/>
    <s v="Capsicum"/>
    <s v="annum"/>
    <s v="Capsicum annum"/>
    <s v="Not Native"/>
    <s v="White"/>
    <x v="9"/>
    <x v="0"/>
    <x v="0"/>
    <s v="NA"/>
    <s v="Jenny Hsu"/>
    <m/>
  </r>
  <r>
    <n v="818"/>
    <n v="1395"/>
    <d v="2021-07-10T00:00:00"/>
    <s v="HomelessGardenProject"/>
    <s v="Gabriella Pardee"/>
    <s v="Netting"/>
    <x v="1"/>
    <s v="Hoverfly"/>
    <x v="2"/>
    <s v="Paragini"/>
    <s v="Paragus"/>
    <s v="haemorrhous"/>
    <x v="45"/>
    <m/>
    <s v="Poison Hemlock"/>
    <s v="weed"/>
    <s v="Apiaceae"/>
    <s v="Conium"/>
    <s v="maculatum"/>
    <s v="Conium maculatum"/>
    <s v="Not Native"/>
    <s v="White"/>
    <x v="9"/>
    <x v="0"/>
    <x v="0"/>
    <s v="NA"/>
    <s v="Jenny Hsu"/>
    <m/>
  </r>
  <r>
    <n v="1017"/>
    <n v="1373"/>
    <d v="2021-07-08T00:00:00"/>
    <s v="MEarth"/>
    <s v="Stacy Philpott"/>
    <s v="Netting"/>
    <x v="1"/>
    <s v="Hoverfly"/>
    <x v="2"/>
    <s v="Syrphini"/>
    <s v="Allograpta"/>
    <s v="exotica"/>
    <x v="82"/>
    <m/>
    <s v="Poison Hemlock"/>
    <s v="weed"/>
    <s v="Apiaceae"/>
    <s v="Conium"/>
    <s v="maculatum"/>
    <s v="Conium maculatum"/>
    <s v="Not Native"/>
    <s v="White"/>
    <x v="9"/>
    <x v="0"/>
    <x v="0"/>
    <s v="NA"/>
    <s v="Jenny Hsu"/>
    <m/>
  </r>
  <r>
    <n v="982"/>
    <n v="1290"/>
    <d v="2021-07-08T00:00:00"/>
    <s v="MEarth"/>
    <s v="Stacy Philpott"/>
    <s v="Netting"/>
    <x v="1"/>
    <s v="Hoverfly"/>
    <x v="2"/>
    <s v="Syrphini"/>
    <s v="Sphaerophoria"/>
    <s v="sulphuripes"/>
    <x v="40"/>
    <m/>
    <s v="Poison Hemlock"/>
    <s v="weed"/>
    <s v="Apiaceae"/>
    <s v="Conium"/>
    <s v="maculatum"/>
    <s v="Conium maculatum"/>
    <s v="Not Native"/>
    <s v="White"/>
    <x v="9"/>
    <x v="0"/>
    <x v="0"/>
    <s v="NA"/>
    <s v="Jenny Hsu"/>
    <m/>
  </r>
  <r>
    <n v="1567"/>
    <n v="312"/>
    <d v="2021-07-09T00:00:00"/>
    <s v="CharlesStreet"/>
    <s v="Gabriella Pardee"/>
    <s v="Netting"/>
    <x v="0"/>
    <s v="OtherBee"/>
    <x v="7"/>
    <s v="Colletini"/>
    <s v="Hylaeus"/>
    <s v="sp_B"/>
    <x v="18"/>
    <s v="female"/>
    <s v="Queen Anne's Lace"/>
    <s v="weed"/>
    <s v="Apiaceae"/>
    <s v="Daucus"/>
    <s v="carota"/>
    <s v="Daucus carota"/>
    <s v="Not Native"/>
    <s v="White"/>
    <x v="9"/>
    <x v="0"/>
    <x v="0"/>
    <s v="Pollen"/>
    <s v="Sofie Andrade"/>
    <s v="two pinned bees 312 &amp; 313"/>
  </r>
  <r>
    <n v="1568"/>
    <n v="313"/>
    <d v="2021-07-09T00:00:00"/>
    <s v="CharlesStreet"/>
    <s v="Gabriella Pardee"/>
    <s v="Netting"/>
    <x v="0"/>
    <s v="OtherBee"/>
    <x v="7"/>
    <s v="Colletini"/>
    <s v="Hylaeus"/>
    <s v="sp_H"/>
    <x v="83"/>
    <s v="male"/>
    <s v="Queen Anne's Lace"/>
    <s v="weed"/>
    <s v="Apiaceae"/>
    <s v="Daucus"/>
    <s v="carota"/>
    <s v="Daucus carota"/>
    <s v="Not Native"/>
    <s v="White"/>
    <x v="9"/>
    <x v="0"/>
    <x v="0"/>
    <s v="Pollen"/>
    <s v="Sofie Andrade"/>
    <s v="two pinned bees 312 &amp; 313"/>
  </r>
  <r>
    <n v="1428"/>
    <n v="2175"/>
    <d v="2021-07-10T00:00:00"/>
    <s v="CoyoteCreek"/>
    <s v="Stacy Philpott"/>
    <s v="Netting"/>
    <x v="1"/>
    <s v="Hoverfly"/>
    <x v="2"/>
    <s v="Eristalini"/>
    <s v="Eristalis"/>
    <s v="arbustorum"/>
    <x v="61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s v="2 poll (2175+2176)"/>
  </r>
  <r>
    <n v="1429"/>
    <n v="2176"/>
    <d v="2021-07-10T00:00:00"/>
    <s v="CoyoteCreek"/>
    <s v="Stacy Philpott"/>
    <s v="Netting"/>
    <x v="1"/>
    <s v="Hoverfly"/>
    <x v="2"/>
    <s v="Eristalini"/>
    <s v="Eristalis"/>
    <s v="hirta"/>
    <x v="80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s v="2 poll (2175+2176)"/>
  </r>
  <r>
    <n v="1778"/>
    <n v="1496"/>
    <d v="2021-07-10T00:00:00"/>
    <s v="CoyoteCreek"/>
    <s v="Gabriella Pardee"/>
    <s v="Netting"/>
    <x v="1"/>
    <s v="Hoverfly"/>
    <x v="2"/>
    <s v="Milesini"/>
    <s v="Syritta"/>
    <s v="pipiens"/>
    <x v="11"/>
    <m/>
    <s v="Queen Anne's Lace"/>
    <s v="weed"/>
    <s v="Apiaceae"/>
    <s v="Daucus"/>
    <s v="carota"/>
    <s v="Daucus carota"/>
    <s v="Not Native"/>
    <s v="White"/>
    <x v="9"/>
    <x v="0"/>
    <x v="0"/>
    <s v="Nectar"/>
    <s v="Janine Tan"/>
    <m/>
  </r>
  <r>
    <n v="1422"/>
    <n v="2169"/>
    <d v="2021-07-10T00:00:00"/>
    <s v="CoyoteCreek"/>
    <s v="Stacy Philpott"/>
    <s v="Netting"/>
    <x v="1"/>
    <s v="Hoverfly"/>
    <x v="2"/>
    <s v="Milesini"/>
    <s v="Syritta"/>
    <s v="pipiens"/>
    <x v="11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m/>
  </r>
  <r>
    <n v="1425"/>
    <n v="2172"/>
    <d v="2021-07-10T00:00:00"/>
    <s v="CoyoteCreek"/>
    <s v="Stacy Philpott"/>
    <s v="Netting"/>
    <x v="0"/>
    <s v="OtherBee"/>
    <x v="7"/>
    <s v="Colletini"/>
    <s v="Hylaeus"/>
    <s v="sp_B"/>
    <x v="18"/>
    <s v="female"/>
    <s v="Queen Anne's Lace"/>
    <s v="weed"/>
    <s v="Apiaceae"/>
    <s v="Daucus"/>
    <s v="carota"/>
    <s v="Daucus carota"/>
    <s v="Not Native"/>
    <s v="White"/>
    <x v="9"/>
    <x v="0"/>
    <x v="0"/>
    <s v="NA"/>
    <s v="Jenny Hsu"/>
    <m/>
  </r>
  <r>
    <n v="99"/>
    <n v="106"/>
    <d v="2021-07-09T00:00:00"/>
    <s v="Guadalupe"/>
    <s v="Gabriella Pardee"/>
    <s v="Netting"/>
    <x v="0"/>
    <s v="OtherBee"/>
    <x v="7"/>
    <s v="Colletini"/>
    <s v="Hylaeus"/>
    <s v="damaged"/>
    <x v="55"/>
    <m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271"/>
    <n v="43"/>
    <d v="2021-07-09T00:00:00"/>
    <s v="Guadalupe"/>
    <s v="Gabriella Pardee"/>
    <s v="Netting"/>
    <x v="0"/>
    <s v="OtherBee"/>
    <x v="7"/>
    <s v="Colletini"/>
    <s v="Hylaeus"/>
    <s v="sp_A"/>
    <x v="23"/>
    <s v="female"/>
    <s v="Queen Anne's Lace"/>
    <s v="weed"/>
    <s v="Apiaceae"/>
    <s v="Daucus"/>
    <s v="carota"/>
    <s v="Daucus carota"/>
    <s v="Not Native"/>
    <s v="White"/>
    <x v="9"/>
    <x v="0"/>
    <x v="0"/>
    <s v="NA"/>
    <s v="Robyn Fowler"/>
    <m/>
  </r>
  <r>
    <n v="101"/>
    <n v="108"/>
    <d v="2021-07-09T00:00:00"/>
    <s v="Guadalupe"/>
    <s v="Gabriella Pardee"/>
    <s v="Netting"/>
    <x v="0"/>
    <s v="OtherBee"/>
    <x v="7"/>
    <s v="Colletini"/>
    <s v="Hylaeus"/>
    <s v="sp_A"/>
    <x v="23"/>
    <s v="female"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97"/>
    <n v="104"/>
    <d v="2021-07-09T00:00:00"/>
    <s v="Guadalupe"/>
    <s v="Gabriella Pardee"/>
    <s v="Netting"/>
    <x v="0"/>
    <s v="OtherBee"/>
    <x v="7"/>
    <s v="Colletini"/>
    <s v="Hylaeus"/>
    <s v="sp_B"/>
    <x v="18"/>
    <m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102"/>
    <n v="109"/>
    <d v="2021-07-09T00:00:00"/>
    <s v="Guadalupe"/>
    <s v="Gabriella Pardee"/>
    <s v="Netting"/>
    <x v="0"/>
    <s v="OtherBee"/>
    <x v="7"/>
    <s v="Colletini"/>
    <s v="Hylaeus"/>
    <s v="sp_C"/>
    <x v="43"/>
    <s v="male"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98"/>
    <n v="105"/>
    <d v="2021-07-09T00:00:00"/>
    <s v="Guadalupe"/>
    <s v="Gabriella Pardee"/>
    <s v="Netting"/>
    <x v="0"/>
    <s v="OtherBee"/>
    <x v="7"/>
    <s v="Colletini"/>
    <s v="Hylaeus"/>
    <s v="sp_D"/>
    <x v="42"/>
    <s v="male"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285"/>
    <n v="899"/>
    <d v="2021-07-09T00:00:00"/>
    <s v="Guadalupe"/>
    <s v="Jenny Hsu"/>
    <s v="Netting"/>
    <x v="0"/>
    <s v="SweatBee"/>
    <x v="1"/>
    <s v="Halictini"/>
    <s v="Halictus"/>
    <s v="ligatus"/>
    <x v="32"/>
    <s v="female"/>
    <s v="Queen Anne's Lace"/>
    <s v="weed"/>
    <s v="Apiaceae"/>
    <s v="Daucus"/>
    <s v="carota"/>
    <s v="Daucus carota"/>
    <s v="Not Native"/>
    <s v="White"/>
    <x v="9"/>
    <x v="0"/>
    <x v="0"/>
    <s v="NA"/>
    <s v="Robyn Fowler"/>
    <m/>
  </r>
  <r>
    <n v="100"/>
    <n v="107"/>
    <d v="2021-07-09T00:00:00"/>
    <s v="Guadalupe"/>
    <s v="Gabriella Pardee"/>
    <s v="Netting"/>
    <x v="0"/>
    <s v="SweatBee"/>
    <x v="1"/>
    <s v="Halictini"/>
    <s v="Lasioglossum"/>
    <s v="sp_F"/>
    <x v="22"/>
    <s v="male"/>
    <s v="Queen Anne's Lace"/>
    <s v="weed"/>
    <s v="Apiaceae"/>
    <s v="Daucus"/>
    <s v="carota"/>
    <s v="Daucus carota"/>
    <s v="Not Native"/>
    <s v="White"/>
    <x v="9"/>
    <x v="0"/>
    <x v="0"/>
    <s v="NA"/>
    <s v="Edith Gonzales"/>
    <m/>
  </r>
  <r>
    <n v="997"/>
    <n v="1353"/>
    <d v="2021-07-08T00:00:00"/>
    <s v="MEarth"/>
    <s v="Gabriella Pardee"/>
    <s v="Netting"/>
    <x v="1"/>
    <s v="Hoverfly"/>
    <x v="2"/>
    <s v="Syrphini"/>
    <s v="Allograpta"/>
    <s v="obliqua"/>
    <x v="5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m/>
  </r>
  <r>
    <n v="704"/>
    <n v="421"/>
    <d v="2021-07-08T00:00:00"/>
    <s v="PacificGrove"/>
    <s v="Gabriella Pardee"/>
    <s v="Netting"/>
    <x v="1"/>
    <s v="OtherFly"/>
    <x v="12"/>
    <m/>
    <s v="tachinid"/>
    <s v="sp_B"/>
    <x v="29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m/>
  </r>
  <r>
    <n v="671"/>
    <n v="1056"/>
    <d v="2021-07-08T00:00:00"/>
    <s v="PacificGrove"/>
    <s v="Stacy Philpott"/>
    <s v="Netting"/>
    <x v="1"/>
    <s v="OtherFly"/>
    <x v="12"/>
    <m/>
    <s v="tachinid"/>
    <s v="sp_B"/>
    <x v="29"/>
    <m/>
    <s v="Queen Anne's Lace"/>
    <s v="weed"/>
    <s v="Apiaceae"/>
    <s v="Daucus"/>
    <s v="carota"/>
    <s v="Daucus carota"/>
    <s v="Not Native"/>
    <s v="White"/>
    <x v="9"/>
    <x v="0"/>
    <x v="0"/>
    <s v="NA"/>
    <s v="Jenny Hsu"/>
    <m/>
  </r>
  <r>
    <n v="134"/>
    <n v="1010"/>
    <d v="2021-07-09T00:00:00"/>
    <s v="CharlesStreet"/>
    <s v="Gabriella Pardee"/>
    <s v="Netting"/>
    <x v="0"/>
    <s v="CarpenterBee"/>
    <x v="0"/>
    <s v="Xylocopini"/>
    <s v="Xylocopa"/>
    <s v="tabaniformis"/>
    <x v="14"/>
    <s v="female"/>
    <s v="squash - gourd"/>
    <s v="crop"/>
    <s v="Cucurbitaceae"/>
    <s v="Lagenaria"/>
    <s v="siceraria"/>
    <s v="Lagenaria siceraria"/>
    <s v="Not Native"/>
    <s v="White"/>
    <x v="9"/>
    <x v="0"/>
    <x v="0"/>
    <s v="Pollen"/>
    <s v="Robyn Fowler"/>
    <m/>
  </r>
  <r>
    <n v="511"/>
    <n v="51"/>
    <d v="2021-07-09T00:00:00"/>
    <s v="CharlesStreet"/>
    <s v="Robyn Fowler"/>
    <s v="Netting"/>
    <x v="0"/>
    <s v="OtherBee"/>
    <x v="5"/>
    <s v="Anthidini"/>
    <s v="Anthidium"/>
    <s v="maculosum"/>
    <x v="84"/>
    <s v="female"/>
    <s v="squash - gourd"/>
    <s v="crop"/>
    <s v="Cucurbitaceae"/>
    <s v="Lagenaria"/>
    <s v="siceraria"/>
    <s v="Lagenaria siceraria"/>
    <s v="Not Native"/>
    <s v="White"/>
    <x v="9"/>
    <x v="0"/>
    <x v="0"/>
    <s v="NA"/>
    <s v="Jenny Hsu"/>
    <m/>
  </r>
  <r>
    <n v="1511"/>
    <n v="22"/>
    <d v="2021-07-07T00:00:00"/>
    <s v="Aptos"/>
    <s v="Gabriella Pardee"/>
    <s v="Netting"/>
    <x v="0"/>
    <s v="SweatBee"/>
    <x v="1"/>
    <s v="Halictini"/>
    <s v="Halictus"/>
    <s v="tripartitus"/>
    <x v="4"/>
    <s v="female"/>
    <s v="sweet alyssum"/>
    <s v="ornamental"/>
    <s v="Brassicaceae"/>
    <s v="Lobularia"/>
    <s v="maritima"/>
    <s v="Lobularia maritima"/>
    <s v="Not Native"/>
    <s v="White"/>
    <x v="9"/>
    <x v="0"/>
    <x v="1"/>
    <s v="NA"/>
    <s v="Sofie Andrade"/>
    <m/>
  </r>
  <r>
    <n v="1361"/>
    <n v="2108"/>
    <d v="2021-07-09T00:00:00"/>
    <s v="Berryessa"/>
    <s v="Gabriella Pardee"/>
    <s v="Netting"/>
    <x v="0"/>
    <s v="OtherBee"/>
    <x v="7"/>
    <s v="Colletini"/>
    <s v="Hylaeus"/>
    <s v="sp_C"/>
    <x v="43"/>
    <s v="male"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150"/>
    <n v="1096"/>
    <d v="2021-07-09T00:00:00"/>
    <s v="CharlesStreet"/>
    <s v="Gabriella Pardee"/>
    <s v="Netting"/>
    <x v="0"/>
    <s v="OtherBee"/>
    <x v="7"/>
    <s v="Colletini"/>
    <s v="Hylaeus"/>
    <s v="damaged"/>
    <x v="5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Robyn Fowler"/>
    <m/>
  </r>
  <r>
    <n v="148"/>
    <n v="1094"/>
    <d v="2021-07-09T00:00:00"/>
    <s v="CharlesStreet"/>
    <s v="Robyn Fowler"/>
    <s v="Netting"/>
    <x v="0"/>
    <s v="OtherBee"/>
    <x v="7"/>
    <s v="Colletini"/>
    <s v="Hylaeus"/>
    <s v="sp_A"/>
    <x v="23"/>
    <s v="female"/>
    <s v="sweet alyssum"/>
    <s v="ornamental"/>
    <s v="Brassicaceae"/>
    <s v="Lobularia"/>
    <s v="maritima"/>
    <s v="Lobularia maritima"/>
    <s v="Not Native"/>
    <s v="White"/>
    <x v="9"/>
    <x v="0"/>
    <x v="0"/>
    <s v="NA"/>
    <s v="Robyn Fowler"/>
    <m/>
  </r>
  <r>
    <n v="1566"/>
    <n v="311"/>
    <d v="2021-07-09T00:00:00"/>
    <s v="CharlesStreet"/>
    <s v="Gabriella Pardee"/>
    <s v="Netting"/>
    <x v="0"/>
    <s v="SweatBee"/>
    <x v="1"/>
    <s v="Halictini"/>
    <s v="Lasioglossum"/>
    <s v="sp_F"/>
    <x v="22"/>
    <s v="male"/>
    <s v="sweet alyssum"/>
    <s v="ornamental"/>
    <s v="Brassicaceae"/>
    <s v="Lobularia"/>
    <s v="maritima"/>
    <s v="Lobularia maritima"/>
    <s v="Not Native"/>
    <s v="White"/>
    <x v="9"/>
    <x v="0"/>
    <x v="0"/>
    <s v="Pollen"/>
    <s v="Sofie Andrade"/>
    <m/>
  </r>
  <r>
    <n v="1780"/>
    <n v="1498"/>
    <d v="2021-07-10T00:00:00"/>
    <s v="CoyoteCreek"/>
    <s v="Gabriella Pardee"/>
    <s v="Netting"/>
    <x v="0"/>
    <s v="SweatBee"/>
    <x v="1"/>
    <s v="Halictini"/>
    <s v="Lasioglossum"/>
    <s v="sp_F"/>
    <x v="22"/>
    <s v="male"/>
    <s v="sweet alyssum"/>
    <s v="ornamental"/>
    <s v="Brassicaceae"/>
    <s v="Lobularia"/>
    <s v="maritima"/>
    <s v="Lobularia maritima"/>
    <s v="Not Native"/>
    <s v="White"/>
    <x v="9"/>
    <x v="0"/>
    <x v="0"/>
    <s v="NA"/>
    <s v="Janine Tan"/>
    <m/>
  </r>
  <r>
    <n v="624"/>
    <n v="221"/>
    <d v="2021-07-09T00:00:00"/>
    <s v="Guadalupe"/>
    <s v="Gabriella Pardee"/>
    <s v="Netting"/>
    <x v="0"/>
    <s v="HoneyBee"/>
    <x v="0"/>
    <s v="Apini"/>
    <s v="Apis"/>
    <s v="mellifera"/>
    <x v="2"/>
    <s v="female"/>
    <s v="sweet alyssum"/>
    <s v="ornamental"/>
    <s v="Brassicaceae"/>
    <s v="Lobularia"/>
    <s v="maritima"/>
    <s v="Lobularia maritima"/>
    <s v="Not Native"/>
    <s v="White"/>
    <x v="9"/>
    <x v="0"/>
    <x v="1"/>
    <s v="NA"/>
    <s v="Jenny Hsu"/>
    <m/>
  </r>
  <r>
    <n v="620"/>
    <n v="217"/>
    <d v="2021-07-09T00:00:00"/>
    <s v="Guadalupe"/>
    <s v="Gabriella Pardee"/>
    <s v="Netting"/>
    <x v="0"/>
    <s v="HoneyBee"/>
    <x v="0"/>
    <s v="Apini"/>
    <s v="Apis"/>
    <s v="mellifera"/>
    <x v="2"/>
    <s v="female"/>
    <s v="sweet alyssum"/>
    <s v="ornamental"/>
    <s v="Brassicaceae"/>
    <s v="Lobularia"/>
    <s v="maritima"/>
    <s v="Lobularia maritima"/>
    <s v="Not Native"/>
    <s v="White"/>
    <x v="9"/>
    <x v="0"/>
    <x v="1"/>
    <s v="NA"/>
    <s v="Jenny Hsu"/>
    <m/>
  </r>
  <r>
    <n v="1319"/>
    <n v="2016"/>
    <d v="2021-07-08T00:00:00"/>
    <s v="MIIS"/>
    <s v="Gabriella Pardee"/>
    <s v="Netting"/>
    <x v="0"/>
    <s v="SweatBee"/>
    <x v="1"/>
    <s v="Halictini"/>
    <s v="Halictus"/>
    <s v="tripartitus"/>
    <x v="4"/>
    <s v="female"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716"/>
    <n v="1149"/>
    <d v="2021-07-08T00:00:00"/>
    <s v="PacificGrove"/>
    <s v="Gabriella Pardee"/>
    <s v="Netting"/>
    <x v="1"/>
    <s v="Hoverfly"/>
    <x v="2"/>
    <s v="Toxomerini"/>
    <s v="Toxomerus"/>
    <s v="marginatus"/>
    <x v="52"/>
    <m/>
    <s v="sweet alyssum"/>
    <s v="ornamental"/>
    <s v="Brassicaceae"/>
    <s v="Lobularia"/>
    <s v="maritima"/>
    <s v="Lobularia maritima"/>
    <s v="Not Native"/>
    <s v="White"/>
    <x v="9"/>
    <x v="0"/>
    <x v="0"/>
    <s v="Nectar"/>
    <s v="Jenny Hsu"/>
    <m/>
  </r>
  <r>
    <n v="703"/>
    <n v="420"/>
    <d v="2021-07-08T00:00:00"/>
    <s v="PacificGrove"/>
    <s v="Gabriella Pardee"/>
    <s v="Netting"/>
    <x v="1"/>
    <s v="OtherFly"/>
    <x v="12"/>
    <m/>
    <s v="tachinid"/>
    <s v="sp_C"/>
    <x v="8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244"/>
    <n v="1294"/>
    <d v="2021-07-07T00:00:00"/>
    <s v="SeniorCenter"/>
    <s v="Gabriella Pardee"/>
    <s v="Netting"/>
    <x v="1"/>
    <s v="Hoverfly"/>
    <x v="2"/>
    <s v="Syrphini"/>
    <s v="Allograpta"/>
    <s v="obliqua"/>
    <x v="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Robyn Fowler"/>
    <s v="2 pollinators 1 bag (2/2)"/>
  </r>
  <r>
    <n v="591"/>
    <n v="690"/>
    <d v="2021-07-07T00:00:00"/>
    <s v="SeniorCenter"/>
    <s v="Sofie Andrade"/>
    <s v="Netting"/>
    <x v="1"/>
    <s v="Hoverfly"/>
    <x v="2"/>
    <s v="Syrphini"/>
    <s v="Allograpta"/>
    <s v="obliqua"/>
    <x v="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243"/>
    <n v="1218"/>
    <d v="2021-07-07T00:00:00"/>
    <s v="SeniorCenter"/>
    <s v="Gabriella Pardee"/>
    <s v="Netting"/>
    <x v="1"/>
    <s v="Hoverfly"/>
    <x v="2"/>
    <s v="Syrphini"/>
    <s v="Sphaerophoria"/>
    <s v="sulphuripes"/>
    <x v="40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Robyn Fowler"/>
    <s v="2 pollinators 1 bag (1/2)"/>
  </r>
  <r>
    <n v="1689"/>
    <n v="568"/>
    <d v="2021-07-11T00:00:00"/>
    <s v="Trescony"/>
    <s v="Gabriella Pardee"/>
    <s v="Netting"/>
    <x v="0"/>
    <s v="SweatBee"/>
    <x v="1"/>
    <s v="Halictini"/>
    <s v="Lasioglossum"/>
    <s v="sp_G"/>
    <x v="8"/>
    <s v="female"/>
    <s v="sweet alyssum"/>
    <s v="ornamental"/>
    <s v="Brassicaceae"/>
    <s v="Lobularia"/>
    <s v="maritima"/>
    <s v="Lobularia maritima"/>
    <s v="Not Native"/>
    <s v="White"/>
    <x v="9"/>
    <x v="0"/>
    <x v="0"/>
    <s v="NA"/>
    <s v="Janine Tan"/>
    <m/>
  </r>
  <r>
    <n v="954"/>
    <n v="588"/>
    <d v="2021-07-07T00:00:00"/>
    <s v="WVIMiJardinVerde"/>
    <s v="Sofie Andrade"/>
    <s v="Netting"/>
    <x v="1"/>
    <s v="OtherFly"/>
    <x v="8"/>
    <m/>
    <s v="anthomyid"/>
    <s v="sp_B"/>
    <x v="86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s v="2 poll (587+588)"/>
  </r>
  <r>
    <n v="964"/>
    <n v="1272"/>
    <d v="2021-07-07T00:00:00"/>
    <s v="WVIMiJardinVerde"/>
    <s v="Gabriella Pardee"/>
    <s v="Netting"/>
    <x v="1"/>
    <s v="Hoverfly"/>
    <x v="2"/>
    <s v="Syrphini"/>
    <s v="Allograpta"/>
    <s v="obliqua"/>
    <x v="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953"/>
    <n v="587"/>
    <d v="2021-07-07T00:00:00"/>
    <s v="WVIMiJardinVerde"/>
    <s v="Sofie Andrade"/>
    <s v="Netting"/>
    <x v="1"/>
    <s v="Hoverfly"/>
    <x v="2"/>
    <s v="Paragini"/>
    <s v="Paragus"/>
    <s v="haemorrhous"/>
    <x v="4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s v="2 poll (587+588)"/>
  </r>
  <r>
    <n v="967"/>
    <n v="1275"/>
    <d v="2021-07-07T00:00:00"/>
    <s v="WVIMiJardinVerde"/>
    <s v="Jenny Hsu"/>
    <s v="Netting"/>
    <x v="1"/>
    <s v="Hoverfly"/>
    <x v="2"/>
    <s v="Paragini"/>
    <s v="Paragus"/>
    <s v="haemorrhous"/>
    <x v="4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922"/>
    <n v="1098"/>
    <d v="2021-07-07T00:00:00"/>
    <s v="WVIMiJardinVerde"/>
    <s v="Jenny Hsu"/>
    <s v="Netting"/>
    <x v="1"/>
    <s v="Hoverfly"/>
    <x v="2"/>
    <s v="Paragini"/>
    <s v="Paragus"/>
    <s v="haemorrhous"/>
    <x v="45"/>
    <m/>
    <s v="sweet alyssum"/>
    <s v="ornamental"/>
    <s v="Brassicaceae"/>
    <s v="Lobularia"/>
    <s v="maritima"/>
    <s v="Lobularia maritima"/>
    <s v="Not Native"/>
    <s v="White"/>
    <x v="9"/>
    <x v="0"/>
    <x v="0"/>
    <s v="NA"/>
    <s v="Jenny Hsu"/>
    <m/>
  </r>
  <r>
    <n v="520"/>
    <n v="60"/>
    <d v="2021-07-11T00:00:00"/>
    <s v="Grange"/>
    <s v="Sofie Andrade"/>
    <s v="Netting"/>
    <x v="2"/>
    <s v="Butterfly"/>
    <x v="17"/>
    <s v="Polyommatinae"/>
    <s v="Icaricia"/>
    <s v="acmon"/>
    <x v="87"/>
    <s v="F"/>
    <s v="wild radish"/>
    <s v="weed"/>
    <s v="Brassicaceae"/>
    <s v="Raphanus"/>
    <s v="raphanistrum"/>
    <s v="Raphanus raphanistrum"/>
    <s v="Not Native"/>
    <s v="White"/>
    <x v="9"/>
    <x v="0"/>
    <x v="0"/>
    <s v="NA"/>
    <s v="Jenny Hsu"/>
    <m/>
  </r>
  <r>
    <n v="1587"/>
    <n v="330"/>
    <d v="2021-07-11T00:00:00"/>
    <s v="Grange"/>
    <s v="Robyn Fowler"/>
    <s v="Netting"/>
    <x v="2"/>
    <s v="Butterfly"/>
    <x v="3"/>
    <s v="Pierini"/>
    <s v="Pieris"/>
    <s v="rapae"/>
    <x v="7"/>
    <s v="M"/>
    <s v="wild radish"/>
    <s v="weed"/>
    <s v="Brassicaceae"/>
    <s v="Raphanus"/>
    <s v="raphanistrum"/>
    <s v="Raphanus raphanistrum"/>
    <s v="Not Native"/>
    <s v="White"/>
    <x v="9"/>
    <x v="0"/>
    <x v="0"/>
    <s v="NA"/>
    <s v="Sofie Andrade"/>
    <m/>
  </r>
  <r>
    <n v="1493"/>
    <n v="2340"/>
    <d v="2021-07-11T00:00:00"/>
    <s v="FarmGardenUCSC"/>
    <s v="Jenny Hsu"/>
    <s v="Netting"/>
    <x v="0"/>
    <s v="BumbleBee"/>
    <x v="0"/>
    <s v="Bombini"/>
    <s v="Bombus"/>
    <s v="vosnesenskii"/>
    <x v="0"/>
    <s v="male"/>
    <s v="radish"/>
    <s v="crop"/>
    <s v="Brassicaceae"/>
    <s v="Raphanus"/>
    <s v="sativus"/>
    <s v="Raphanus sativus"/>
    <s v="Not Native"/>
    <s v="White"/>
    <x v="9"/>
    <x v="0"/>
    <x v="0"/>
    <s v="NA"/>
    <s v="Jenny Hsu"/>
    <m/>
  </r>
  <r>
    <n v="1655"/>
    <n v="426"/>
    <d v="2021-07-11T00:00:00"/>
    <s v="Grange"/>
    <s v="Robyn Fowler"/>
    <s v="Netting"/>
    <x v="0"/>
    <s v="HoneyBee"/>
    <x v="0"/>
    <s v="Apini"/>
    <s v="Apis"/>
    <s v="mellifera"/>
    <x v="2"/>
    <s v="female"/>
    <s v="radish"/>
    <s v="crop"/>
    <s v="Brassicaceae"/>
    <s v="Raphanus"/>
    <s v="sativus"/>
    <s v="Raphanus sativus"/>
    <s v="Not Native"/>
    <s v="White"/>
    <x v="9"/>
    <x v="0"/>
    <x v="0"/>
    <s v="NA"/>
    <s v="Janine Tan"/>
    <m/>
  </r>
  <r>
    <n v="1244"/>
    <n v="1841"/>
    <d v="2021-07-10T00:00:00"/>
    <s v="LaColina"/>
    <s v="Jenny Hsu"/>
    <s v="Netting"/>
    <x v="1"/>
    <s v="BeeFly"/>
    <x v="15"/>
    <s v="Villini"/>
    <s v="Villa"/>
    <s v="sp_B"/>
    <x v="88"/>
    <s v="male"/>
    <s v="radish"/>
    <s v="crop"/>
    <s v="Brassicaceae"/>
    <s v="Raphanus"/>
    <s v="sativus"/>
    <s v="Raphanus sativus"/>
    <s v="Not Native"/>
    <s v="White"/>
    <x v="9"/>
    <x v="0"/>
    <x v="0"/>
    <s v="NA"/>
    <s v="Jenny Hsu"/>
    <m/>
  </r>
  <r>
    <n v="1239"/>
    <n v="1836"/>
    <d v="2021-07-10T00:00:00"/>
    <s v="LaColina"/>
    <s v="Stacy Philpott"/>
    <s v="Netting"/>
    <x v="0"/>
    <s v="HoneyBee"/>
    <x v="0"/>
    <s v="Apini"/>
    <s v="Apis"/>
    <s v="mellifera"/>
    <x v="2"/>
    <s v="female"/>
    <s v="radish"/>
    <s v="crop"/>
    <s v="Brassicaceae"/>
    <s v="Raphanus"/>
    <s v="sativus"/>
    <s v="Raphanus sativus"/>
    <s v="Not Native"/>
    <s v="White"/>
    <x v="9"/>
    <x v="0"/>
    <x v="0"/>
    <s v="NA"/>
    <s v="Jenny Hsu"/>
    <m/>
  </r>
  <r>
    <n v="1299"/>
    <n v="1996"/>
    <d v="2021-07-08T00:00:00"/>
    <s v="MIIS"/>
    <s v="Stacy Philpott"/>
    <s v="Netting"/>
    <x v="0"/>
    <s v="SweatBee"/>
    <x v="1"/>
    <s v="Halictini"/>
    <s v="Lasioglossum"/>
    <s v="sp_G"/>
    <x v="8"/>
    <s v="female"/>
    <s v="radish"/>
    <s v="crop"/>
    <s v="Brassicaceae"/>
    <s v="Raphanus"/>
    <s v="sativus"/>
    <s v="Raphanus sativus"/>
    <s v="Not Native"/>
    <s v="White"/>
    <x v="9"/>
    <x v="0"/>
    <x v="0"/>
    <s v="NA"/>
    <s v="Jenny Hsu"/>
    <m/>
  </r>
  <r>
    <n v="210"/>
    <n v="961"/>
    <d v="2021-07-11T00:00:00"/>
    <s v="Trescony"/>
    <s v="Robyn Fowler"/>
    <s v="Netting"/>
    <x v="2"/>
    <s v="Butterfly"/>
    <x v="3"/>
    <s v="Pierini"/>
    <s v="Pieris"/>
    <s v="rapae"/>
    <x v="7"/>
    <s v="M"/>
    <s v="radish"/>
    <s v="crop"/>
    <s v="Brassicaceae"/>
    <s v="Raphanus"/>
    <s v="sativus"/>
    <s v="Raphanus sativus"/>
    <s v="Not Native"/>
    <s v="White"/>
    <x v="9"/>
    <x v="0"/>
    <x v="0"/>
    <s v="NA"/>
    <s v="Robyn Fowler"/>
    <m/>
  </r>
  <r>
    <n v="1370"/>
    <n v="2067"/>
    <d v="2021-07-09T00:00:00"/>
    <s v="Berryessa"/>
    <s v="Gabriella Pardee"/>
    <s v="Netting"/>
    <x v="0"/>
    <s v="OtherBee"/>
    <x v="7"/>
    <s v="Colletini"/>
    <s v="Hylaeus"/>
    <s v="sp_B"/>
    <x v="18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368"/>
    <n v="2065"/>
    <d v="2021-07-09T00:00:00"/>
    <s v="Berryessa"/>
    <s v="Gabriella Pardee"/>
    <s v="Netting"/>
    <x v="0"/>
    <s v="OtherBee"/>
    <x v="7"/>
    <s v="Colletini"/>
    <s v="Hylaeus"/>
    <s v="sp_B"/>
    <x v="18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862"/>
    <n v="942"/>
    <d v="2021-07-11T00:00:00"/>
    <s v="Chadwick"/>
    <s v="Gabriella Pardee"/>
    <s v="Netting"/>
    <x v="0"/>
    <s v="BumbleBee"/>
    <x v="0"/>
    <s v="Bombini"/>
    <s v="Bombus"/>
    <s v="vosnesenskii"/>
    <x v="0"/>
    <s v="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068"/>
    <n v="252"/>
    <d v="2021-07-10T00:00:00"/>
    <s v="LagunaSeca"/>
    <s v="Stacy Philpott"/>
    <s v="Netting"/>
    <x v="1"/>
    <s v="Hoverfly"/>
    <x v="2"/>
    <s v="Paragini"/>
    <s v="Paragus"/>
    <s v="haemorrhous"/>
    <x v="45"/>
    <m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341"/>
    <n v="2424"/>
    <d v="2021-07-08T00:00:00"/>
    <s v="MIIS"/>
    <s v="Jenny Hsu"/>
    <s v="Netting"/>
    <x v="0"/>
    <s v="HoneyBee"/>
    <x v="0"/>
    <s v="Apini"/>
    <s v="Apis"/>
    <s v="mellifera"/>
    <x v="2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340"/>
    <n v="2423"/>
    <d v="2021-07-08T00:00:00"/>
    <s v="MIIS"/>
    <s v="Gabriella Pardee"/>
    <s v="Netting"/>
    <x v="0"/>
    <s v="HoneyBee"/>
    <x v="0"/>
    <s v="Apini"/>
    <s v="Apis"/>
    <s v="mellifera"/>
    <x v="2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332"/>
    <n v="2415"/>
    <d v="2021-07-08T00:00:00"/>
    <s v="MIIS"/>
    <s v="Gabriella Pardee"/>
    <s v="Netting"/>
    <x v="0"/>
    <s v="SweatBee"/>
    <x v="1"/>
    <s v="Halictini"/>
    <s v="Halictus"/>
    <s v="tripartitus"/>
    <x v="4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278"/>
    <n v="1925"/>
    <d v="2021-07-08T00:00:00"/>
    <s v="MIIS"/>
    <s v="Gabriella Pardee"/>
    <s v="Netting"/>
    <x v="0"/>
    <s v="SweatBee"/>
    <x v="1"/>
    <s v="Halictini"/>
    <s v="Halictus"/>
    <s v="tripartitus"/>
    <x v="4"/>
    <s v="female"/>
    <s v="wild radish"/>
    <s v="weed"/>
    <s v="Brassicaceae"/>
    <s v="Raphanus"/>
    <s v="sp."/>
    <s v="Raphanus sp. A"/>
    <s v="Not Native"/>
    <s v="White"/>
    <x v="9"/>
    <x v="0"/>
    <x v="1"/>
    <s v="NA"/>
    <s v="Jenny Hsu"/>
    <m/>
  </r>
  <r>
    <n v="1327"/>
    <n v="2410"/>
    <d v="2021-07-08T00:00:00"/>
    <s v="MIIS"/>
    <s v="Jenny Hsu"/>
    <s v="Netting"/>
    <x v="2"/>
    <s v="Butterfly"/>
    <x v="3"/>
    <s v="Pierini"/>
    <s v="Pieris"/>
    <s v="rapae"/>
    <x v="7"/>
    <s v="M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761"/>
    <n v="1242"/>
    <d v="2021-07-08T00:00:00"/>
    <s v="Natividad"/>
    <s v="Gabriella Pardee"/>
    <s v="Netting"/>
    <x v="0"/>
    <s v="BumbleBee"/>
    <x v="0"/>
    <s v="Bombini"/>
    <s v="Bombus"/>
    <s v="caliginosus"/>
    <x v="6"/>
    <s v="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762"/>
    <n v="1243"/>
    <d v="2021-07-08T00:00:00"/>
    <s v="Natividad"/>
    <s v="Gabriella Pardee"/>
    <s v="Netting"/>
    <x v="0"/>
    <s v="BumbleBee"/>
    <x v="0"/>
    <s v="Bombini"/>
    <s v="Bombus"/>
    <s v="vosnesenskii"/>
    <x v="0"/>
    <s v="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776"/>
    <n v="673"/>
    <d v="2021-07-08T00:00:00"/>
    <s v="Natividad"/>
    <s v="Edith Gonzales"/>
    <s v="Netting"/>
    <x v="2"/>
    <s v="Butterfly"/>
    <x v="6"/>
    <s v="Hesperiini"/>
    <s v="Hylephila"/>
    <s v="phyleus"/>
    <x v="17"/>
    <s v="M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739"/>
    <n v="546"/>
    <d v="2021-07-08T00:00:00"/>
    <s v="Natividad"/>
    <s v="Jenny Hsu"/>
    <s v="Netting"/>
    <x v="2"/>
    <s v="Butterfly"/>
    <x v="6"/>
    <s v="Hesperiini"/>
    <s v="Hylephila"/>
    <s v="phyleus"/>
    <x v="17"/>
    <s v="F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392"/>
    <n v="488"/>
    <d v="2021-07-07T00:00:00"/>
    <s v="ValleVerde"/>
    <s v="Gabriella Pardee"/>
    <s v="Netting"/>
    <x v="0"/>
    <s v="HoneyBee"/>
    <x v="0"/>
    <s v="Apini"/>
    <s v="Apis"/>
    <s v="mellifera"/>
    <x v="2"/>
    <s v="female"/>
    <s v="wild radish"/>
    <s v="weed"/>
    <s v="Brassicaceae"/>
    <s v="Raphanus"/>
    <s v="sp."/>
    <s v="Raphanus sp. A"/>
    <s v="Not Native"/>
    <s v="White"/>
    <x v="9"/>
    <x v="0"/>
    <x v="0"/>
    <s v="NA"/>
    <s v="Robyn Fowler"/>
    <s v="network, has corbicula pollen vial"/>
  </r>
  <r>
    <n v="376"/>
    <n v="472"/>
    <d v="2021-07-07T00:00:00"/>
    <s v="ValleVerde"/>
    <s v="Jenny Hsu"/>
    <s v="Netting"/>
    <x v="0"/>
    <s v="BumbleBee"/>
    <x v="0"/>
    <s v="Bombini"/>
    <s v="Bombus"/>
    <s v="vosnesenskii"/>
    <x v="0"/>
    <s v="male"/>
    <s v="wild radish"/>
    <s v="weed"/>
    <s v="Brassicaceae"/>
    <s v="Raphanus"/>
    <s v="sp."/>
    <s v="Raphanus sp. A"/>
    <s v="Not Native"/>
    <s v="White"/>
    <x v="9"/>
    <x v="0"/>
    <x v="1"/>
    <s v="NA"/>
    <s v="Robyn Fowler"/>
    <s v="7.5 mins"/>
  </r>
  <r>
    <n v="945"/>
    <n v="1121"/>
    <d v="2021-07-07T00:00:00"/>
    <s v="WVIMiJardinVerde"/>
    <s v="Sofie Andrade"/>
    <s v="Netting"/>
    <x v="0"/>
    <s v="HoneyBee"/>
    <x v="0"/>
    <s v="Apini"/>
    <s v="Apis"/>
    <s v="mellifera"/>
    <x v="2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917"/>
    <n v="335"/>
    <d v="2021-07-07T00:00:00"/>
    <s v="WVIMiJardinVerde"/>
    <s v="Jenny Hsu"/>
    <s v="Netting"/>
    <x v="0"/>
    <s v="HoneyBee"/>
    <x v="0"/>
    <s v="Apini"/>
    <s v="Apis"/>
    <s v="mellifera"/>
    <x v="2"/>
    <s v="female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915"/>
    <n v="333"/>
    <d v="2021-07-07T00:00:00"/>
    <s v="WVIMiJardinVerde"/>
    <s v="Jenny Hsu"/>
    <s v="Netting"/>
    <x v="2"/>
    <s v="Butterfly"/>
    <x v="6"/>
    <s v="Hesperiini"/>
    <s v="Hylephila"/>
    <s v="phyleus"/>
    <x v="17"/>
    <s v="M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911"/>
    <n v="1039"/>
    <d v="2021-07-07T00:00:00"/>
    <s v="WVIMiJardinVerde"/>
    <s v="Jenny Hsu"/>
    <s v="Netting"/>
    <x v="2"/>
    <s v="Butterfly"/>
    <x v="6"/>
    <s v="Hesperiini"/>
    <s v="Hylephila"/>
    <s v="phyleus"/>
    <x v="17"/>
    <s v="M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951"/>
    <n v="585"/>
    <d v="2021-07-07T00:00:00"/>
    <s v="WVIMiJardinVerde"/>
    <s v="Sofie Andrade"/>
    <s v="Netting"/>
    <x v="2"/>
    <s v="Butterfly"/>
    <x v="3"/>
    <s v="Pierini"/>
    <s v="Pieris"/>
    <s v="rapae"/>
    <x v="7"/>
    <s v="F"/>
    <s v="wild radish"/>
    <s v="weed"/>
    <s v="Brassicaceae"/>
    <s v="Raphanus"/>
    <s v="sp."/>
    <s v="Raphanus sp. A"/>
    <s v="Not Native"/>
    <s v="White"/>
    <x v="9"/>
    <x v="0"/>
    <x v="0"/>
    <s v="NA"/>
    <s v="Jenny Hsu"/>
    <m/>
  </r>
  <r>
    <n v="1724"/>
    <n v="811"/>
    <d v="2021-07-07T00:00:00"/>
    <s v="SeniorCenter"/>
    <s v="Jenny Hsu"/>
    <s v="Netting"/>
    <x v="1"/>
    <s v="Hoverfly"/>
    <x v="2"/>
    <s v="Syrphini"/>
    <s v="Allograpta"/>
    <s v="obliqua"/>
    <x v="5"/>
    <m/>
    <s v="rhubarb"/>
    <s v="crop"/>
    <s v="Polygonaceae"/>
    <s v="Rheum"/>
    <s v="rhabarbarum"/>
    <s v="Rheum rhabarbarum"/>
    <s v="Not Native"/>
    <s v="White"/>
    <x v="9"/>
    <x v="0"/>
    <x v="0"/>
    <s v="NA"/>
    <s v="Janine Tan"/>
    <m/>
  </r>
  <r>
    <n v="234"/>
    <n v="1134"/>
    <d v="2021-07-07T00:00:00"/>
    <s v="SeniorCenter"/>
    <s v="Jenny Hsu"/>
    <s v="Netting"/>
    <x v="0"/>
    <s v="HoneyBee"/>
    <x v="0"/>
    <s v="Apini"/>
    <s v="Apis"/>
    <s v="mellifera"/>
    <x v="2"/>
    <s v="female"/>
    <s v="rhubarb"/>
    <s v="crop"/>
    <s v="Polygonaceae"/>
    <s v="Rheum"/>
    <s v="rhabarbarum"/>
    <s v="Rheum rhabarbarum"/>
    <s v="Not Native"/>
    <s v="White"/>
    <x v="9"/>
    <x v="0"/>
    <x v="0"/>
    <s v="NA"/>
    <s v="Robyn Fowler"/>
    <m/>
  </r>
  <r>
    <n v="1769"/>
    <n v="1487"/>
    <d v="2021-07-10T00:00:00"/>
    <s v="CoyoteCreek"/>
    <s v="Stacy Philpott"/>
    <s v="Netting"/>
    <x v="0"/>
    <s v="HoneyBee"/>
    <x v="0"/>
    <s v="Apini"/>
    <s v="Apis"/>
    <s v="mellifera"/>
    <x v="2"/>
    <s v="female"/>
    <s v="pole bean"/>
    <s v="crop"/>
    <s v="Fabaceae"/>
    <s v="Phaseolus"/>
    <s v="vulgaris"/>
    <s v="Phaseolus vulgaris"/>
    <s v="Not Native"/>
    <s v="White"/>
    <x v="9"/>
    <x v="4"/>
    <x v="0"/>
    <s v="NA"/>
    <s v="Janine Tan"/>
    <m/>
  </r>
  <r>
    <n v="1773"/>
    <n v="1491"/>
    <d v="2021-07-10T00:00:00"/>
    <s v="CoyoteCreek"/>
    <s v="Stacy Philpott"/>
    <s v="Netting"/>
    <x v="0"/>
    <s v="CarpenterBee"/>
    <x v="0"/>
    <s v="Xylocopini"/>
    <s v="Xylocopa"/>
    <s v="tabaniformis"/>
    <x v="14"/>
    <s v="female"/>
    <s v="pole bean"/>
    <s v="crop"/>
    <s v="Fabaceae"/>
    <s v="Phaseolus"/>
    <s v="vulgaris"/>
    <s v="Phaseolus vulgaris"/>
    <s v="Not Native"/>
    <s v="White"/>
    <x v="9"/>
    <x v="4"/>
    <x v="0"/>
    <s v="NA"/>
    <s v="Janine Tan"/>
    <m/>
  </r>
  <r>
    <n v="174"/>
    <n v="1260"/>
    <d v="2021-07-11T00:00:00"/>
    <s v="Grange"/>
    <s v="Sofie Andrade"/>
    <s v="Netting"/>
    <x v="1"/>
    <s v="OtherFly"/>
    <x v="4"/>
    <s v="Lucilini"/>
    <s v="Lucila"/>
    <s v="sp_A"/>
    <x v="10"/>
    <s v="female"/>
    <s v="scarlet runner bean"/>
    <s v="crop"/>
    <s v="Fabaceae"/>
    <s v="Phaseolus"/>
    <s v="vulgaris"/>
    <s v="Phaseolus vulgaris"/>
    <s v="Not Native"/>
    <s v="White"/>
    <x v="9"/>
    <x v="4"/>
    <x v="0"/>
    <s v="NA"/>
    <s v="Robyn Fowler"/>
    <s v="poop fly"/>
  </r>
  <r>
    <n v="1577"/>
    <n v="322"/>
    <d v="2021-07-11T00:00:00"/>
    <s v="Grange"/>
    <s v="Robyn Fowler"/>
    <s v="Netting"/>
    <x v="0"/>
    <s v="BumbleBee"/>
    <x v="0"/>
    <s v="Bombini"/>
    <s v="Bombus"/>
    <s v="vosnesenskii"/>
    <x v="0"/>
    <s v="female"/>
    <s v="scarlet runner bean"/>
    <s v="crop"/>
    <s v="Fabaceae"/>
    <s v="Phaseolus"/>
    <s v="vulgaris"/>
    <s v="Phaseolus vulgaris"/>
    <s v="Not Native"/>
    <s v="White"/>
    <x v="9"/>
    <x v="4"/>
    <x v="0"/>
    <s v="NA"/>
    <s v="Sofie Andrade"/>
    <m/>
  </r>
  <r>
    <n v="1256"/>
    <n v="1903"/>
    <d v="2021-07-10T00:00:00"/>
    <s v="LaColina"/>
    <s v="Stacy Philpott"/>
    <s v="Netting"/>
    <x v="0"/>
    <s v="CarpenterBee"/>
    <x v="0"/>
    <s v="Xylocopini"/>
    <s v="Xylocopa"/>
    <s v="sonorina"/>
    <x v="46"/>
    <s v="female"/>
    <s v="pole bean"/>
    <s v="crop"/>
    <s v="Fabaceae"/>
    <s v="Phaseolus"/>
    <s v="vulgaris"/>
    <s v="Phaseolus vulgaris"/>
    <s v="Not Native"/>
    <s v="White"/>
    <x v="9"/>
    <x v="4"/>
    <x v="0"/>
    <s v="NA"/>
    <s v="Jenny Hsu"/>
    <m/>
  </r>
  <r>
    <n v="993"/>
    <n v="1349"/>
    <d v="2021-07-08T00:00:00"/>
    <s v="MEarth"/>
    <s v="Gabriella Pardee"/>
    <s v="Netting"/>
    <x v="0"/>
    <s v="BumbleBee"/>
    <x v="0"/>
    <s v="Bombini"/>
    <s v="Bombus"/>
    <s v="caliginosus"/>
    <x v="6"/>
    <s v="female"/>
    <s v="Purple Pea"/>
    <s v="crop"/>
    <s v="Fabaceae"/>
    <s v="Pisum"/>
    <s v="sativum"/>
    <s v="Pisum sativum"/>
    <s v="Not Native"/>
    <s v="White"/>
    <x v="9"/>
    <x v="4"/>
    <x v="0"/>
    <s v="Pollen"/>
    <s v="Jenny Hsu"/>
    <m/>
  </r>
  <r>
    <n v="527"/>
    <n v="67"/>
    <d v="2021-07-11T00:00:00"/>
    <s v="Grange"/>
    <s v="Sofie Andrade"/>
    <s v="Netting"/>
    <x v="0"/>
    <s v="HoneyBee"/>
    <x v="0"/>
    <s v="Apini"/>
    <s v="Apis"/>
    <s v="mellifera"/>
    <x v="2"/>
    <s v="female"/>
    <s v="catnip"/>
    <s v="crop"/>
    <s v="Lamiaceae"/>
    <s v="Nepeta"/>
    <s v="cataria"/>
    <s v="Nepeta cataria"/>
    <s v="Not Native"/>
    <s v="White"/>
    <x v="9"/>
    <x v="2"/>
    <x v="0"/>
    <s v="Pollen"/>
    <s v="Jenny Hsu"/>
    <m/>
  </r>
  <r>
    <n v="920"/>
    <n v="338"/>
    <d v="2021-07-07T00:00:00"/>
    <s v="WVIMiJardinVerde"/>
    <s v="Azucena Luctaero"/>
    <s v="Netting"/>
    <x v="0"/>
    <s v="HoneyBee"/>
    <x v="0"/>
    <s v="Apini"/>
    <s v="Apis"/>
    <s v="mellifera"/>
    <x v="2"/>
    <s v="female"/>
    <s v="basil"/>
    <s v="crop"/>
    <s v="Lamiaceae"/>
    <s v="Ocimum"/>
    <s v="basilicum"/>
    <s v="Ocimum basilicum"/>
    <s v="Not Native"/>
    <s v="White"/>
    <x v="9"/>
    <x v="2"/>
    <x v="0"/>
    <s v="NA"/>
    <s v="Jenny Hsu"/>
    <m/>
  </r>
  <r>
    <n v="1225"/>
    <n v="1822"/>
    <d v="2021-07-10T00:00:00"/>
    <s v="LaColina"/>
    <s v="Jenny Hsu"/>
    <s v="Netting"/>
    <x v="0"/>
    <s v="HoneyBee"/>
    <x v="0"/>
    <s v="Apini"/>
    <s v="Apis"/>
    <s v="mellifera"/>
    <x v="2"/>
    <s v="female"/>
    <s v="Tree Privet"/>
    <s v="ornamental"/>
    <s v="Oleaceae"/>
    <s v="ligustrum"/>
    <s v="lucidum"/>
    <s v="ligustrum lucidum"/>
    <s v="Not Native"/>
    <s v="White"/>
    <x v="9"/>
    <x v="1"/>
    <x v="0"/>
    <s v="NA"/>
    <s v="Jenny Hsu"/>
    <m/>
  </r>
  <r>
    <n v="551"/>
    <n v="182"/>
    <d v="2021-07-11T00:00:00"/>
    <s v="Trescony"/>
    <s v="Jenny Hsu"/>
    <s v="Netting"/>
    <x v="2"/>
    <s v="Butterfly"/>
    <x v="3"/>
    <s v="Pierini"/>
    <s v="Pieris"/>
    <s v="rapae"/>
    <x v="7"/>
    <s v="M"/>
    <s v="Lemon Balm"/>
    <s v="crop"/>
    <s v="Lamiaceae"/>
    <s v="Melissa"/>
    <s v="officinalis"/>
    <s v="Melissa officinalis"/>
    <s v="Not Native"/>
    <s v="White"/>
    <x v="9"/>
    <x v="1"/>
    <x v="0"/>
    <s v="NA"/>
    <s v="Jenny Hsu"/>
    <m/>
  </r>
  <r>
    <n v="1315"/>
    <n v="2012"/>
    <d v="2021-07-08T00:00:00"/>
    <s v="MIIS"/>
    <s v="Edith Gonzales"/>
    <s v="Netting"/>
    <x v="1"/>
    <s v="OtherFly"/>
    <x v="4"/>
    <s v="Lucilini"/>
    <s v="Lucila"/>
    <s v="sp_A"/>
    <x v="10"/>
    <s v="male"/>
    <s v="strawberry"/>
    <s v="crop"/>
    <s v="Rosaceae"/>
    <s v="Fragaria"/>
    <s v="x ananassa"/>
    <s v="Fragaria x ananassa"/>
    <s v="U"/>
    <s v="White"/>
    <x v="9"/>
    <x v="0"/>
    <x v="0"/>
    <s v="NA"/>
    <s v="Jenny Hsu"/>
    <m/>
  </r>
  <r>
    <n v="1294"/>
    <n v="1991"/>
    <d v="2021-07-08T00:00:00"/>
    <s v="MIIS"/>
    <s v="Stacy Philpott"/>
    <s v="Netting"/>
    <x v="0"/>
    <s v="SweatBee"/>
    <x v="1"/>
    <s v="Halictini"/>
    <s v="Halictus"/>
    <s v="tripartitus"/>
    <x v="4"/>
    <s v="female"/>
    <s v="strawberry"/>
    <s v="crop"/>
    <s v="Rosaceae"/>
    <s v="Fragaria"/>
    <s v="x ananassa"/>
    <s v="Fragaria x ananassa"/>
    <s v="U"/>
    <s v="White"/>
    <x v="9"/>
    <x v="0"/>
    <x v="0"/>
    <s v="NA"/>
    <s v="Jenny Hsu"/>
    <m/>
  </r>
  <r>
    <n v="1683"/>
    <n v="456"/>
    <d v="2021-07-11T00:00:00"/>
    <s v="Trescony"/>
    <s v="Sofie Andrade"/>
    <s v="Netting"/>
    <x v="0"/>
    <s v="HoneyBee"/>
    <x v="0"/>
    <s v="Apini"/>
    <s v="Apis"/>
    <s v="mellifera"/>
    <x v="2"/>
    <s v="female"/>
    <s v="strawberry"/>
    <s v="crop"/>
    <s v="Rosaceae"/>
    <s v="Fragaria"/>
    <s v="x ananassa"/>
    <s v="Fragaria x ananassa"/>
    <s v="U"/>
    <s v="White"/>
    <x v="9"/>
    <x v="0"/>
    <x v="0"/>
    <s v="NA"/>
    <s v="Janine Tan"/>
    <m/>
  </r>
  <r>
    <n v="553"/>
    <n v="184"/>
    <d v="2021-07-11T00:00:00"/>
    <s v="Trescony"/>
    <s v="Robyn Fowler"/>
    <s v="Netting"/>
    <x v="0"/>
    <s v="HoneyBee"/>
    <x v="0"/>
    <s v="Apini"/>
    <s v="Apis"/>
    <s v="mellifera"/>
    <x v="2"/>
    <s v="female"/>
    <s v="strawberry"/>
    <s v="crop"/>
    <s v="Rosaceae"/>
    <s v="Fragaria"/>
    <s v="x ananassa"/>
    <s v="Fragaria x ananassa"/>
    <s v="U"/>
    <s v="White"/>
    <x v="9"/>
    <x v="0"/>
    <x v="0"/>
    <s v="NA"/>
    <s v="Jenny Hsu"/>
    <m/>
  </r>
  <r>
    <n v="645"/>
    <n v="982"/>
    <d v="2021-07-07T00:00:00"/>
    <s v="ValleVerde"/>
    <s v="Gabriella Pardee"/>
    <s v="Netting"/>
    <x v="0"/>
    <s v="SweatBee"/>
    <x v="1"/>
    <s v="Halictini"/>
    <s v="Halictus"/>
    <s v="tripartitus"/>
    <x v="4"/>
    <s v="female"/>
    <s v="strawberry"/>
    <s v="crop"/>
    <s v="Rosaceae"/>
    <s v="Fragaria"/>
    <s v="x ananassa"/>
    <s v="Fragaria x ananassa"/>
    <s v="U"/>
    <s v="White"/>
    <x v="9"/>
    <x v="0"/>
    <x v="0"/>
    <s v="Pollen"/>
    <s v="Jenny Hsu"/>
    <m/>
  </r>
  <r>
    <n v="630"/>
    <n v="167"/>
    <d v="2021-07-07T00:00:00"/>
    <s v="ValleVerde"/>
    <s v="Jenny Hsu"/>
    <s v="Netting"/>
    <x v="0"/>
    <s v="SweatBee"/>
    <x v="1"/>
    <s v="Halictini"/>
    <s v="Halictus"/>
    <s v="tripartitus"/>
    <x v="4"/>
    <s v="female"/>
    <s v="strawberry"/>
    <s v="crop"/>
    <s v="Rosaceae"/>
    <s v="Fragaria"/>
    <s v="x ananassa"/>
    <s v="Fragaria x ananassa"/>
    <s v="U"/>
    <s v="White"/>
    <x v="9"/>
    <x v="0"/>
    <x v="0"/>
    <s v="NA"/>
    <s v="Jenny Hsu"/>
    <m/>
  </r>
  <r>
    <n v="1745"/>
    <n v="832"/>
    <d v="2021-07-07T00:00:00"/>
    <s v="Aptos"/>
    <s v="Jenny Hsu"/>
    <s v="Netting"/>
    <x v="0"/>
    <s v="OtherBee"/>
    <x v="7"/>
    <s v="Colletini"/>
    <s v="Hylaeus"/>
    <s v="sp_B"/>
    <x v="18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anine Tan"/>
    <s v="2 poll, 1 bag 831-832"/>
  </r>
  <r>
    <n v="1744"/>
    <n v="831"/>
    <d v="2021-07-07T00:00:00"/>
    <s v="Aptos"/>
    <s v="Jenny Hsu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anine Tan"/>
    <s v="2 poll, 1 bag 831-832"/>
  </r>
  <r>
    <n v="518"/>
    <n v="58"/>
    <d v="2021-07-09T00:00:00"/>
    <s v="CharlesStreet"/>
    <s v="Gabriella Pardee"/>
    <s v="Netting"/>
    <x v="0"/>
    <s v="HoneyBee"/>
    <x v="0"/>
    <s v="Apini"/>
    <s v="Apis"/>
    <s v="mellifera"/>
    <x v="2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295"/>
    <n v="909"/>
    <d v="2021-07-09T00:00:00"/>
    <s v="Guadalupe"/>
    <s v="Robyn Fowler"/>
    <s v="Netting"/>
    <x v="2"/>
    <s v="Butterfly"/>
    <x v="6"/>
    <s v="Hesperiini"/>
    <s v="Hylephila"/>
    <s v="phyleus"/>
    <x v="17"/>
    <s v="M"/>
    <s v="onion"/>
    <s v="crop"/>
    <s v="Allioideae"/>
    <s v="Allium"/>
    <s v="cepa"/>
    <s v="Allium cepa"/>
    <s v="Not Native"/>
    <s v="White to Pink or Light Green"/>
    <x v="9"/>
    <x v="3"/>
    <x v="0"/>
    <s v="NA"/>
    <s v="Robyn Fowler"/>
    <m/>
  </r>
  <r>
    <n v="1271"/>
    <n v="1918"/>
    <d v="2021-07-10T00:00:00"/>
    <s v="LaColina"/>
    <s v="Stacy Philpott"/>
    <s v="Netting"/>
    <x v="0"/>
    <s v="HoneyBee"/>
    <x v="0"/>
    <s v="Apini"/>
    <s v="Apis"/>
    <s v="mellifera"/>
    <x v="2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250"/>
    <n v="1847"/>
    <d v="2021-07-10T00:00:00"/>
    <s v="LaColina"/>
    <s v="Gabriella Pardee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311"/>
    <n v="2008"/>
    <d v="2021-07-08T00:00:00"/>
    <s v="MIIS"/>
    <s v="Edith Gonzales"/>
    <s v="Netting"/>
    <x v="0"/>
    <s v="SweatBee"/>
    <x v="1"/>
    <s v="Halictini"/>
    <s v="Agapostemon"/>
    <s v="texanus"/>
    <x v="44"/>
    <m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335"/>
    <n v="2418"/>
    <d v="2021-07-08T00:00:00"/>
    <s v="MIIS"/>
    <s v="Jenny Hsu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297"/>
    <n v="1994"/>
    <d v="2021-07-08T00:00:00"/>
    <s v="MIIS"/>
    <s v="Stacy Philpott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292"/>
    <n v="1989"/>
    <d v="2021-07-08T00:00:00"/>
    <s v="MIIS"/>
    <s v="Stacy Philpott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1290"/>
    <n v="1987"/>
    <d v="2021-07-08T00:00:00"/>
    <s v="MIIS"/>
    <s v="Stacy Philpott"/>
    <s v="Netting"/>
    <x v="0"/>
    <s v="SweatBee"/>
    <x v="1"/>
    <s v="Halictini"/>
    <s v="Halictus"/>
    <s v="tripartitus"/>
    <x v="4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764"/>
    <n v="1245"/>
    <d v="2021-07-08T00:00:00"/>
    <s v="Natividad"/>
    <s v="Gabriella Pardee"/>
    <s v="Netting"/>
    <x v="1"/>
    <s v="OtherFly"/>
    <x v="4"/>
    <s v="Lucilini"/>
    <s v="Lucila"/>
    <s v="sp_A"/>
    <x v="10"/>
    <s v="male"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769"/>
    <n v="1250"/>
    <d v="2021-07-08T00:00:00"/>
    <s v="Natividad"/>
    <s v="Stacy Philpott"/>
    <s v="Netting"/>
    <x v="1"/>
    <s v="Hoverfly"/>
    <x v="2"/>
    <s v="Syrphini"/>
    <s v="Sphaerophoria"/>
    <s v="contigua"/>
    <x v="64"/>
    <m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756"/>
    <n v="1237"/>
    <d v="2021-07-08T00:00:00"/>
    <s v="Natividad"/>
    <s v="Gabriella Pardee"/>
    <s v="Netting"/>
    <x v="1"/>
    <s v="Hoverfly"/>
    <x v="2"/>
    <s v="Milesini"/>
    <s v="Syritta"/>
    <s v="pipiens"/>
    <x v="11"/>
    <m/>
    <s v="onion"/>
    <s v="crop"/>
    <s v="Allioideae"/>
    <s v="Allium"/>
    <s v="cepa"/>
    <s v="Allium cepa"/>
    <s v="Not Native"/>
    <s v="White to Pink or Light Green"/>
    <x v="9"/>
    <x v="3"/>
    <x v="0"/>
    <s v="NA"/>
    <s v="Jenny Hsu"/>
    <m/>
  </r>
  <r>
    <n v="201"/>
    <n v="1427"/>
    <d v="2021-07-11T00:00:00"/>
    <s v="Trescony"/>
    <s v="Sofie Andrade"/>
    <s v="Netting"/>
    <x v="0"/>
    <s v="HoneyBee"/>
    <x v="0"/>
    <s v="Apini"/>
    <s v="Apis"/>
    <s v="mellifera"/>
    <x v="2"/>
    <s v="female"/>
    <s v="onion"/>
    <s v="crop"/>
    <s v="Allioideae"/>
    <s v="Allium"/>
    <s v="cepa"/>
    <s v="Allium cepa"/>
    <s v="Not Native"/>
    <s v="White to Pink or Light Green"/>
    <x v="9"/>
    <x v="3"/>
    <x v="0"/>
    <s v="NA"/>
    <s v="Robyn Fowler"/>
    <m/>
  </r>
  <r>
    <n v="1269"/>
    <n v="1916"/>
    <d v="2021-07-10T00:00:00"/>
    <s v="LaColina"/>
    <s v="Gabriella Pardee"/>
    <s v="Netting"/>
    <x v="0"/>
    <s v="SweatBee"/>
    <x v="1"/>
    <s v="Halictini"/>
    <s v="Halictus"/>
    <s v="tripartitus"/>
    <x v="4"/>
    <s v="female"/>
    <s v="Nerium Oleander"/>
    <s v="ornamental"/>
    <s v="Apocynaceae"/>
    <s v="Nereum"/>
    <s v="oleander"/>
    <s v="Nereum oleander"/>
    <s v="Not Native"/>
    <s v="White+-Yellow to Red-Purple"/>
    <x v="1"/>
    <x v="1"/>
    <x v="0"/>
    <s v="Pollen"/>
    <s v="Jenny Hsu"/>
    <m/>
  </r>
  <r>
    <n v="283"/>
    <n v="897"/>
    <d v="2021-07-09T00:00:00"/>
    <s v="Guadalupe"/>
    <s v="Robyn Fowler"/>
    <s v="Netting"/>
    <x v="0"/>
    <s v="HoneyBee"/>
    <x v="0"/>
    <s v="Apini"/>
    <s v="Apis"/>
    <s v="mellifera"/>
    <x v="2"/>
    <s v="female"/>
    <s v="alkali heliotrope"/>
    <s v="ornamental"/>
    <s v="Boraginaceae"/>
    <s v="Heliotropium"/>
    <s v="curassavicum"/>
    <s v="Heliotropium curassavicum"/>
    <s v="Native"/>
    <s v="WhiteBluePurple"/>
    <x v="9"/>
    <x v="1"/>
    <x v="0"/>
    <s v="NA"/>
    <s v="Robyn Fowler"/>
    <m/>
  </r>
  <r>
    <n v="1750"/>
    <n v="88"/>
    <d v="2021-07-07T00:00:00"/>
    <s v="Aptos"/>
    <s v="Gabriella Pardee"/>
    <s v="Netting"/>
    <x v="1"/>
    <s v="OtherFly"/>
    <x v="12"/>
    <m/>
    <s v="tachinid"/>
    <s v="sp_E"/>
    <x v="89"/>
    <m/>
    <s v="yarrow"/>
    <s v="ornamental"/>
    <s v="Asteraceae"/>
    <s v="Achillea"/>
    <s v="millefolium"/>
    <s v="Achillea millefolium"/>
    <s v="Native"/>
    <s v="WhitePink"/>
    <x v="9"/>
    <x v="0"/>
    <x v="0"/>
    <s v="NA"/>
    <s v="Janine Tan"/>
    <s v="2 flies, 1 bag 87-88"/>
  </r>
  <r>
    <n v="1749"/>
    <n v="87"/>
    <d v="2021-07-07T00:00:00"/>
    <s v="Aptos"/>
    <s v="Gabriella Pardee"/>
    <s v="Netting"/>
    <x v="1"/>
    <s v="OtherFly"/>
    <x v="12"/>
    <m/>
    <s v="tachinid"/>
    <s v="sp_E"/>
    <x v="89"/>
    <m/>
    <s v="yarrow"/>
    <s v="ornamental"/>
    <s v="Asteraceae"/>
    <s v="Achillea"/>
    <s v="millefolium"/>
    <s v="Achillea millefolium"/>
    <s v="Native"/>
    <s v="WhitePink"/>
    <x v="9"/>
    <x v="0"/>
    <x v="0"/>
    <s v="NA"/>
    <s v="Janine Tan"/>
    <s v="2 flies, 1 bag 87-88"/>
  </r>
  <r>
    <n v="288"/>
    <n v="902"/>
    <d v="2021-07-09T00:00:00"/>
    <s v="Guadalupe"/>
    <s v="Edith Gonzales"/>
    <s v="Netting"/>
    <x v="0"/>
    <s v="SweatBee"/>
    <x v="1"/>
    <s v="Halictini"/>
    <s v="Halictus"/>
    <s v="ligatus"/>
    <x v="32"/>
    <s v="male"/>
    <s v="yarrow"/>
    <s v="ornamental"/>
    <s v="Asteraceae"/>
    <s v="Achillea"/>
    <s v="millefolium"/>
    <s v="Achillea millefolium"/>
    <s v="Native"/>
    <s v="WhitePink"/>
    <x v="9"/>
    <x v="0"/>
    <x v="0"/>
    <s v="NA"/>
    <s v="Robyn Fowler"/>
    <m/>
  </r>
  <r>
    <n v="1049"/>
    <n v="1453"/>
    <d v="2021-07-10T00:00:00"/>
    <s v="LagunaSeca"/>
    <s v="Gabriella Pardee"/>
    <s v="Netting"/>
    <x v="0"/>
    <s v="OtherBee"/>
    <x v="7"/>
    <s v="Colletini"/>
    <s v="Hylaeus"/>
    <s v="sp_B"/>
    <x v="18"/>
    <s v="female"/>
    <s v="yarrow"/>
    <s v="ornamental"/>
    <s v="Asteraceae"/>
    <s v="Achillea"/>
    <s v="millefolium"/>
    <s v="Achillea millefolium"/>
    <s v="Native"/>
    <s v="WhitePink"/>
    <x v="9"/>
    <x v="0"/>
    <x v="0"/>
    <s v="Pollen"/>
    <s v="Jenny Hsu"/>
    <s v="3 poll (1452+1453+1454)"/>
  </r>
  <r>
    <n v="1048"/>
    <n v="1452"/>
    <d v="2021-07-10T00:00:00"/>
    <s v="LagunaSeca"/>
    <s v="Gabriella Pardee"/>
    <s v="Netting"/>
    <x v="0"/>
    <s v="OtherBee"/>
    <x v="7"/>
    <s v="Colletini"/>
    <s v="Hylaeus"/>
    <s v="sp_C"/>
    <x v="43"/>
    <s v="male"/>
    <s v="yarrow"/>
    <s v="ornamental"/>
    <s v="Asteraceae"/>
    <s v="Achillea"/>
    <s v="millefolium"/>
    <s v="Achillea millefolium"/>
    <s v="Native"/>
    <s v="WhitePink"/>
    <x v="9"/>
    <x v="0"/>
    <x v="0"/>
    <s v="Pollen"/>
    <s v="Jenny Hsu"/>
    <s v="3 poll (1452+1453+1454)"/>
  </r>
  <r>
    <n v="1050"/>
    <n v="1454"/>
    <d v="2021-07-10T00:00:00"/>
    <s v="LagunaSeca"/>
    <s v="Gabriella Pardee"/>
    <s v="Netting"/>
    <x v="0"/>
    <s v="OtherBee"/>
    <x v="7"/>
    <s v="Colletini"/>
    <s v="Hylaeus"/>
    <s v="sp_C"/>
    <x v="43"/>
    <s v="male"/>
    <s v="yarrow"/>
    <s v="ornamental"/>
    <s v="Asteraceae"/>
    <s v="Achillea"/>
    <s v="millefolium"/>
    <s v="Achillea millefolium"/>
    <s v="Native"/>
    <s v="WhitePink"/>
    <x v="9"/>
    <x v="0"/>
    <x v="0"/>
    <s v="Pollen"/>
    <s v="Jenny Hsu"/>
    <s v="3 poll (1452+1453+1454)"/>
  </r>
  <r>
    <n v="1479"/>
    <n v="2326"/>
    <d v="2021-07-11T00:00:00"/>
    <s v="FarmGardenUCSC"/>
    <s v="Sofie Andrade"/>
    <s v="Netting"/>
    <x v="1"/>
    <s v="Hoverfly"/>
    <x v="2"/>
    <s v="Paragini"/>
    <s v="Paragus"/>
    <s v="haemorrhous"/>
    <x v="45"/>
    <m/>
    <s v="seaside buckwheat"/>
    <s v="ornamental"/>
    <s v="Polygonaceae"/>
    <s v="Erigonum"/>
    <s v="latifolium"/>
    <s v="Erigonum latifolium"/>
    <s v="Native"/>
    <s v="WhitePink"/>
    <x v="1"/>
    <x v="0"/>
    <x v="0"/>
    <s v="NA"/>
    <s v="Jenny Hsu"/>
    <m/>
  </r>
  <r>
    <n v="524"/>
    <n v="64"/>
    <d v="2021-07-11T00:00:00"/>
    <s v="Grange"/>
    <s v="Gabriella Pardee"/>
    <s v="Netting"/>
    <x v="0"/>
    <s v="HoneyBee"/>
    <x v="0"/>
    <s v="Apini"/>
    <s v="Apis"/>
    <s v="mellifera"/>
    <x v="2"/>
    <s v="female"/>
    <s v="coastal wild buckwheat"/>
    <s v="ornamental"/>
    <s v="Polygonaceae"/>
    <s v="Erigonum"/>
    <s v="latifolium"/>
    <s v="Erigonum latifolium"/>
    <s v="Native"/>
    <s v="WhitePink"/>
    <x v="1"/>
    <x v="0"/>
    <x v="0"/>
    <s v="NA"/>
    <s v="Jenny Hsu"/>
    <m/>
  </r>
  <r>
    <m/>
    <n v="71"/>
    <d v="2021-07-11T00:00:00"/>
    <s v="Grange"/>
    <s v="Gabriella Pardee"/>
    <s v="Netting"/>
    <x v="0"/>
    <s v="SweatBee"/>
    <x v="1"/>
    <s v="Halictini"/>
    <s v="Lasioglossum"/>
    <s v="sp_B"/>
    <x v="47"/>
    <s v="female"/>
    <s v="coastal wild buckwheat"/>
    <s v="ornamental"/>
    <s v="Polygonaceae"/>
    <s v="Erigonum"/>
    <s v="latifolium"/>
    <s v="Erigonum latifolium"/>
    <s v="Native"/>
    <s v="WhitePink"/>
    <x v="1"/>
    <x v="0"/>
    <x v="0"/>
    <s v="NA"/>
    <s v="Jenny Hsu"/>
    <m/>
  </r>
  <r>
    <n v="1670"/>
    <n v="443"/>
    <d v="2021-07-11T00:00:00"/>
    <s v="Trescony"/>
    <s v="Jenny Hsu"/>
    <s v="Netting"/>
    <x v="0"/>
    <s v="HoneyBee"/>
    <x v="0"/>
    <s v="Apini"/>
    <s v="Apis"/>
    <s v="mellifera"/>
    <x v="2"/>
    <s v="female"/>
    <s v="horseweed"/>
    <s v="weed"/>
    <s v="Asteraceae"/>
    <s v="Conyza"/>
    <s v="canadensis"/>
    <s v="Conyza canadensis"/>
    <s v="Native"/>
    <s v="WhitePink"/>
    <x v="9"/>
    <x v="0"/>
    <x v="0"/>
    <s v="NA"/>
    <s v="Janine Tan"/>
    <m/>
  </r>
  <r>
    <n v="828"/>
    <n v="1405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Seablush"/>
    <s v="ornamental"/>
    <s v="Caprifoliaceae"/>
    <s v="Plectritis"/>
    <s v="sp."/>
    <s v="Plectritis sp. A"/>
    <s v="Native"/>
    <s v="WhitePink"/>
    <x v="3"/>
    <x v="1"/>
    <x v="0"/>
    <s v="NA"/>
    <s v="Jenny Hsu"/>
    <m/>
  </r>
  <r>
    <n v="788"/>
    <n v="1317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Seablush"/>
    <s v="ornamental"/>
    <s v="Caprifoliaceae"/>
    <s v="Plectritis"/>
    <s v="sp."/>
    <s v="Plectritis sp. A"/>
    <s v="Native"/>
    <s v="WhitePink"/>
    <x v="3"/>
    <x v="1"/>
    <x v="0"/>
    <s v="NA"/>
    <s v="Jenny Hsu"/>
    <m/>
  </r>
  <r>
    <n v="790"/>
    <n v="1319"/>
    <d v="2021-07-10T00:00:00"/>
    <s v="HomelessGardenProject"/>
    <s v="Gabriella Pardee"/>
    <s v="Netting"/>
    <x v="0"/>
    <s v="BumbleBee"/>
    <x v="0"/>
    <s v="Bombini"/>
    <s v="Bombus"/>
    <s v="vosnesenskii"/>
    <x v="0"/>
    <s v="male"/>
    <s v="field seablush"/>
    <s v="ornamental"/>
    <s v="Caprifoliaceae"/>
    <s v="Plectritus"/>
    <s v="congesta"/>
    <s v="Plectritus congesta"/>
    <s v="Native"/>
    <s v="WhitePink"/>
    <x v="8"/>
    <x v="1"/>
    <x v="0"/>
    <s v="NA"/>
    <s v="Jenny Hsu"/>
    <m/>
  </r>
  <r>
    <n v="1393"/>
    <n v="2425"/>
    <d v="2021-07-09T00:00:00"/>
    <s v="Berryessa"/>
    <s v="Sofie Andrade"/>
    <s v="Netting"/>
    <x v="0"/>
    <s v="OtherBee"/>
    <x v="7"/>
    <s v="Colletini"/>
    <s v="Hylaeus"/>
    <s v="sp_B"/>
    <x v="18"/>
    <s v="female"/>
    <s v="apple mint"/>
    <s v="crop"/>
    <s v="Lamiaceae"/>
    <s v="Mentha"/>
    <s v="suaveolens"/>
    <s v="Mentha suaveolens"/>
    <s v="Not Native"/>
    <s v="WhitePink"/>
    <x v="1"/>
    <x v="1"/>
    <x v="0"/>
    <s v="NA"/>
    <s v="Jenny Hsu"/>
    <m/>
  </r>
  <r>
    <n v="1740"/>
    <n v="827"/>
    <d v="2021-07-07T00:00:00"/>
    <s v="Aptos"/>
    <s v="Azucena Luctaero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anine Tan"/>
    <s v="bee"/>
  </r>
  <r>
    <n v="1757"/>
    <n v="95"/>
    <d v="2021-07-07T00:00:00"/>
    <s v="Aptos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anine Tan"/>
    <m/>
  </r>
  <r>
    <n v="1512"/>
    <n v="15"/>
    <d v="2021-07-07T00:00:00"/>
    <s v="Aptos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1"/>
    <s v="NA"/>
    <s v="Sofie Andrade"/>
    <m/>
  </r>
  <r>
    <n v="20"/>
    <n v="24"/>
    <d v="2021-07-07T00:00:00"/>
    <s v="Aptos"/>
    <s v="Azucena Luctaero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1"/>
    <s v="NA"/>
    <s v="Azucena Lucatero"/>
    <m/>
  </r>
  <r>
    <n v="16"/>
    <n v="17"/>
    <d v="2021-07-07T00:00:00"/>
    <s v="Aptos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1"/>
    <s v="Nectar"/>
    <s v="Azucena Lucatero"/>
    <m/>
  </r>
  <r>
    <n v="594"/>
    <n v="693"/>
    <d v="2021-07-07T00:00:00"/>
    <s v="Aptos"/>
    <s v="Gabriella Pardee"/>
    <s v="Netting"/>
    <x v="0"/>
    <s v="SweatBee"/>
    <x v="1"/>
    <s v="Halictini"/>
    <s v="Halictus"/>
    <s v="tripartitus"/>
    <x v="4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373"/>
    <n v="2070"/>
    <d v="2021-07-09T00:00:00"/>
    <s v="Berryessa"/>
    <s v="Jenny Hsu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378"/>
    <n v="2075"/>
    <d v="2021-07-09T00:00:00"/>
    <s v="Berryessa"/>
    <s v="Sofie Andrade"/>
    <s v="Netting"/>
    <x v="0"/>
    <s v="OtherBee"/>
    <x v="5"/>
    <s v="Megachilini"/>
    <s v="Megachile"/>
    <s v="centuncularis"/>
    <x v="90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553"/>
    <n v="297"/>
    <d v="2021-07-09T00:00:00"/>
    <s v="CharlesStreet"/>
    <s v="Robyn Fowler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1"/>
    <s v="NA"/>
    <s v="Sofie Andrade"/>
    <m/>
  </r>
  <r>
    <n v="1466"/>
    <n v="2263"/>
    <d v="2021-07-11T00:00:00"/>
    <s v="FarmGardenUCSC"/>
    <s v="Robyn Fowler"/>
    <s v="Netting"/>
    <x v="1"/>
    <s v="Hoverfly"/>
    <x v="2"/>
    <s v="Paragini"/>
    <s v="Paragus"/>
    <s v="haemorrhous"/>
    <x v="45"/>
    <m/>
    <s v="oregano"/>
    <s v="crop"/>
    <s v="Lamiaceae"/>
    <s v="Origanum"/>
    <s v="vulgare"/>
    <s v="Origanum vulgare"/>
    <s v="Not Native"/>
    <s v="WhitePink"/>
    <x v="9"/>
    <x v="1"/>
    <x v="0"/>
    <s v="NA"/>
    <s v="Jenny Hsu"/>
    <s v="3 poll (2261+2262+2263)"/>
  </r>
  <r>
    <n v="1464"/>
    <n v="2261"/>
    <d v="2021-07-11T00:00:00"/>
    <s v="FarmGardenUCSC"/>
    <s v="Robyn Fowler"/>
    <s v="Netting"/>
    <x v="0"/>
    <s v="SweatBee"/>
    <x v="1"/>
    <s v="Halictini"/>
    <s v="Lasioglossum"/>
    <s v="sp_F"/>
    <x v="22"/>
    <s v="male"/>
    <s v="oregano"/>
    <s v="crop"/>
    <s v="Lamiaceae"/>
    <s v="Origanum"/>
    <s v="vulgare"/>
    <s v="Origanum vulgare"/>
    <s v="Not Native"/>
    <s v="WhitePink"/>
    <x v="9"/>
    <x v="1"/>
    <x v="0"/>
    <s v="NA"/>
    <s v="Jenny Hsu"/>
    <s v="3 poll (2261+2262+2263)"/>
  </r>
  <r>
    <n v="1465"/>
    <n v="2262"/>
    <d v="2021-07-11T00:00:00"/>
    <s v="FarmGardenUCSC"/>
    <s v="Robyn Fowler"/>
    <s v="Netting"/>
    <x v="0"/>
    <s v="SweatBee"/>
    <x v="1"/>
    <s v="Halictini"/>
    <s v="Lasioglossum"/>
    <s v="sp_F"/>
    <x v="22"/>
    <s v="male"/>
    <s v="oregano"/>
    <s v="crop"/>
    <s v="Lamiaceae"/>
    <s v="Origanum"/>
    <s v="vulgare"/>
    <s v="Origanum vulgare"/>
    <s v="Not Native"/>
    <s v="WhitePink"/>
    <x v="9"/>
    <x v="1"/>
    <x v="0"/>
    <s v="NA"/>
    <s v="Jenny Hsu"/>
    <s v="3 poll (2261+2262+2263)"/>
  </r>
  <r>
    <n v="1494"/>
    <n v="2341"/>
    <d v="2021-07-11T00:00:00"/>
    <s v="FarmGardenUCSC"/>
    <s v="Sofie Andrade"/>
    <s v="Netting"/>
    <x v="2"/>
    <s v="Butterfly"/>
    <x v="21"/>
    <s v="Junoniini"/>
    <s v="Junonia"/>
    <s v="grisea"/>
    <x v="91"/>
    <s v="Unable to ID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81"/>
    <n v="1337"/>
    <d v="2021-07-11T00:00:00"/>
    <s v="Grange"/>
    <s v="Jenny Hsu"/>
    <s v="Netting"/>
    <x v="1"/>
    <s v="OtherFly"/>
    <x v="4"/>
    <s v="Lucilini"/>
    <s v="Lucila"/>
    <s v="sp_A"/>
    <x v="10"/>
    <s v="fe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m/>
  </r>
  <r>
    <n v="179"/>
    <n v="1335"/>
    <d v="2021-07-11T00:00:00"/>
    <s v="Grange"/>
    <s v="Jenny Hsu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m/>
  </r>
  <r>
    <n v="260"/>
    <n v="1466"/>
    <d v="2021-07-09T00:00:00"/>
    <s v="Guadalupe"/>
    <s v="Jenny Hsu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m/>
  </r>
  <r>
    <n v="109"/>
    <n v="116"/>
    <d v="2021-07-09T00:00:00"/>
    <s v="Guadalupe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Edith Gonzales"/>
    <m/>
  </r>
  <r>
    <n v="108"/>
    <n v="115"/>
    <d v="2021-07-09T00:00:00"/>
    <s v="Guadalupe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Edith Gonzales"/>
    <m/>
  </r>
  <r>
    <n v="1088"/>
    <n v="1188"/>
    <d v="2021-07-10T00:00:00"/>
    <s v="LagunaSeca"/>
    <s v="Stacy Philpott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078"/>
    <n v="1053"/>
    <d v="2021-07-10T00:00:00"/>
    <s v="LagunaSeca"/>
    <s v="Stacy Philpott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056"/>
    <n v="1460"/>
    <d v="2021-07-10T00:00:00"/>
    <s v="LagunaSeca"/>
    <s v="Jenny Hsu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044"/>
    <n v="1448"/>
    <d v="2021-07-10T00:00:00"/>
    <s v="LagunaSeca"/>
    <s v="Jenny Hsu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747"/>
    <n v="1228"/>
    <d v="2021-07-08T00:00:00"/>
    <s v="Natividad"/>
    <s v="Gabriella Pardee"/>
    <s v="Netting"/>
    <x v="1"/>
    <s v="Hoverfly"/>
    <x v="2"/>
    <s v="Paragini"/>
    <s v="Paragus"/>
    <s v="haemorrhous"/>
    <x v="45"/>
    <m/>
    <s v="oregano"/>
    <s v="crop"/>
    <s v="Lamiaceae"/>
    <s v="Origanum"/>
    <s v="vulgare"/>
    <s v="Origanum vulgare"/>
    <s v="Not Native"/>
    <s v="WhitePink"/>
    <x v="9"/>
    <x v="1"/>
    <x v="0"/>
    <s v="NA"/>
    <s v="Jenny Hsu"/>
    <s v="2 poll (1227+1228)"/>
  </r>
  <r>
    <n v="746"/>
    <n v="1227"/>
    <d v="2021-07-08T00:00:00"/>
    <s v="Natividad"/>
    <s v="Gabriella Pardee"/>
    <s v="Netting"/>
    <x v="1"/>
    <s v="Hoverfly"/>
    <x v="2"/>
    <s v="Milesini"/>
    <s v="Syritta"/>
    <s v="pipiens"/>
    <x v="11"/>
    <m/>
    <s v="oregano"/>
    <s v="crop"/>
    <s v="Lamiaceae"/>
    <s v="Origanum"/>
    <s v="vulgare"/>
    <s v="Origanum vulgare"/>
    <s v="Not Native"/>
    <s v="WhitePink"/>
    <x v="9"/>
    <x v="1"/>
    <x v="0"/>
    <s v="NA"/>
    <s v="Jenny Hsu"/>
    <s v="2 poll (1227+1228)"/>
  </r>
  <r>
    <n v="742"/>
    <n v="1223"/>
    <d v="2021-07-08T00:00:00"/>
    <s v="Natividad"/>
    <s v="Gabriella Pardee"/>
    <s v="Netting"/>
    <x v="0"/>
    <s v="SweatBee"/>
    <x v="1"/>
    <s v="Halictini"/>
    <s v="Lasioglossum"/>
    <s v="sp_F"/>
    <x v="22"/>
    <s v="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121"/>
    <n v="1568"/>
    <d v="2021-07-07T00:00:00"/>
    <s v="Pajaro"/>
    <s v="Azucena Luctaero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1191"/>
    <n v="1738"/>
    <d v="2021-07-09T00:00:00"/>
    <s v="Prusch"/>
    <s v="Jenny Hsu"/>
    <s v="Netting"/>
    <x v="1"/>
    <s v="OtherFly"/>
    <x v="4"/>
    <s v="Lucilini"/>
    <s v="Lucila"/>
    <s v="sp_A"/>
    <x v="10"/>
    <s v="male"/>
    <s v="oregano"/>
    <s v="crop"/>
    <s v="Lamiaceae"/>
    <s v="Origanum"/>
    <s v="vulgare"/>
    <s v="Origanum vulgare"/>
    <s v="Not Native"/>
    <s v="WhitePink"/>
    <x v="9"/>
    <x v="1"/>
    <x v="0"/>
    <s v="NA"/>
    <s v="Jenny Hsu"/>
    <m/>
  </r>
  <r>
    <n v="328"/>
    <n v="244"/>
    <d v="2021-07-08T00:00:00"/>
    <s v="Salinas"/>
    <s v="Gabriella Pardee"/>
    <s v="Netting"/>
    <x v="1"/>
    <s v="OtherFly"/>
    <x v="4"/>
    <s v="Lucilini"/>
    <s v="Lucila"/>
    <s v="sp_A"/>
    <x v="10"/>
    <s v="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s v="2 pollinators 1 bag (1/2)"/>
  </r>
  <r>
    <n v="321"/>
    <n v="237"/>
    <d v="2021-07-08T00:00:00"/>
    <s v="Salinas"/>
    <s v="Gabriella Pardee"/>
    <s v="Netting"/>
    <x v="1"/>
    <s v="OtherFly"/>
    <x v="4"/>
    <s v="Lucilini"/>
    <s v="Lucila"/>
    <s v="sp_A"/>
    <x v="10"/>
    <s v="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s v="2 pollinators 1 bag (1/2)"/>
  </r>
  <r>
    <n v="329"/>
    <n v="245"/>
    <d v="2021-07-08T00:00:00"/>
    <s v="Salinas"/>
    <s v="Gabriella Pardee"/>
    <s v="Netting"/>
    <x v="1"/>
    <s v="OtherFly"/>
    <x v="4"/>
    <s v="Lucilini"/>
    <s v="Lucila"/>
    <s v="sp_A"/>
    <x v="10"/>
    <s v="fe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s v="2 pollinators 1 bag (2/2)"/>
  </r>
  <r>
    <n v="322"/>
    <n v="238"/>
    <d v="2021-07-08T00:00:00"/>
    <s v="Salinas"/>
    <s v="Gabriella Pardee"/>
    <s v="Netting"/>
    <x v="1"/>
    <s v="OtherFly"/>
    <x v="4"/>
    <s v="Lucilini"/>
    <s v="Lucila"/>
    <s v="sp_A"/>
    <x v="10"/>
    <s v="male"/>
    <s v="oregano"/>
    <s v="crop"/>
    <s v="Lamiaceae"/>
    <s v="Origanum"/>
    <s v="vulgare"/>
    <s v="Origanum vulgare"/>
    <s v="Not Native"/>
    <s v="WhitePink"/>
    <x v="9"/>
    <x v="1"/>
    <x v="0"/>
    <s v="NA"/>
    <s v="Robyn Fowler"/>
    <s v="2 pollinators 1 bag (2/2)"/>
  </r>
  <r>
    <n v="958"/>
    <n v="1266"/>
    <d v="2021-07-07T00:00:00"/>
    <s v="WVIMiJardinVerde"/>
    <s v="Gabriella Pardee"/>
    <s v="Netting"/>
    <x v="0"/>
    <s v="HoneyBee"/>
    <x v="0"/>
    <s v="Apini"/>
    <s v="Apis"/>
    <s v="mellifera"/>
    <x v="2"/>
    <s v="female"/>
    <s v="oregano"/>
    <s v="crop"/>
    <s v="Lamiaceae"/>
    <s v="Origanum"/>
    <s v="vulgare"/>
    <s v="Origanum vulgare"/>
    <s v="Not Native"/>
    <s v="WhitePink"/>
    <x v="9"/>
    <x v="1"/>
    <x v="0"/>
    <s v="Nectar"/>
    <s v="Jenny Hsu"/>
    <m/>
  </r>
  <r>
    <n v="590"/>
    <n v="689"/>
    <d v="2021-07-07T00:00:00"/>
    <s v="SeniorCenter"/>
    <s v="Azucena Luctaero"/>
    <s v="Netting"/>
    <x v="1"/>
    <s v="Hoverfly"/>
    <x v="2"/>
    <s v="Syrphini"/>
    <s v="Sphaerophoria"/>
    <s v="sulphuripes"/>
    <x v="40"/>
    <m/>
    <s v="sweet pea"/>
    <s v="crop"/>
    <s v="Fabaceae"/>
    <s v="Lathryus"/>
    <s v="odoratus"/>
    <s v="Lathryus odoratus"/>
    <s v="Not Native"/>
    <s v="WhitePinkPurple"/>
    <x v="3"/>
    <x v="4"/>
    <x v="0"/>
    <s v="NA"/>
    <s v="Jenny Hsu"/>
    <m/>
  </r>
  <r>
    <n v="1716"/>
    <n v="803"/>
    <d v="2021-07-07T00:00:00"/>
    <s v="SeniorCenter"/>
    <s v="Azucena Luctaero"/>
    <s v="Netting"/>
    <x v="0"/>
    <s v="CarpenterBee"/>
    <x v="0"/>
    <s v="Xylocopini"/>
    <s v="Xylocopa"/>
    <s v="tabaniformis"/>
    <x v="14"/>
    <s v="female"/>
    <s v="sweet pea"/>
    <s v="crop"/>
    <s v="Fabaceae"/>
    <s v="Lathryus"/>
    <s v="odoratus"/>
    <s v="Lathryus odoratus"/>
    <s v="Not Native"/>
    <s v="WhitePinkPurple"/>
    <x v="3"/>
    <x v="4"/>
    <x v="0"/>
    <s v="NA"/>
    <s v="Janine Tan"/>
    <s v="carpenter bee"/>
  </r>
  <r>
    <n v="1072"/>
    <n v="375"/>
    <d v="2021-07-10T00:00:00"/>
    <s v="LagunaSeca"/>
    <s v="Azucena Luctaero"/>
    <s v="Netting"/>
    <x v="0"/>
    <s v="HoneyBee"/>
    <x v="0"/>
    <s v="Apini"/>
    <s v="Apis"/>
    <s v="mellifera"/>
    <x v="2"/>
    <s v="female"/>
    <s v="Spearmint"/>
    <s v="crop"/>
    <s v="Lamiaceae"/>
    <s v="Mentha"/>
    <s v="spicata"/>
    <s v="Mentha spicata"/>
    <s v="Not Native"/>
    <s v="WhitePinkPurple"/>
    <x v="8"/>
    <x v="1"/>
    <x v="0"/>
    <s v="NA"/>
    <s v="Jenny Hsu"/>
    <m/>
  </r>
  <r>
    <n v="1038"/>
    <n v="1442"/>
    <d v="2021-07-10T00:00:00"/>
    <s v="LagunaSeca"/>
    <s v="Azucena Luctaero"/>
    <s v="Netting"/>
    <x v="0"/>
    <s v="HoneyBee"/>
    <x v="0"/>
    <s v="Apini"/>
    <s v="Apis"/>
    <s v="mellifera"/>
    <x v="2"/>
    <s v="female"/>
    <s v="Spearmint"/>
    <s v="crop"/>
    <s v="Lamiaceae"/>
    <s v="Mentha"/>
    <s v="spicata"/>
    <s v="Mentha spicata"/>
    <s v="Not Native"/>
    <s v="WhitePinkPurple"/>
    <x v="8"/>
    <x v="1"/>
    <x v="1"/>
    <s v="NA"/>
    <s v="Jenny Hsu"/>
    <m/>
  </r>
  <r>
    <n v="1206"/>
    <n v="1753"/>
    <d v="2021-07-09T00:00:00"/>
    <s v="Prusch"/>
    <s v="Robyn Fowler"/>
    <s v="Netting"/>
    <x v="1"/>
    <s v="Hoverfly"/>
    <x v="2"/>
    <s v="Milesini"/>
    <s v="Syritta"/>
    <s v="pipiens"/>
    <x v="11"/>
    <m/>
    <s v="Spearmint"/>
    <s v="crop"/>
    <s v="Lamiaceae"/>
    <s v="Mentha"/>
    <s v="spicata"/>
    <s v="Mentha spicata"/>
    <s v="Not Native"/>
    <s v="WhitePinkPurple"/>
    <x v="8"/>
    <x v="1"/>
    <x v="0"/>
    <s v="NA"/>
    <s v="Jenny Hsu"/>
    <m/>
  </r>
  <r>
    <n v="904"/>
    <n v="1032"/>
    <d v="2021-07-11T00:00:00"/>
    <s v="Chadwick"/>
    <s v="Gabriella Pardee"/>
    <s v="Netting"/>
    <x v="0"/>
    <s v="CarpenterBee"/>
    <x v="0"/>
    <s v="Xylocopini"/>
    <s v="Xylocopa"/>
    <s v="tabaniformis"/>
    <x v="14"/>
    <s v="female"/>
    <s v="sage, white"/>
    <s v="ornamental"/>
    <s v="Lamiaceae"/>
    <s v="Salvia"/>
    <s v="apiana"/>
    <s v="Salvia apiana"/>
    <s v="Native"/>
    <s v="WhitePurple"/>
    <x v="9"/>
    <x v="2"/>
    <x v="0"/>
    <s v="NA"/>
    <s v="Jenny Hsu"/>
    <m/>
  </r>
  <r>
    <n v="1469"/>
    <n v="2266"/>
    <d v="2021-07-11T00:00:00"/>
    <s v="FarmGardenUCSC"/>
    <s v="Gabriella Pardee"/>
    <s v="Netting"/>
    <x v="0"/>
    <s v="BumbleBee"/>
    <x v="0"/>
    <s v="Bombini"/>
    <s v="Bombus"/>
    <s v="vosnesenskii"/>
    <x v="0"/>
    <s v="male"/>
    <s v="sage, white"/>
    <s v="ornamental"/>
    <s v="Lamiaceae"/>
    <s v="Salvia"/>
    <s v="apiana"/>
    <s v="Salvia apiana"/>
    <s v="Native"/>
    <s v="WhitePurple"/>
    <x v="9"/>
    <x v="2"/>
    <x v="0"/>
    <s v="NA"/>
    <s v="Jenny Hsu"/>
    <m/>
  </r>
  <r>
    <n v="1126"/>
    <n v="1573"/>
    <d v="2021-07-07T00:00:00"/>
    <s v="Pajaro"/>
    <s v="Azucena Luctaero"/>
    <s v="Netting"/>
    <x v="0"/>
    <s v="HoneyBee"/>
    <x v="0"/>
    <s v="Apini"/>
    <s v="Apis"/>
    <s v="mellifera"/>
    <x v="2"/>
    <s v="female"/>
    <s v="sage, black"/>
    <s v="ornamental"/>
    <s v="Lamiaceae"/>
    <s v="Salvia"/>
    <s v="mellifera"/>
    <s v="Salvia mellifera"/>
    <s v="Native"/>
    <s v="WhitePurple"/>
    <x v="9"/>
    <x v="1"/>
    <x v="0"/>
    <s v="NA"/>
    <s v="Jenny Hsu"/>
    <m/>
  </r>
  <r>
    <n v="421"/>
    <n v="1474"/>
    <d v="2021-07-07T00:00:00"/>
    <s v="Pajaro"/>
    <s v="Azucena Luctaero"/>
    <s v="Netting"/>
    <x v="0"/>
    <s v="BumbleBee"/>
    <x v="0"/>
    <s v="Bombini"/>
    <s v="Bombus"/>
    <s v="vosnesenskii"/>
    <x v="0"/>
    <s v="male"/>
    <s v="sage, black"/>
    <s v="ornamental"/>
    <s v="Lamiaceae"/>
    <s v="Salvia"/>
    <s v="mellifera"/>
    <s v="Salvia mellifera"/>
    <s v="Native"/>
    <s v="WhitePurple"/>
    <x v="9"/>
    <x v="1"/>
    <x v="0"/>
    <s v="NA"/>
    <s v="Robyn Fowler"/>
    <m/>
  </r>
  <r>
    <n v="199"/>
    <n v="1425"/>
    <d v="2021-07-11T00:00:00"/>
    <s v="Trescony"/>
    <s v="Sofie Andrade"/>
    <s v="Netting"/>
    <x v="0"/>
    <s v="BumbleBee"/>
    <x v="0"/>
    <s v="Bombini"/>
    <s v="Bombus"/>
    <s v="vosnesenskii"/>
    <x v="0"/>
    <s v="male"/>
    <s v="purple vervain"/>
    <s v="ornamental"/>
    <s v="Verbenaceae"/>
    <s v="Verbena"/>
    <s v="bonariensis"/>
    <s v="Verbena bonariensis"/>
    <s v="Not Native"/>
    <s v="WhitePurple"/>
    <x v="2"/>
    <x v="1"/>
    <x v="0"/>
    <s v="NA"/>
    <s v="Robyn Fowler"/>
    <m/>
  </r>
  <r>
    <n v="1596"/>
    <n v="583"/>
    <d v="2021-07-11T00:00:00"/>
    <s v="Trescony"/>
    <s v="Robyn Fowler"/>
    <s v="Netting"/>
    <x v="2"/>
    <s v="Butterfly"/>
    <x v="3"/>
    <s v="Pierini"/>
    <s v="Pieris"/>
    <s v="rapae"/>
    <x v="7"/>
    <s v="M"/>
    <s v="vervain"/>
    <s v="ornamental"/>
    <s v="Verbenaceae"/>
    <s v="Verbena"/>
    <s v="officinalis"/>
    <s v="Verbena officinalis"/>
    <s v="Not Native"/>
    <s v="WhitePurple"/>
    <x v="2"/>
    <x v="1"/>
    <x v="0"/>
    <s v="NA"/>
    <s v="Sofie Andrade"/>
    <m/>
  </r>
  <r>
    <n v="208"/>
    <n v="959"/>
    <d v="2021-07-11T00:00:00"/>
    <s v="Trescony"/>
    <s v="Robyn Fowler"/>
    <s v="Netting"/>
    <x v="2"/>
    <s v="Butterfly"/>
    <x v="3"/>
    <s v="Pierini"/>
    <s v="Pieris"/>
    <s v="rapae"/>
    <x v="7"/>
    <s v="F"/>
    <s v="vervain"/>
    <s v="ornamental"/>
    <s v="Verbenaceae"/>
    <s v="Verbena"/>
    <s v="officinalis"/>
    <s v="Verbena officinalis"/>
    <s v="Not Native"/>
    <s v="WhitePurple"/>
    <x v="2"/>
    <x v="1"/>
    <x v="0"/>
    <s v="NA"/>
    <s v="Robyn Fowler"/>
    <m/>
  </r>
  <r>
    <n v="643"/>
    <n v="980"/>
    <d v="2021-07-07T00:00:00"/>
    <s v="ValleVerde"/>
    <s v="Azucena Luctaero"/>
    <s v="Netting"/>
    <x v="1"/>
    <s v="BeeFly"/>
    <x v="15"/>
    <s v="Villini"/>
    <s v="Lepidanthrax"/>
    <s v="sp_A"/>
    <x v="92"/>
    <m/>
    <s v="vervain"/>
    <s v="ornamental"/>
    <s v="Verbenaceae"/>
    <s v="Verbena"/>
    <s v="officinalis"/>
    <s v="Verbena officinalis"/>
    <s v="Not Native"/>
    <s v="WhitePurple"/>
    <x v="2"/>
    <x v="1"/>
    <x v="0"/>
    <s v="NA"/>
    <s v="Jenny Hsu"/>
    <s v="2 poll (979+980)"/>
  </r>
  <r>
    <n v="642"/>
    <n v="979"/>
    <d v="2021-07-07T00:00:00"/>
    <s v="ValleVerde"/>
    <s v="Azucena Luctaero"/>
    <s v="Netting"/>
    <x v="1"/>
    <s v="BeeFly"/>
    <x v="15"/>
    <s v="Villini"/>
    <s v="Lepidanthrax"/>
    <s v="sp_A"/>
    <x v="92"/>
    <m/>
    <s v="vervain"/>
    <s v="ornamental"/>
    <s v="Verbenaceae"/>
    <s v="Verbena"/>
    <s v="officinalis"/>
    <s v="Verbena officinalis"/>
    <s v="Not Native"/>
    <s v="WhitePurple"/>
    <x v="2"/>
    <x v="1"/>
    <x v="0"/>
    <s v="NA"/>
    <s v="Jenny Hsu"/>
    <s v="2 poll (979+980)"/>
  </r>
  <r>
    <n v="639"/>
    <n v="976"/>
    <d v="2021-07-07T00:00:00"/>
    <s v="ValleVerde"/>
    <s v="Azucena Luctaero"/>
    <s v="Netting"/>
    <x v="1"/>
    <s v="BeeFly"/>
    <x v="15"/>
    <s v="Villini"/>
    <s v="Lepidanthrax"/>
    <s v="sp_A"/>
    <x v="92"/>
    <m/>
    <s v="vervain"/>
    <s v="ornamental"/>
    <s v="Verbenaceae"/>
    <s v="Verbena"/>
    <s v="officinalis"/>
    <s v="Verbena officinalis"/>
    <s v="Not Native"/>
    <s v="WhitePurple"/>
    <x v="2"/>
    <x v="1"/>
    <x v="0"/>
    <s v="NA"/>
    <s v="Jenny Hsu"/>
    <m/>
  </r>
  <r>
    <n v="638"/>
    <n v="975"/>
    <d v="2021-07-07T00:00:00"/>
    <s v="ValleVerde"/>
    <s v="Gabriella Pardee"/>
    <s v="Netting"/>
    <x v="1"/>
    <s v="BeeFly"/>
    <x v="15"/>
    <s v="Villini"/>
    <s v="Lepidanthrax"/>
    <s v="sp_A"/>
    <x v="92"/>
    <m/>
    <s v="vervain"/>
    <s v="ornamental"/>
    <s v="Verbenaceae"/>
    <s v="Verbena"/>
    <s v="officinalis"/>
    <s v="Verbena officinalis"/>
    <s v="Not Native"/>
    <s v="WhitePurple"/>
    <x v="2"/>
    <x v="1"/>
    <x v="0"/>
    <s v="Nectar"/>
    <s v="Jenny Hsu"/>
    <m/>
  </r>
  <r>
    <n v="628"/>
    <n v="165"/>
    <d v="2021-07-07T00:00:00"/>
    <s v="ValleVerde"/>
    <s v="Sofie Andrade"/>
    <s v="Netting"/>
    <x v="1"/>
    <s v="BeeFly"/>
    <x v="15"/>
    <s v="Villini"/>
    <s v="Lepidanthrax"/>
    <s v="sp_A"/>
    <x v="92"/>
    <m/>
    <s v="vervain"/>
    <s v="ornamental"/>
    <s v="Verbenaceae"/>
    <s v="Verbena"/>
    <s v="officinalis"/>
    <s v="Verbena officinalis"/>
    <s v="Not Native"/>
    <s v="WhitePurple"/>
    <x v="2"/>
    <x v="1"/>
    <x v="0"/>
    <s v="NA"/>
    <s v="Jenny Hsu"/>
    <m/>
  </r>
  <r>
    <n v="384"/>
    <n v="480"/>
    <d v="2021-07-07T00:00:00"/>
    <s v="ValleVerde"/>
    <s v="Sofie Andrade"/>
    <s v="Netting"/>
    <x v="0"/>
    <s v="BumbleBee"/>
    <x v="0"/>
    <s v="Bombini"/>
    <s v="Bombus"/>
    <s v="vosnesenskii"/>
    <x v="0"/>
    <s v="male"/>
    <s v="vervain"/>
    <s v="ornamental"/>
    <s v="Verbenaceae"/>
    <s v="Verbena"/>
    <s v="officinalis"/>
    <s v="Verbena officinalis"/>
    <s v="Not Native"/>
    <s v="WhitePurple"/>
    <x v="2"/>
    <x v="1"/>
    <x v="0"/>
    <s v="NA"/>
    <s v="Robyn Fowler"/>
    <m/>
  </r>
  <r>
    <n v="617"/>
    <n v="214"/>
    <d v="2021-07-09T00:00:00"/>
    <s v="Guadalupe"/>
    <s v="Jenny Hsu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1"/>
    <s v="NA"/>
    <s v="Jenny Hsu"/>
    <s v="2 poll (213+214)"/>
  </r>
  <r>
    <n v="616"/>
    <n v="213"/>
    <d v="2021-07-09T00:00:00"/>
    <s v="Guadalupe"/>
    <s v="Jenny Hsu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1"/>
    <s v="NA"/>
    <s v="Jenny Hsu"/>
    <s v="2 poll (213+214)"/>
  </r>
  <r>
    <n v="622"/>
    <n v="219"/>
    <d v="2021-07-09T00:00:00"/>
    <s v="Guadalupe"/>
    <s v="Jenny Hsu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1"/>
    <s v="NA"/>
    <s v="Jenny Hsu"/>
    <m/>
  </r>
  <r>
    <n v="614"/>
    <n v="1385"/>
    <d v="2021-07-09T00:00:00"/>
    <s v="Guadalupe"/>
    <s v="Robyn Fowler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1"/>
    <s v="NA"/>
    <s v="Jenny Hsu"/>
    <m/>
  </r>
  <r>
    <n v="263"/>
    <n v="1469"/>
    <d v="2021-07-09T00:00:00"/>
    <s v="Guadalupe"/>
    <s v="Gabriella Pardee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0"/>
    <s v="NA"/>
    <s v="Robyn Fowler"/>
    <m/>
  </r>
  <r>
    <n v="103"/>
    <n v="110"/>
    <d v="2021-07-09T00:00:00"/>
    <s v="Guadalupe"/>
    <s v="Gabriella Pardee"/>
    <s v="Netting"/>
    <x v="0"/>
    <s v="HoneyBee"/>
    <x v="0"/>
    <s v="Apini"/>
    <s v="Apis"/>
    <s v="mellifera"/>
    <x v="2"/>
    <s v="female"/>
    <s v="frog fruit"/>
    <s v="ornamental"/>
    <s v="Verbenaceae"/>
    <s v="Phyla"/>
    <s v="nodiflora"/>
    <s v="Phyla nodiflora"/>
    <s v="Native"/>
    <s v="WhiteRed"/>
    <x v="3"/>
    <x v="2"/>
    <x v="0"/>
    <s v="NA"/>
    <s v="Edith Gonzales"/>
    <m/>
  </r>
  <r>
    <n v="290"/>
    <n v="904"/>
    <d v="2021-07-09T00:00:00"/>
    <s v="Guadalupe"/>
    <s v="Gabriella Pardee"/>
    <s v="Netting"/>
    <x v="0"/>
    <s v="SweatBee"/>
    <x v="1"/>
    <s v="Halictini"/>
    <s v="Lasioglossum"/>
    <s v="sp_F"/>
    <x v="22"/>
    <s v="male"/>
    <s v="frog fruit"/>
    <s v="ornamental"/>
    <s v="Verbenaceae"/>
    <s v="Phyla"/>
    <s v="nodiflora"/>
    <s v="Phyla nodiflora"/>
    <s v="Native"/>
    <s v="WhiteRed"/>
    <x v="3"/>
    <x v="2"/>
    <x v="0"/>
    <s v="NA"/>
    <s v="Robyn Fowler"/>
    <s v="2 pollinators 1 bag (1/2)"/>
  </r>
  <r>
    <n v="291"/>
    <n v="905"/>
    <d v="2021-07-09T00:00:00"/>
    <s v="Guadalupe"/>
    <s v="Gabriella Pardee"/>
    <s v="Netting"/>
    <x v="0"/>
    <s v="SweatBee"/>
    <x v="1"/>
    <s v="Halictini"/>
    <s v="Lasioglossum"/>
    <s v="sp_F"/>
    <x v="22"/>
    <s v="male"/>
    <s v="frog fruit"/>
    <s v="ornamental"/>
    <s v="Verbenaceae"/>
    <s v="Phyla"/>
    <s v="nodiflora"/>
    <s v="Phyla nodiflora"/>
    <s v="Native"/>
    <s v="WhiteRed"/>
    <x v="3"/>
    <x v="2"/>
    <x v="0"/>
    <s v="NA"/>
    <s v="Robyn Fowler"/>
    <s v="2 pollinators 1 bag (2/2), body in 3 pieces - put in blue vial"/>
  </r>
  <r>
    <n v="257"/>
    <n v="1463"/>
    <d v="2021-07-07T00:00:00"/>
    <s v="Aptos"/>
    <s v="Gabriella Pardee"/>
    <s v="Netting"/>
    <x v="0"/>
    <s v="SweatBee"/>
    <x v="1"/>
    <s v="Halictini"/>
    <s v="Halictus"/>
    <s v="tripartitus"/>
    <x v="4"/>
    <s v="female"/>
    <s v="shasta daisy"/>
    <s v="ornamental"/>
    <s v="Asteraceae"/>
    <s v="Leucanthemum"/>
    <s v="superbum"/>
    <s v="Leucanthemum superbum"/>
    <s v="Not Native"/>
    <s v="WhiteYellow"/>
    <x v="9"/>
    <x v="0"/>
    <x v="0"/>
    <s v="Pollen"/>
    <s v="Robyn Fowler"/>
    <m/>
  </r>
  <r>
    <n v="781"/>
    <n v="1310"/>
    <d v="2021-07-10T00:00:00"/>
    <s v="HomelessGardenProject"/>
    <s v="Jenny Hsu"/>
    <s v="Netting"/>
    <x v="0"/>
    <s v="SweatBee"/>
    <x v="1"/>
    <s v="Halictini"/>
    <s v="Lasioglossum"/>
    <s v="sp_E"/>
    <x v="78"/>
    <s v="female"/>
    <s v="shasta daisy"/>
    <s v="ornamental"/>
    <s v="Asteraceae"/>
    <s v="Leucanthemum"/>
    <s v="superbum"/>
    <s v="Leucanthemum superbum"/>
    <s v="Not Native"/>
    <s v="WhiteYellow"/>
    <x v="9"/>
    <x v="0"/>
    <x v="1"/>
    <s v="NA"/>
    <s v="Jenny Hsu"/>
    <m/>
  </r>
  <r>
    <n v="606"/>
    <n v="705"/>
    <d v="2021-07-07T00:00:00"/>
    <s v="Aptos"/>
    <s v="Jenny Hsu"/>
    <s v="Netting"/>
    <x v="1"/>
    <s v="OtherFly"/>
    <x v="8"/>
    <m/>
    <s v="anthomyid"/>
    <s v="sp_B"/>
    <x v="86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s v="2 poll (705+706)"/>
  </r>
  <r>
    <n v="607"/>
    <n v="706"/>
    <d v="2021-07-07T00:00:00"/>
    <s v="Aptos"/>
    <s v="Jenny Hsu"/>
    <s v="Netting"/>
    <x v="0"/>
    <s v="SweatBee"/>
    <x v="1"/>
    <s v="Halictini"/>
    <s v="Halictus"/>
    <s v="tripartitus"/>
    <x v="4"/>
    <s v="female"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s v="2 poll (705+706)"/>
  </r>
  <r>
    <n v="158"/>
    <n v="1174"/>
    <d v="2021-07-11T00:00:00"/>
    <s v="Grange"/>
    <s v="Sofie Andrade"/>
    <s v="Netting"/>
    <x v="2"/>
    <s v="Butterfly"/>
    <x v="6"/>
    <s v="Pyrgini"/>
    <s v="Burnsius"/>
    <s v="albescens"/>
    <x v="93"/>
    <s v="M"/>
    <s v="chamomile"/>
    <s v="crop"/>
    <s v="Asteraceae"/>
    <s v="Matricaria"/>
    <s v="chamomilla"/>
    <s v="Matricaria chamomilla"/>
    <s v="Not Native"/>
    <s v="WhiteYellow"/>
    <x v="9"/>
    <x v="0"/>
    <x v="0"/>
    <s v="NA"/>
    <s v="Robyn Fowler"/>
    <m/>
  </r>
  <r>
    <n v="814"/>
    <n v="1391"/>
    <d v="2021-07-10T00:00:00"/>
    <s v="HomelessGardenProject"/>
    <s v="Azucena Luctaero"/>
    <s v="Netting"/>
    <x v="1"/>
    <s v="Hoverfly"/>
    <x v="2"/>
    <s v="Paragini"/>
    <s v="Paragus"/>
    <s v="haemorrhous"/>
    <x v="45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m/>
  </r>
  <r>
    <n v="816"/>
    <n v="1393"/>
    <d v="2021-07-10T00:00:00"/>
    <s v="HomelessGardenProject"/>
    <s v="Jenny Hsu"/>
    <s v="Netting"/>
    <x v="1"/>
    <s v="OtherFly"/>
    <x v="12"/>
    <m/>
    <s v="tachinid"/>
    <s v="sp_G"/>
    <x v="62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m/>
  </r>
  <r>
    <n v="791"/>
    <n v="1320"/>
    <d v="2021-07-10T00:00:00"/>
    <s v="HomelessGardenProject"/>
    <s v="Stacy Philpott"/>
    <s v="Netting"/>
    <x v="1"/>
    <s v="OtherFly"/>
    <x v="12"/>
    <m/>
    <s v="tachinid"/>
    <s v="sp_G"/>
    <x v="62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m/>
  </r>
  <r>
    <n v="1043"/>
    <n v="1447"/>
    <d v="2021-07-10T00:00:00"/>
    <s v="LagunaSeca"/>
    <s v="Gabriella Pardee"/>
    <s v="Netting"/>
    <x v="0"/>
    <s v="SweatBee"/>
    <x v="1"/>
    <s v="Halictini"/>
    <s v="Halictus"/>
    <s v="ligatus"/>
    <x v="32"/>
    <s v="female"/>
    <s v="chamomile"/>
    <s v="crop"/>
    <s v="Asteraceae"/>
    <s v="Matricaria"/>
    <s v="chamomilla"/>
    <s v="Matricaria chamomilla"/>
    <s v="Not Native"/>
    <s v="WhiteYellow"/>
    <x v="9"/>
    <x v="0"/>
    <x v="0"/>
    <s v="Pollen"/>
    <s v="Jenny Hsu"/>
    <m/>
  </r>
  <r>
    <n v="1014"/>
    <n v="1370"/>
    <d v="2021-07-08T00:00:00"/>
    <s v="MEarth"/>
    <s v="Stacy Philpott"/>
    <s v="Netting"/>
    <x v="1"/>
    <s v="Hoverfly"/>
    <x v="2"/>
    <s v="Paragini"/>
    <s v="Paragus"/>
    <s v="haemorrhous"/>
    <x v="45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m/>
  </r>
  <r>
    <n v="1152"/>
    <n v="1649"/>
    <d v="2021-07-07T00:00:00"/>
    <s v="Pajaro"/>
    <s v="Azucena Luctaero"/>
    <s v="Netting"/>
    <x v="1"/>
    <s v="OtherFly"/>
    <x v="8"/>
    <m/>
    <s v="anthomyid"/>
    <s v="sp_A"/>
    <x v="24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m/>
  </r>
  <r>
    <n v="1732"/>
    <n v="819"/>
    <d v="2021-07-07T00:00:00"/>
    <s v="SeniorCenter"/>
    <s v="Sofie Andrade"/>
    <s v="Netting"/>
    <x v="1"/>
    <s v="OtherFly"/>
    <x v="8"/>
    <m/>
    <s v="anthomyid"/>
    <s v="sp_B"/>
    <x v="86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anine Tan"/>
    <m/>
  </r>
  <r>
    <n v="1731"/>
    <n v="818"/>
    <d v="2021-07-07T00:00:00"/>
    <s v="SeniorCenter"/>
    <s v="Sofie Andrade"/>
    <s v="Netting"/>
    <x v="1"/>
    <s v="OtherFly"/>
    <x v="8"/>
    <m/>
    <s v="anthomyid"/>
    <s v="sp_B"/>
    <x v="86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anine Tan"/>
    <m/>
  </r>
  <r>
    <n v="1688"/>
    <n v="567"/>
    <d v="2021-07-11T00:00:00"/>
    <s v="Trescony"/>
    <s v="Jenny Hsu"/>
    <s v="Netting"/>
    <x v="1"/>
    <s v="Hoverfly"/>
    <x v="2"/>
    <s v="Milesini"/>
    <s v="Syritta"/>
    <s v="pipiens"/>
    <x v="11"/>
    <m/>
    <s v="chamomile"/>
    <s v="crop"/>
    <s v="Asteraceae"/>
    <s v="Matricaria"/>
    <s v="chamomilla"/>
    <s v="Matricaria chamomilla"/>
    <s v="Not Native"/>
    <s v="WhiteYellow"/>
    <x v="9"/>
    <x v="0"/>
    <x v="0"/>
    <s v="NA"/>
    <s v="Janine Tan"/>
    <m/>
  </r>
  <r>
    <n v="563"/>
    <n v="194"/>
    <d v="2021-07-11T00:00:00"/>
    <s v="Trescony"/>
    <s v="Gabriella Pardee"/>
    <s v="Netting"/>
    <x v="0"/>
    <s v="SweatBee"/>
    <x v="1"/>
    <s v="Halictini"/>
    <s v="Lasioglossum"/>
    <s v="sp_G"/>
    <x v="8"/>
    <s v="female"/>
    <s v="chamomile"/>
    <s v="crop"/>
    <s v="Asteraceae"/>
    <s v="Matricaria"/>
    <s v="chamomilla"/>
    <s v="Matricaria chamomilla"/>
    <s v="Not Native"/>
    <s v="WhiteYellow"/>
    <x v="9"/>
    <x v="0"/>
    <x v="0"/>
    <s v="NA"/>
    <s v="Jenny Hsu"/>
    <s v="2 poll (194+195)"/>
  </r>
  <r>
    <n v="1677"/>
    <n v="450"/>
    <d v="2021-07-11T00:00:00"/>
    <s v="Trescony"/>
    <s v="Gabriella Pardee"/>
    <s v="Netting"/>
    <x v="0"/>
    <s v="SweatBee"/>
    <x v="1"/>
    <s v="Halictini"/>
    <s v="Lasioglossum"/>
    <s v="sp_G"/>
    <x v="8"/>
    <s v="female"/>
    <s v="chamomile"/>
    <s v="crop"/>
    <s v="Asteraceae"/>
    <s v="Matricaria"/>
    <s v="chamomilla"/>
    <s v="Matricaria chamomilla"/>
    <s v="Not Native"/>
    <s v="WhiteYellow"/>
    <x v="9"/>
    <x v="0"/>
    <x v="0"/>
    <s v="NA"/>
    <s v="Janine Tan"/>
    <m/>
  </r>
  <r>
    <n v="1008"/>
    <n v="1364"/>
    <d v="2021-07-08T00:00:00"/>
    <s v="MEarth"/>
    <s v="Gabriella Pardee"/>
    <s v="Netting"/>
    <x v="0"/>
    <s v="BumbleBee"/>
    <x v="0"/>
    <s v="Bombini"/>
    <s v="Bombus"/>
    <s v="caliginosus"/>
    <x v="6"/>
    <s v="female"/>
    <s v="Primrose"/>
    <s v="ornamental"/>
    <s v="Primulaceae"/>
    <s v="Primula"/>
    <s v="vulgaris"/>
    <s v="Primula vulgaris"/>
    <s v="Not Native"/>
    <s v="WhiteYellow"/>
    <x v="1"/>
    <x v="0"/>
    <x v="0"/>
    <s v="NA"/>
    <s v="Jenny Hsu"/>
    <m/>
  </r>
  <r>
    <n v="1019"/>
    <n v="1375"/>
    <d v="2021-07-08T00:00:00"/>
    <s v="MEarth"/>
    <s v="Gabriella Pardee"/>
    <s v="Netting"/>
    <x v="0"/>
    <s v="SweatBee"/>
    <x v="1"/>
    <s v="Halictini"/>
    <s v="Halictus"/>
    <s v="tripartitus"/>
    <x v="4"/>
    <s v="female"/>
    <s v="Primrose"/>
    <s v="ornamental"/>
    <s v="Primulaceae"/>
    <s v="Primula"/>
    <s v="vulgaris"/>
    <s v="Primula vulgaris"/>
    <s v="Not Native"/>
    <s v="WhiteYellow"/>
    <x v="1"/>
    <x v="0"/>
    <x v="0"/>
    <s v="NA"/>
    <s v="Jenny Hsu"/>
    <m/>
  </r>
  <r>
    <n v="1009"/>
    <n v="1365"/>
    <d v="2021-07-08T00:00:00"/>
    <s v="MEarth"/>
    <s v="Stacy Philpott"/>
    <s v="Netting"/>
    <x v="0"/>
    <s v="SweatBee"/>
    <x v="1"/>
    <s v="Halictini"/>
    <s v="Lasioglossum"/>
    <s v="sp_B"/>
    <x v="47"/>
    <s v="female"/>
    <s v="Primrose"/>
    <s v="ornamental"/>
    <s v="Primulaceae"/>
    <s v="Primula"/>
    <s v="vulgaris"/>
    <s v="Primula vulgaris"/>
    <s v="Not Native"/>
    <s v="WhiteYellow"/>
    <x v="1"/>
    <x v="0"/>
    <x v="0"/>
    <s v="NA"/>
    <s v="Jenny Hsu"/>
    <m/>
  </r>
  <r>
    <n v="592"/>
    <n v="691"/>
    <d v="2021-07-07T00:00:00"/>
    <s v="SeniorCenter"/>
    <s v="Azucena Luctaero"/>
    <s v="Netting"/>
    <x v="1"/>
    <s v="Hoverfly"/>
    <x v="2"/>
    <s v="Syrphini"/>
    <s v="Allograpta"/>
    <s v="obliqua"/>
    <x v="5"/>
    <m/>
    <s v="common primrose"/>
    <s v="ornamental"/>
    <s v="Primulaceae"/>
    <s v="Primula"/>
    <s v="vulgaris"/>
    <s v="Primula vulgaris"/>
    <s v="Not Native"/>
    <s v="WhiteYellow"/>
    <x v="1"/>
    <x v="0"/>
    <x v="0"/>
    <s v="NA"/>
    <s v="Jenny Hsu"/>
    <m/>
  </r>
  <r>
    <n v="1728"/>
    <n v="815"/>
    <d v="2021-07-07T00:00:00"/>
    <s v="SeniorCenter"/>
    <s v="Azucena Luctaero"/>
    <s v="Netting"/>
    <x v="0"/>
    <s v="HoneyBee"/>
    <x v="0"/>
    <s v="Apini"/>
    <s v="Apis"/>
    <s v="mellifera"/>
    <x v="2"/>
    <s v="female"/>
    <s v="common primrose"/>
    <s v="ornamental"/>
    <s v="Primulaceae"/>
    <s v="Primula"/>
    <s v="vulgaris"/>
    <s v="Primula vulgaris"/>
    <s v="Not Native"/>
    <s v="WhiteYellow"/>
    <x v="1"/>
    <x v="0"/>
    <x v="0"/>
    <s v="NA"/>
    <s v="Janine Tan"/>
    <s v="bee"/>
  </r>
  <r>
    <n v="1083"/>
    <n v="1135"/>
    <d v="2021-07-10T00:00:00"/>
    <s v="LagunaSeca"/>
    <s v="Gabriella Pardee"/>
    <s v="Netting"/>
    <x v="0"/>
    <s v="BumbleBee"/>
    <x v="0"/>
    <s v="Bombini"/>
    <s v="Bombus"/>
    <s v="vosnesenskii"/>
    <x v="0"/>
    <s v="female"/>
    <s v="Malvella"/>
    <s v="ornamental"/>
    <s v="Malvaceae"/>
    <s v="Malvella"/>
    <s v="sp."/>
    <s v="Malvella sp. A"/>
    <s v="U"/>
    <s v="WhiteYellow"/>
    <x v="9"/>
    <x v="0"/>
    <x v="0"/>
    <s v="Pollen"/>
    <s v="Jenny Hsu"/>
    <m/>
  </r>
  <r>
    <n v="1758"/>
    <n v="96"/>
    <d v="2021-07-07T00:00:00"/>
    <s v="Aptos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anine Tan"/>
    <m/>
  </r>
  <r>
    <n v="1362"/>
    <n v="2426"/>
    <d v="2021-07-09T00:00:00"/>
    <s v="Berryessa"/>
    <s v="Sofie Andrade"/>
    <s v="Netting"/>
    <x v="0"/>
    <s v="OtherBee"/>
    <x v="7"/>
    <s v="Colletini"/>
    <s v="Hylaeus"/>
    <s v="sp_C"/>
    <x v="43"/>
    <s v="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s v="2 poll (2159+2160)"/>
  </r>
  <r>
    <s v="male"/>
    <n v="45"/>
    <d v="2021-07-09T00:00:00"/>
    <s v="CharlesStreet"/>
    <s v="Jenny Hsu"/>
    <s v="Netting"/>
    <x v="0"/>
    <s v="OtherBee"/>
    <x v="5"/>
    <s v="Megachilini"/>
    <s v="Megachile"/>
    <s v="centuncularis"/>
    <x v="90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171"/>
    <n v="1257"/>
    <d v="2021-07-11T00:00:00"/>
    <s v="Grange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Robyn Fowler"/>
    <s v="2 pollinators 1 bag (1/2)"/>
  </r>
  <r>
    <n v="1656"/>
    <n v="427"/>
    <d v="2021-07-11T00:00:00"/>
    <s v="Grange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anine Tan"/>
    <m/>
  </r>
  <r>
    <n v="522"/>
    <n v="62"/>
    <d v="2021-07-11T00:00:00"/>
    <s v="Grange"/>
    <s v="Sofie Andrade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170"/>
    <n v="1256"/>
    <d v="2021-07-11T00:00:00"/>
    <s v="Grange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Robyn Fowler"/>
    <m/>
  </r>
  <r>
    <n v="172"/>
    <n v="1258"/>
    <d v="2021-07-11T00:00:00"/>
    <s v="Grange"/>
    <s v="Jenny Hsu"/>
    <s v="Netting"/>
    <x v="0"/>
    <s v="SweatBee"/>
    <x v="1"/>
    <s v="Halictini"/>
    <s v="Halictus"/>
    <s v="tripartitus"/>
    <x v="4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Robyn Fowler"/>
    <s v="2 pollinators 1 bag (2/2)"/>
  </r>
  <r>
    <n v="980"/>
    <n v="1288"/>
    <d v="2021-07-08T00:00:00"/>
    <s v="MEarth"/>
    <s v="Jenny Hsu"/>
    <s v="Netting"/>
    <x v="1"/>
    <s v="Hoverfly"/>
    <x v="2"/>
    <s v="Syrphini"/>
    <s v="Sphaerophoria"/>
    <s v="sulphuripes"/>
    <x v="40"/>
    <m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1025"/>
    <n v="839"/>
    <d v="2021-07-08T00:00:00"/>
    <s v="MEarth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1004"/>
    <n v="1360"/>
    <d v="2021-07-08T00:00:00"/>
    <s v="MEarth"/>
    <s v="Edith Gonzales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741"/>
    <n v="1222"/>
    <d v="2021-07-08T00:00:00"/>
    <s v="Natividad"/>
    <s v="Jenny Hsu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743"/>
    <n v="1224"/>
    <d v="2021-07-08T00:00:00"/>
    <s v="Natividad"/>
    <s v="Jenny Hsu"/>
    <s v="Netting"/>
    <x v="0"/>
    <s v="BumbleBee"/>
    <x v="0"/>
    <s v="Bombini"/>
    <s v="Bombus"/>
    <s v="vosnesenskii"/>
    <x v="0"/>
    <s v="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740"/>
    <n v="547"/>
    <d v="2021-07-08T00:00:00"/>
    <s v="Natividad"/>
    <s v="Jenny Hsu"/>
    <s v="Netting"/>
    <x v="0"/>
    <s v="BumbleBee"/>
    <x v="0"/>
    <s v="Bombini"/>
    <s v="Bombus"/>
    <s v="vosnesenskii"/>
    <x v="0"/>
    <s v="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692"/>
    <n v="1077"/>
    <d v="2021-07-08T00:00:00"/>
    <s v="PacificGrove"/>
    <s v="Stacy Philpott"/>
    <s v="Netting"/>
    <x v="0"/>
    <s v="HoneyBee"/>
    <x v="0"/>
    <s v="Apini"/>
    <s v="Apis"/>
    <s v="mellifera"/>
    <x v="2"/>
    <s v="female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710"/>
    <n v="1143"/>
    <d v="2021-07-08T00:00:00"/>
    <s v="PacificGrove"/>
    <s v="Jenny Hsu"/>
    <s v="Netting"/>
    <x v="2"/>
    <s v="Butterfly"/>
    <x v="3"/>
    <s v="Pierini"/>
    <s v="Pieris"/>
    <s v="rapae"/>
    <x v="7"/>
    <s v="M"/>
    <s v="mustard green"/>
    <s v="crop"/>
    <s v="Brassicaceae"/>
    <s v="Brassica"/>
    <s v="juncea"/>
    <s v="Brassica juncea"/>
    <s v="Not Native"/>
    <s v="Yellow"/>
    <x v="7"/>
    <x v="0"/>
    <x v="0"/>
    <s v="NA"/>
    <s v="Jenny Hsu"/>
    <m/>
  </r>
  <r>
    <n v="209"/>
    <n v="960"/>
    <d v="2021-07-11T00:00:00"/>
    <s v="Trescony"/>
    <s v="Jenny Hsu"/>
    <s v="Netting"/>
    <x v="2"/>
    <s v="Butterfly"/>
    <x v="3"/>
    <s v="Pierini"/>
    <s v="Pieris"/>
    <s v="rapae"/>
    <x v="7"/>
    <s v="M"/>
    <s v="mustard green"/>
    <s v="crop"/>
    <s v="Brassicaceae"/>
    <s v="Brassica"/>
    <s v="juncea"/>
    <s v="Brassica juncea"/>
    <s v="Not Native"/>
    <s v="Yellow"/>
    <x v="7"/>
    <x v="0"/>
    <x v="0"/>
    <s v="NA"/>
    <s v="Robyn Fowler"/>
    <m/>
  </r>
  <r>
    <n v="1485"/>
    <n v="2332"/>
    <d v="2021-07-11T00:00:00"/>
    <s v="FarmGardenUCSC"/>
    <s v="Sofie Andrade"/>
    <s v="Netting"/>
    <x v="0"/>
    <s v="HoneyBee"/>
    <x v="0"/>
    <s v="Apini"/>
    <s v="Apis"/>
    <s v="mellifera"/>
    <x v="2"/>
    <s v="female"/>
    <s v="mustard, black"/>
    <s v="crop"/>
    <s v="Brassicaceae"/>
    <s v="Brassica"/>
    <s v="nigra"/>
    <s v="Brassica nigra"/>
    <s v="Not Native"/>
    <s v="Yellow"/>
    <x v="7"/>
    <x v="0"/>
    <x v="0"/>
    <s v="NA"/>
    <s v="Jenny Hsu"/>
    <m/>
  </r>
  <r>
    <n v="1477"/>
    <n v="2324"/>
    <d v="2021-07-11T00:00:00"/>
    <s v="FarmGardenUCSC"/>
    <s v="Sofie Andrade"/>
    <s v="Netting"/>
    <x v="0"/>
    <s v="HoneyBee"/>
    <x v="0"/>
    <s v="Apini"/>
    <s v="Apis"/>
    <s v="mellifera"/>
    <x v="2"/>
    <s v="female"/>
    <s v="mustard, black"/>
    <s v="crop"/>
    <s v="Brassicaceae"/>
    <s v="Brassica"/>
    <s v="nigra"/>
    <s v="Brassica nigra"/>
    <s v="Not Native"/>
    <s v="Yellow"/>
    <x v="7"/>
    <x v="0"/>
    <x v="0"/>
    <s v="NA"/>
    <s v="Jenny Hsu"/>
    <m/>
  </r>
  <r>
    <n v="1443"/>
    <n v="2240"/>
    <d v="2021-07-11T00:00:00"/>
    <s v="FarmGardenUCSC"/>
    <s v="Sofie Andrade"/>
    <s v="Netting"/>
    <x v="0"/>
    <s v="HoneyBee"/>
    <x v="0"/>
    <s v="Apini"/>
    <s v="Apis"/>
    <s v="mellifera"/>
    <x v="2"/>
    <s v="female"/>
    <s v="mustard, black"/>
    <s v="crop"/>
    <s v="Brassicaceae"/>
    <s v="Brassica"/>
    <s v="nigra"/>
    <s v="Brassica nigra"/>
    <s v="Not Native"/>
    <s v="Yellow"/>
    <x v="7"/>
    <x v="0"/>
    <x v="1"/>
    <s v="NA"/>
    <s v="Jenny Hsu"/>
    <m/>
  </r>
  <r>
    <n v="605"/>
    <n v="704"/>
    <d v="2021-07-07T00:00:00"/>
    <s v="Aptos"/>
    <s v="Jenny Hsu"/>
    <s v="Netting"/>
    <x v="1"/>
    <s v="Hoverfly"/>
    <x v="2"/>
    <s v="Syrphini"/>
    <s v="Eupeodes"/>
    <s v="fumipennis"/>
    <x v="51"/>
    <m/>
    <s v="broccoli"/>
    <s v="crop"/>
    <s v="Brassicaceae"/>
    <s v="Brassica"/>
    <s v="oleraceae"/>
    <s v="Brassica oleraceae"/>
    <s v="Not Native"/>
    <s v="Yellow"/>
    <x v="7"/>
    <x v="0"/>
    <x v="0"/>
    <s v="NA"/>
    <s v="Jenny Hsu"/>
    <m/>
  </r>
  <r>
    <n v="250"/>
    <n v="1301"/>
    <d v="2021-07-07T00:00:00"/>
    <s v="Aptos"/>
    <s v="Azucena Luctaero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0"/>
    <s v="NA"/>
    <s v="Robyn Fowler"/>
    <s v="has corbicula pollen vial"/>
  </r>
  <r>
    <n v="1748"/>
    <n v="835"/>
    <d v="2021-07-07T00:00:00"/>
    <s v="Aptos"/>
    <s v="Sofie Andrade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0"/>
    <s v="NA"/>
    <s v="Janine Tan"/>
    <m/>
  </r>
  <r>
    <n v="1747"/>
    <n v="834"/>
    <d v="2021-07-07T00:00:00"/>
    <s v="Aptos"/>
    <s v="Sofie Andrade"/>
    <s v="Netting"/>
    <x v="0"/>
    <s v="SweatBee"/>
    <x v="1"/>
    <s v="Halictini"/>
    <s v="Halictus"/>
    <s v="tripartitus"/>
    <x v="4"/>
    <s v="female"/>
    <s v="broccoli"/>
    <s v="crop"/>
    <s v="Brassicaceae"/>
    <s v="Brassica"/>
    <s v="oleraceae"/>
    <s v="Brassica oleraceae"/>
    <s v="Not Native"/>
    <s v="Yellow"/>
    <x v="7"/>
    <x v="0"/>
    <x v="0"/>
    <s v="NA"/>
    <s v="Janine Tan"/>
    <m/>
  </r>
  <r>
    <n v="603"/>
    <n v="702"/>
    <d v="2021-07-07T00:00:00"/>
    <s v="Aptos"/>
    <s v="Jenny Hsu"/>
    <s v="Netting"/>
    <x v="2"/>
    <s v="Butterfly"/>
    <x v="3"/>
    <s v="Pierini"/>
    <s v="Pieris"/>
    <s v="rapae"/>
    <x v="7"/>
    <s v="F"/>
    <s v="kale, purple curly"/>
    <s v="crop"/>
    <s v="Brassicaceae"/>
    <s v="Brassica"/>
    <s v="oleraceae"/>
    <s v="Brassica oleraceae"/>
    <s v="Not Native"/>
    <s v="Yellow"/>
    <x v="7"/>
    <x v="0"/>
    <x v="0"/>
    <s v="NA"/>
    <s v="Jenny Hsu"/>
    <m/>
  </r>
  <r>
    <n v="153"/>
    <n v="1169"/>
    <d v="2021-07-11T00:00:00"/>
    <s v="Grange"/>
    <s v="Jenny Hsu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1"/>
    <s v="NA"/>
    <s v="Robyn Fowler"/>
    <m/>
  </r>
  <r>
    <n v="151"/>
    <n v="1167"/>
    <d v="2021-07-11T00:00:00"/>
    <s v="Grange"/>
    <s v="Jenny Hsu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1"/>
    <s v="NA"/>
    <s v="Robyn Fowler"/>
    <m/>
  </r>
  <r>
    <n v="1572"/>
    <n v="317"/>
    <d v="2021-07-11T00:00:00"/>
    <s v="Grange"/>
    <s v="Robyn Fowler"/>
    <s v="Netting"/>
    <x v="0"/>
    <s v="HoneyBee"/>
    <x v="0"/>
    <s v="Apini"/>
    <s v="Apis"/>
    <s v="mellifera"/>
    <x v="2"/>
    <s v="female"/>
    <s v="kale"/>
    <s v="crop"/>
    <s v="Brassicaceae"/>
    <s v="Brassica"/>
    <s v="oleraceae"/>
    <s v="Brassica oleraceae"/>
    <s v="Not Native"/>
    <s v="Yellow"/>
    <x v="7"/>
    <x v="0"/>
    <x v="1"/>
    <s v="NA"/>
    <s v="Sofie Andrade"/>
    <m/>
  </r>
  <r>
    <n v="1296"/>
    <n v="1993"/>
    <d v="2021-07-08T00:00:00"/>
    <s v="MIIS"/>
    <s v="Stacy Philpott"/>
    <s v="Netting"/>
    <x v="0"/>
    <s v="SweatBee"/>
    <x v="1"/>
    <s v="Halictini"/>
    <s v="Lasioglossum"/>
    <s v="sp_G"/>
    <x v="8"/>
    <s v="female"/>
    <s v="kale, curly"/>
    <s v="crop"/>
    <s v="Brassicaceae"/>
    <s v="Brassica"/>
    <s v="oleraceae"/>
    <s v="Brassica oleraceae"/>
    <s v="Not Native"/>
    <s v="Yellow"/>
    <x v="7"/>
    <x v="0"/>
    <x v="0"/>
    <s v="NA"/>
    <s v="Jenny Hsu"/>
    <m/>
  </r>
  <r>
    <n v="720"/>
    <n v="1153"/>
    <d v="2021-07-08T00:00:00"/>
    <s v="PacificGrove"/>
    <s v="Gabriella Pardee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0"/>
    <s v="Pollen"/>
    <s v="Jenny Hsu"/>
    <m/>
  </r>
  <r>
    <n v="686"/>
    <n v="1071"/>
    <d v="2021-07-08T00:00:00"/>
    <s v="PacificGrove"/>
    <s v="Stacy Philpott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0"/>
    <s v="NA"/>
    <s v="Jenny Hsu"/>
    <m/>
  </r>
  <r>
    <n v="185"/>
    <n v="1341"/>
    <d v="2021-07-11T00:00:00"/>
    <s v="Trescony"/>
    <s v="Sofie Andrade"/>
    <s v="Netting"/>
    <x v="0"/>
    <s v="HoneyBee"/>
    <x v="0"/>
    <s v="Apini"/>
    <s v="Apis"/>
    <s v="mellifera"/>
    <x v="2"/>
    <s v="female"/>
    <s v="broccoli"/>
    <s v="crop"/>
    <s v="Brassicaceae"/>
    <s v="Brassica"/>
    <s v="oleraceae"/>
    <s v="Brassica oleraceae"/>
    <s v="Not Native"/>
    <s v="Yellow"/>
    <x v="7"/>
    <x v="0"/>
    <x v="1"/>
    <s v="NA"/>
    <s v="Robyn Fowler"/>
    <s v="has corbicula pollen vial"/>
  </r>
  <r>
    <n v="218"/>
    <n v="1044"/>
    <d v="2021-07-11T00:00:00"/>
    <s v="BeachFlats"/>
    <s v="Sofie Andrade"/>
    <s v="Netting"/>
    <x v="1"/>
    <s v="OtherFly"/>
    <x v="4"/>
    <s v="Lucilini"/>
    <s v="Lucila"/>
    <s v="sp_A"/>
    <x v="10"/>
    <s v="male"/>
    <s v="cucumber"/>
    <s v="crop"/>
    <s v="Cucurbitaceae"/>
    <s v="Cucumis"/>
    <s v="sativus"/>
    <s v="Cucumis sativus"/>
    <s v="Not Native"/>
    <s v="Yellow"/>
    <x v="7"/>
    <x v="0"/>
    <x v="0"/>
    <s v="NA"/>
    <s v="Robyn Fowler"/>
    <m/>
  </r>
  <r>
    <n v="224"/>
    <n v="1050"/>
    <d v="2021-07-11T00:00:00"/>
    <s v="BeachFlats"/>
    <s v="Sofie Andrade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Robyn Fowler"/>
    <m/>
  </r>
  <r>
    <n v="1394"/>
    <n v="2431"/>
    <d v="2021-07-09T00:00:00"/>
    <s v="Berryessa"/>
    <s v="Robyn Fowler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Jenny Hsu"/>
    <m/>
  </r>
  <r>
    <n v="1475"/>
    <n v="2322"/>
    <d v="2021-07-11T00:00:00"/>
    <s v="FarmGardenUCSC"/>
    <s v="Jenny Hsu"/>
    <s v="Netting"/>
    <x v="0"/>
    <s v="SweatBee"/>
    <x v="1"/>
    <s v="Halictini"/>
    <s v="Halictus"/>
    <s v="tripartitus"/>
    <x v="4"/>
    <s v="female"/>
    <s v="cucumber"/>
    <s v="crop"/>
    <s v="Cucurbitaceae"/>
    <s v="Cucumis"/>
    <s v="sativus"/>
    <s v="Cucumis sativus"/>
    <s v="Not Native"/>
    <s v="Yellow"/>
    <x v="7"/>
    <x v="0"/>
    <x v="0"/>
    <s v="NA"/>
    <s v="Jenny Hsu"/>
    <m/>
  </r>
  <r>
    <n v="1506"/>
    <n v="2403"/>
    <d v="2021-07-11T00:00:00"/>
    <s v="FarmGardenUCSC"/>
    <s v="Robyn Fowler"/>
    <s v="Netting"/>
    <x v="0"/>
    <s v="SweatBee"/>
    <x v="1"/>
    <s v="Halictini"/>
    <s v="Lasioglossum"/>
    <s v="sp_G"/>
    <x v="8"/>
    <s v="female"/>
    <s v="cucumber"/>
    <s v="crop"/>
    <s v="Cucurbitaceae"/>
    <s v="Cucumis"/>
    <s v="sativus"/>
    <s v="Cucumis sativus"/>
    <s v="Not Native"/>
    <s v="Yellow"/>
    <x v="7"/>
    <x v="0"/>
    <x v="0"/>
    <s v="NA"/>
    <s v="Jenny Hsu"/>
    <m/>
  </r>
  <r>
    <n v="282"/>
    <n v="896"/>
    <d v="2021-07-09T00:00:00"/>
    <s v="Guadalupe"/>
    <s v="Robyn Fowler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Robyn Fowler"/>
    <m/>
  </r>
  <r>
    <n v="293"/>
    <n v="907"/>
    <d v="2021-07-09T00:00:00"/>
    <s v="Guadalupe"/>
    <s v="Robyn Fowler"/>
    <s v="Netting"/>
    <x v="2"/>
    <s v="Butterfly"/>
    <x v="3"/>
    <s v="Pierini"/>
    <s v="Pieris"/>
    <s v="rapae"/>
    <x v="7"/>
    <s v="F"/>
    <s v="cucumber"/>
    <s v="crop"/>
    <s v="Cucurbitaceae"/>
    <s v="Cucumis"/>
    <s v="sativus"/>
    <s v="Cucumis sativus"/>
    <s v="Not Native"/>
    <s v="Yellow"/>
    <x v="7"/>
    <x v="0"/>
    <x v="0"/>
    <s v="NA"/>
    <s v="Robyn Fowler"/>
    <m/>
  </r>
  <r>
    <n v="1221"/>
    <n v="1818"/>
    <d v="2021-07-10T00:00:00"/>
    <s v="LaColina"/>
    <s v="Gabriella Pardee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Jenny Hsu"/>
    <m/>
  </r>
  <r>
    <n v="1241"/>
    <n v="1838"/>
    <d v="2021-07-10T00:00:00"/>
    <s v="LaColina"/>
    <s v="Stacy Philpott"/>
    <s v="Netting"/>
    <x v="0"/>
    <s v="BumbleBee"/>
    <x v="0"/>
    <s v="Bombini"/>
    <s v="Bombus"/>
    <s v="vosnesenskii"/>
    <x v="0"/>
    <s v="female"/>
    <s v="cucumber"/>
    <s v="crop"/>
    <s v="Cucurbitaceae"/>
    <s v="Cucumis"/>
    <s v="sativus"/>
    <s v="Cucumis sativus"/>
    <s v="Not Native"/>
    <s v="Yellow"/>
    <x v="7"/>
    <x v="0"/>
    <x v="0"/>
    <s v="NA"/>
    <s v="Jenny Hsu"/>
    <m/>
  </r>
  <r>
    <n v="1681"/>
    <n v="454"/>
    <d v="2021-07-11T00:00:00"/>
    <s v="Trescony"/>
    <s v="Robyn Fowler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Janine Tan"/>
    <m/>
  </r>
  <r>
    <n v="387"/>
    <n v="483"/>
    <d v="2021-07-07T00:00:00"/>
    <s v="ValleVerde"/>
    <s v="Sofie Andrade"/>
    <s v="Netting"/>
    <x v="0"/>
    <s v="HoneyBee"/>
    <x v="0"/>
    <s v="Apini"/>
    <s v="Apis"/>
    <s v="mellifera"/>
    <x v="2"/>
    <s v="female"/>
    <s v="cucumber"/>
    <s v="crop"/>
    <s v="Cucurbitaceae"/>
    <s v="Cucumis"/>
    <s v="sativus"/>
    <s v="Cucumis sativus"/>
    <s v="Not Native"/>
    <s v="Yellow"/>
    <x v="7"/>
    <x v="0"/>
    <x v="0"/>
    <s v="NA"/>
    <s v="Robyn Fowler"/>
    <m/>
  </r>
  <r>
    <n v="855"/>
    <n v="935"/>
    <d v="2021-07-11T00:00:00"/>
    <s v="Chadwick"/>
    <s v="Robyn Fowler"/>
    <s v="Netting"/>
    <x v="0"/>
    <s v="HoneyBee"/>
    <x v="0"/>
    <s v="Apini"/>
    <s v="Apis"/>
    <s v="mellifera"/>
    <x v="2"/>
    <s v="female"/>
    <s v="Silver Bell Squash"/>
    <s v="crop"/>
    <s v="Cucurbitaceae"/>
    <s v="Cucurbita"/>
    <s v="maxima"/>
    <s v="Cucurbita maxima"/>
    <s v="Not Native"/>
    <s v="Yellow"/>
    <x v="7"/>
    <x v="0"/>
    <x v="0"/>
    <s v="NA"/>
    <s v="Jenny Hsu"/>
    <m/>
  </r>
  <r>
    <n v="1358"/>
    <n v="2105"/>
    <d v="2021-07-09T00:00:00"/>
    <s v="Berryessa"/>
    <s v="Gabriella Pardee"/>
    <s v="Netting"/>
    <x v="0"/>
    <s v="OtherBee"/>
    <x v="7"/>
    <s v="Colletini"/>
    <s v="Hylaeus"/>
    <s v="sp_C"/>
    <x v="43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4 poll (2103+2104+2105+2106)"/>
  </r>
  <r>
    <n v="1356"/>
    <n v="2103"/>
    <d v="2021-07-09T00:00:00"/>
    <s v="Berryessa"/>
    <s v="Gabriella Pardee"/>
    <s v="Netting"/>
    <x v="0"/>
    <s v="OtherBee"/>
    <x v="7"/>
    <s v="Colletini"/>
    <s v="Hylaeus"/>
    <s v="sp_C"/>
    <x v="43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4 poll (2103+2104+2105+2106)"/>
  </r>
  <r>
    <n v="1349"/>
    <n v="2096"/>
    <d v="2021-07-09T00:00:00"/>
    <s v="Berryessa"/>
    <s v="Gabriella Pardee"/>
    <s v="Netting"/>
    <x v="0"/>
    <s v="OtherBee"/>
    <x v="7"/>
    <s v="Colletini"/>
    <s v="Hylaeus"/>
    <s v="sp_D"/>
    <x v="42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1359"/>
    <n v="2106"/>
    <d v="2021-07-09T00:00:00"/>
    <s v="Berryessa"/>
    <s v="Gabriella Pardee"/>
    <s v="Netting"/>
    <x v="0"/>
    <s v="OtherBee"/>
    <x v="7"/>
    <s v="Colletini"/>
    <s v="Hylaeus"/>
    <s v="sp_E"/>
    <x v="94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4 poll (2103+2104+2105+2106)"/>
  </r>
  <r>
    <n v="1357"/>
    <n v="2104"/>
    <d v="2021-07-09T00:00:00"/>
    <s v="Berryessa"/>
    <s v="Gabriella Pardee"/>
    <s v="Netting"/>
    <x v="0"/>
    <s v="SweatBee"/>
    <x v="1"/>
    <s v="Halictini"/>
    <s v="Lasioglossum"/>
    <s v="sp_F"/>
    <x v="22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4 poll (2103+2104+2105+2106)"/>
  </r>
  <r>
    <n v="1558"/>
    <n v="302"/>
    <d v="2021-07-09T00:00:00"/>
    <s v="CharlesStreet"/>
    <s v="Gabriella Pardee"/>
    <s v="Netting"/>
    <x v="0"/>
    <s v="HoneyBee"/>
    <x v="0"/>
    <s v="Apini"/>
    <s v="Apis"/>
    <s v="mellifera"/>
    <x v="2"/>
    <s v="female"/>
    <s v="fennel"/>
    <s v="crop"/>
    <s v="Apiaceae"/>
    <s v="Foeniculum"/>
    <s v="vulgare"/>
    <s v="Foeniculum vulgare"/>
    <s v="Not Native"/>
    <s v="Yellow"/>
    <x v="7"/>
    <x v="0"/>
    <x v="1"/>
    <s v="Pollen"/>
    <s v="Sofie Andrade"/>
    <m/>
  </r>
  <r>
    <n v="137"/>
    <n v="1083"/>
    <d v="2021-07-09T00:00:00"/>
    <s v="CharlesStreet"/>
    <s v="Robyn Fowler"/>
    <s v="Netting"/>
    <x v="0"/>
    <s v="HoneyBee"/>
    <x v="0"/>
    <s v="Apini"/>
    <s v="Apis"/>
    <s v="mellifera"/>
    <x v="2"/>
    <s v="female"/>
    <s v="fennel"/>
    <s v="crop"/>
    <s v="Apiaceae"/>
    <s v="Foeniculum"/>
    <s v="vulgare"/>
    <s v="Foeniculum vulgare"/>
    <s v="Not Native"/>
    <s v="Yellow"/>
    <x v="7"/>
    <x v="0"/>
    <x v="0"/>
    <s v="NA"/>
    <s v="Robyn Fowler"/>
    <m/>
  </r>
  <r>
    <n v="1562"/>
    <n v="307"/>
    <d v="2021-07-09T00:00:00"/>
    <s v="CharlesStreet"/>
    <s v="Gabriella Pardee"/>
    <s v="Netting"/>
    <x v="0"/>
    <s v="OtherBee"/>
    <x v="7"/>
    <s v="Colletini"/>
    <s v="Hylaeus"/>
    <s v="sp_A"/>
    <x v="23"/>
    <s v="female"/>
    <s v="fennel"/>
    <s v="crop"/>
    <s v="Apiaceae"/>
    <s v="Foeniculum"/>
    <s v="vulgare"/>
    <s v="Foeniculum vulgare"/>
    <s v="Not Native"/>
    <s v="Yellow"/>
    <x v="7"/>
    <x v="0"/>
    <x v="1"/>
    <s v="Pollen"/>
    <s v="Sofie Andrade"/>
    <m/>
  </r>
  <r>
    <n v="1564"/>
    <n v="309"/>
    <d v="2021-07-09T00:00:00"/>
    <s v="CharlesStreet"/>
    <s v="Gabriella Pardee"/>
    <s v="Netting"/>
    <x v="0"/>
    <s v="OtherBee"/>
    <x v="7"/>
    <s v="Colletini"/>
    <s v="Hylaeus"/>
    <s v="sp_C"/>
    <x v="43"/>
    <s v="male"/>
    <s v="fennel"/>
    <s v="crop"/>
    <s v="Apiaceae"/>
    <s v="Foeniculum"/>
    <s v="vulgare"/>
    <s v="Foeniculum vulgare"/>
    <s v="Not Native"/>
    <s v="Yellow"/>
    <x v="7"/>
    <x v="0"/>
    <x v="0"/>
    <s v="NA"/>
    <s v="Sofie Andrade"/>
    <s v="two pinned bees 308 &amp; 309"/>
  </r>
  <r>
    <n v="1563"/>
    <n v="308"/>
    <d v="2021-07-09T00:00:00"/>
    <s v="CharlesStreet"/>
    <s v="Gabriella Pardee"/>
    <s v="Netting"/>
    <x v="0"/>
    <s v="OtherBee"/>
    <x v="7"/>
    <s v="Colletini"/>
    <s v="Hylaeus"/>
    <s v="sp_H"/>
    <x v="83"/>
    <s v="male"/>
    <s v="fennel"/>
    <s v="crop"/>
    <s v="Apiaceae"/>
    <s v="Foeniculum"/>
    <s v="vulgare"/>
    <s v="Foeniculum vulgare"/>
    <s v="Not Native"/>
    <s v="Yellow"/>
    <x v="7"/>
    <x v="0"/>
    <x v="0"/>
    <s v="NA"/>
    <s v="Sofie Andrade"/>
    <s v="two pinned bees 308 &amp; 309"/>
  </r>
  <r>
    <n v="178"/>
    <n v="1264"/>
    <d v="2021-07-11T00:00:00"/>
    <s v="Grange"/>
    <s v="Robyn Fowler"/>
    <s v="Netting"/>
    <x v="1"/>
    <s v="OtherFly"/>
    <x v="8"/>
    <m/>
    <s v="anthomyid"/>
    <s v="sp_A"/>
    <x v="24"/>
    <m/>
    <s v="fennel"/>
    <s v="crop"/>
    <s v="Apiaceae"/>
    <s v="Foeniculum"/>
    <s v="vulgare"/>
    <s v="Foeniculum vulgare"/>
    <s v="Not Native"/>
    <s v="Yellow"/>
    <x v="7"/>
    <x v="0"/>
    <x v="0"/>
    <s v="NA"/>
    <s v="Robyn Fowler"/>
    <m/>
  </r>
  <r>
    <n v="530"/>
    <n v="70"/>
    <d v="2021-07-11T00:00:00"/>
    <s v="Grange"/>
    <s v="Sofie Andrade"/>
    <s v="Netting"/>
    <x v="1"/>
    <s v="OtherFly"/>
    <x v="4"/>
    <s v="Lucilini"/>
    <s v="Lucila"/>
    <s v="sp_A"/>
    <x v="10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1579"/>
    <n v="438"/>
    <d v="2021-07-11T00:00:00"/>
    <s v="Grange"/>
    <s v="Robyn Fowler"/>
    <s v="Netting"/>
    <x v="1"/>
    <s v="Hoverfly"/>
    <x v="2"/>
    <s v="Syrphini"/>
    <s v="Sphaerophoria"/>
    <s v="sulphuripes"/>
    <x v="40"/>
    <m/>
    <s v="fennel"/>
    <s v="crop"/>
    <s v="Apiaceae"/>
    <s v="Foeniculum"/>
    <s v="vulgare"/>
    <s v="Foeniculum vulgare"/>
    <s v="Not Native"/>
    <s v="Yellow"/>
    <x v="7"/>
    <x v="0"/>
    <x v="0"/>
    <s v="NA"/>
    <s v="Sofie Andrade"/>
    <m/>
  </r>
  <r>
    <n v="619"/>
    <n v="216"/>
    <d v="2021-07-09T00:00:00"/>
    <s v="Guadalupe"/>
    <s v="Robyn Fowler"/>
    <s v="Netting"/>
    <x v="0"/>
    <s v="SweatBee"/>
    <x v="1"/>
    <s v="Halictini"/>
    <s v="Halictus"/>
    <s v="ligatus"/>
    <x v="32"/>
    <s v="male"/>
    <s v="fennel"/>
    <s v="crop"/>
    <s v="Apiaceae"/>
    <s v="Foeniculum"/>
    <s v="vulgare"/>
    <s v="Foeniculum vulgare"/>
    <s v="Not Native"/>
    <s v="Yellow"/>
    <x v="7"/>
    <x v="0"/>
    <x v="1"/>
    <s v="NA"/>
    <s v="Jenny Hsu"/>
    <m/>
  </r>
  <r>
    <n v="1247"/>
    <n v="1844"/>
    <d v="2021-07-10T00:00:00"/>
    <s v="LaColina"/>
    <s v="Gabriella Pardee"/>
    <s v="Netting"/>
    <x v="0"/>
    <s v="OtherBee"/>
    <x v="7"/>
    <s v="Colletini"/>
    <s v="Hylaeus"/>
    <s v="sp_A"/>
    <x v="23"/>
    <s v="fe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2 poll (1843+1844)"/>
  </r>
  <r>
    <n v="1246"/>
    <n v="1843"/>
    <d v="2021-07-10T00:00:00"/>
    <s v="LaColina"/>
    <s v="Gabriella Pardee"/>
    <s v="Netting"/>
    <x v="0"/>
    <s v="SweatBee"/>
    <x v="1"/>
    <s v="Halictini"/>
    <s v="Halictus"/>
    <s v="tripartitus"/>
    <x v="4"/>
    <s v="fe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2 poll (1843+1844)"/>
  </r>
  <r>
    <n v="759"/>
    <n v="1240"/>
    <d v="2021-07-08T00:00:00"/>
    <s v="Natividad"/>
    <s v="Stacy Philpott"/>
    <s v="Netting"/>
    <x v="1"/>
    <s v="OtherFly"/>
    <x v="4"/>
    <s v="Lucilini"/>
    <s v="Lucila"/>
    <s v="sp_A"/>
    <x v="10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737"/>
    <n v="544"/>
    <d v="2021-07-08T00:00:00"/>
    <s v="Natividad"/>
    <s v="Jenny Hsu"/>
    <s v="Netting"/>
    <x v="1"/>
    <s v="OtherFly"/>
    <x v="4"/>
    <s v="Lucilini"/>
    <s v="Lucila"/>
    <s v="sp_A"/>
    <x v="10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775"/>
    <n v="672"/>
    <d v="2021-07-08T00:00:00"/>
    <s v="Natividad"/>
    <s v="Stacy Philpott"/>
    <s v="Netting"/>
    <x v="1"/>
    <s v="Hoverfly"/>
    <x v="2"/>
    <s v="Eristalini"/>
    <s v="Eristalis"/>
    <s v="arbustorum"/>
    <x v="61"/>
    <m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772"/>
    <n v="669"/>
    <d v="2021-07-08T00:00:00"/>
    <s v="Natividad"/>
    <s v="Stacy Philpott"/>
    <s v="Netting"/>
    <x v="1"/>
    <s v="Hoverfly"/>
    <x v="2"/>
    <s v="Paragini"/>
    <s v="Paragus"/>
    <s v="haemorrhous"/>
    <x v="45"/>
    <m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678"/>
    <n v="1063"/>
    <d v="2021-07-08T00:00:00"/>
    <s v="PacificGrove"/>
    <s v="Gabriella Pardee"/>
    <s v="Netting"/>
    <x v="1"/>
    <s v="Hoverfly"/>
    <x v="2"/>
    <s v="Syrphini"/>
    <s v="Eupeodes"/>
    <s v="fumipennis"/>
    <x v="51"/>
    <m/>
    <s v="fennel"/>
    <s v="crop"/>
    <s v="Apiaceae"/>
    <s v="Foeniculum"/>
    <s v="vulgare"/>
    <s v="Foeniculum vulgare"/>
    <s v="Not Native"/>
    <s v="Yellow"/>
    <x v="7"/>
    <x v="0"/>
    <x v="0"/>
    <s v="Pollen"/>
    <s v="Jenny Hsu"/>
    <m/>
  </r>
  <r>
    <n v="705"/>
    <n v="1138"/>
    <d v="2021-07-08T00:00:00"/>
    <s v="PacificGrove"/>
    <s v="Gabriella Pardee"/>
    <s v="Netting"/>
    <x v="1"/>
    <s v="OtherFly"/>
    <x v="12"/>
    <m/>
    <s v="tachinid"/>
    <s v="sp_B"/>
    <x v="29"/>
    <m/>
    <s v="fennel"/>
    <s v="crop"/>
    <s v="Apiaceae"/>
    <s v="Foeniculum"/>
    <s v="vulgare"/>
    <s v="Foeniculum vulgare"/>
    <s v="Not Native"/>
    <s v="Yellow"/>
    <x v="7"/>
    <x v="0"/>
    <x v="0"/>
    <s v="Nectar"/>
    <s v="Jenny Hsu"/>
    <m/>
  </r>
  <r>
    <n v="1192"/>
    <n v="1739"/>
    <d v="2021-07-09T00:00:00"/>
    <s v="Prusch"/>
    <s v="Gabriella Pardee"/>
    <s v="Netting"/>
    <x v="0"/>
    <s v="HoneyBee"/>
    <x v="0"/>
    <s v="Apini"/>
    <s v="Apis"/>
    <s v="mellifera"/>
    <x v="2"/>
    <s v="female"/>
    <s v="fennel"/>
    <s v="crop"/>
    <s v="Apiaceae"/>
    <s v="Foeniculum"/>
    <s v="vulgare"/>
    <s v="Foeniculum vulgare"/>
    <s v="Not Native"/>
    <s v="Yellow"/>
    <x v="7"/>
    <x v="0"/>
    <x v="0"/>
    <s v="NA"/>
    <s v="Jenny Hsu"/>
    <m/>
  </r>
  <r>
    <n v="1181"/>
    <n v="1678"/>
    <d v="2021-07-09T00:00:00"/>
    <s v="Prusch"/>
    <s v="Gabriella Pardee"/>
    <s v="Netting"/>
    <x v="0"/>
    <s v="OtherBee"/>
    <x v="7"/>
    <s v="Colletini"/>
    <s v="Hylaeus"/>
    <s v="sp_A"/>
    <x v="23"/>
    <s v="fe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2 poll (1678+1729)"/>
  </r>
  <r>
    <n v="1182"/>
    <n v="1729"/>
    <d v="2021-07-09T00:00:00"/>
    <s v="Prusch"/>
    <s v="Gabriella Pardee"/>
    <s v="Netting"/>
    <x v="0"/>
    <s v="OtherBee"/>
    <x v="7"/>
    <s v="Colletini"/>
    <s v="Hylaeus"/>
    <s v="sp_H"/>
    <x v="83"/>
    <s v="male"/>
    <s v="fennel"/>
    <s v="crop"/>
    <s v="Apiaceae"/>
    <s v="Foeniculum"/>
    <s v="vulgare"/>
    <s v="Foeniculum vulgare"/>
    <s v="Not Native"/>
    <s v="Yellow"/>
    <x v="7"/>
    <x v="0"/>
    <x v="0"/>
    <s v="NA"/>
    <s v="Jenny Hsu"/>
    <s v="2 poll (1678+1729)"/>
  </r>
  <r>
    <n v="207"/>
    <n v="958"/>
    <d v="2021-07-11T00:00:00"/>
    <s v="Trescony"/>
    <s v="Robyn Fowler"/>
    <s v="Netting"/>
    <x v="1"/>
    <s v="Hoverfly"/>
    <x v="2"/>
    <s v="Milesini"/>
    <s v="Syritta"/>
    <s v="pipiens"/>
    <x v="11"/>
    <m/>
    <s v="fennel"/>
    <s v="crop"/>
    <s v="Apiaceae"/>
    <s v="Foeniculum"/>
    <s v="vulgare"/>
    <s v="Foeniculum vulgare"/>
    <s v="Not Native"/>
    <s v="Yellow"/>
    <x v="7"/>
    <x v="0"/>
    <x v="0"/>
    <s v="NA"/>
    <s v="Robyn Fowler"/>
    <m/>
  </r>
  <r>
    <n v="1028"/>
    <n v="842"/>
    <d v="2021-07-08T00:00:00"/>
    <s v="MEarth"/>
    <s v="Stacy Philpott"/>
    <s v="Netting"/>
    <x v="0"/>
    <s v="SweatBee"/>
    <x v="1"/>
    <s v="Halictini"/>
    <s v="Lasioglossum"/>
    <s v="sp_A"/>
    <x v="50"/>
    <s v="female"/>
    <s v="Warty Dandelion"/>
    <s v="weed"/>
    <s v="Asteraceae"/>
    <s v="Helminthotheca"/>
    <s v="echiodes"/>
    <s v="Helminthotheca echiodes"/>
    <s v="Not Native"/>
    <s v="Yellow"/>
    <x v="7"/>
    <x v="0"/>
    <x v="0"/>
    <s v="NA"/>
    <s v="Jenny Hsu"/>
    <m/>
  </r>
  <r>
    <n v="1348"/>
    <n v="2095"/>
    <d v="2021-07-09T00:00:00"/>
    <s v="Berryessa"/>
    <s v="Gabriella Pardee"/>
    <s v="Netting"/>
    <x v="1"/>
    <s v="Hoverfly"/>
    <x v="2"/>
    <s v="Eristalini"/>
    <s v="Eristalis"/>
    <s v="hirta"/>
    <x v="80"/>
    <m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351"/>
    <n v="2098"/>
    <d v="2021-07-09T00:00:00"/>
    <s v="Berryessa"/>
    <s v="Gabriella Pardee"/>
    <s v="Netting"/>
    <x v="1"/>
    <s v="Hoverfly"/>
    <x v="2"/>
    <s v="Milesini"/>
    <s v="Syritta"/>
    <s v="pipiens"/>
    <x v="11"/>
    <m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360"/>
    <n v="2107"/>
    <d v="2021-07-09T00:00:00"/>
    <s v="Berryessa"/>
    <s v="Gabriella Pardee"/>
    <s v="Netting"/>
    <x v="0"/>
    <s v="SweatBee"/>
    <x v="1"/>
    <s v="Halictini"/>
    <s v="Lasioglossum"/>
    <s v="sp_G"/>
    <x v="8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387"/>
    <n v="2084"/>
    <d v="2021-07-09T00:00:00"/>
    <s v="Berryessa"/>
    <s v="Gabriella Pardee"/>
    <s v="Netting"/>
    <x v="0"/>
    <s v="OtherBee"/>
    <x v="5"/>
    <s v="Megachilini"/>
    <s v="Megachile"/>
    <s v="rotundata"/>
    <x v="95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482"/>
    <n v="2329"/>
    <d v="2021-07-11T00:00:00"/>
    <s v="FarmGardenUCSC"/>
    <s v="Gabriella Pardee"/>
    <s v="Netting"/>
    <x v="1"/>
    <s v="Hoverfly"/>
    <x v="2"/>
    <s v="Syrphini"/>
    <s v="Sphaerophoria"/>
    <s v="sulphuripes"/>
    <x v="40"/>
    <m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454"/>
    <n v="2251"/>
    <d v="2021-07-11T00:00:00"/>
    <s v="FarmGardenUCSC"/>
    <s v="Jenny Hsu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s v="2 poll (2250+2251)"/>
  </r>
  <r>
    <n v="1453"/>
    <n v="2250"/>
    <d v="2021-07-11T00:00:00"/>
    <s v="FarmGardenUCSC"/>
    <s v="Jenny Hsu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s v="2 poll (2250+2251)"/>
  </r>
  <r>
    <n v="1450"/>
    <n v="2247"/>
    <d v="2021-07-11T00:00:00"/>
    <s v="FarmGardenUCSC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s v="3 poll (2245+2246+2247)"/>
  </r>
  <r>
    <n v="1449"/>
    <n v="2246"/>
    <d v="2021-07-11T00:00:00"/>
    <s v="FarmGardenUCSC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s v="3 poll (2245+2246+2247)"/>
  </r>
  <r>
    <n v="1448"/>
    <n v="2245"/>
    <d v="2021-07-11T00:00:00"/>
    <s v="FarmGardenUCSC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s v="3 poll (2245+2246+2247)"/>
  </r>
  <r>
    <n v="1451"/>
    <n v="2248"/>
    <d v="2021-07-11T00:00:00"/>
    <s v="FarmGardenUCSC"/>
    <s v="Jenny Hsu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1444"/>
    <n v="2241"/>
    <d v="2021-07-11T00:00:00"/>
    <s v="FarmGardenUCSC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1442"/>
    <n v="2239"/>
    <d v="2021-07-11T00:00:00"/>
    <s v="FarmGardenUCSC"/>
    <s v="Jenny Hsu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525"/>
    <n v="65"/>
    <d v="2021-07-11T00:00:00"/>
    <s v="Grange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0"/>
    <s v="Pollen"/>
    <s v="Jenny Hsu"/>
    <s v="2 poll (65+66)"/>
  </r>
  <r>
    <n v="1664"/>
    <n v="435"/>
    <d v="2021-07-11T00:00:00"/>
    <s v="Grange"/>
    <s v="Gabriella Pardee"/>
    <s v="Netting"/>
    <x v="0"/>
    <s v="SweatBee"/>
    <x v="1"/>
    <s v="Halictini"/>
    <s v="Halictus"/>
    <s v="tripartitus"/>
    <x v="4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anine Tan"/>
    <m/>
  </r>
  <r>
    <n v="526"/>
    <n v="66"/>
    <d v="2021-07-11T00:00:00"/>
    <s v="Grange"/>
    <s v="Gabriella Pardee"/>
    <s v="Netting"/>
    <x v="0"/>
    <s v="SweatBee"/>
    <x v="1"/>
    <s v="Halictini"/>
    <s v="Lasioglossum"/>
    <s v="sp_D"/>
    <x v="19"/>
    <s v="female"/>
    <s v="wild mustard"/>
    <s v="weed"/>
    <s v="Brassicaceae"/>
    <s v="Hirschfeldia"/>
    <s v="incana"/>
    <s v="Hirschfeldia incana"/>
    <s v="Not Native"/>
    <s v="Yellow"/>
    <x v="7"/>
    <x v="0"/>
    <x v="0"/>
    <s v="Pollen"/>
    <s v="Jenny Hsu"/>
    <s v="sp_D"/>
  </r>
  <r>
    <n v="1023"/>
    <n v="837"/>
    <d v="2021-07-08T00:00:00"/>
    <s v="MEarth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s v="2 poll (836+837)"/>
  </r>
  <r>
    <n v="1016"/>
    <n v="1372"/>
    <d v="2021-07-08T00:00:00"/>
    <s v="MEarth"/>
    <s v="Stacy Philpott"/>
    <s v="Netting"/>
    <x v="0"/>
    <s v="SweatBee"/>
    <x v="1"/>
    <s v="Halictini"/>
    <s v="Lasioglossum"/>
    <s v="sp_E"/>
    <x v="78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1024"/>
    <n v="838"/>
    <d v="2021-07-08T00:00:00"/>
    <s v="MEarth"/>
    <s v="Gabriella Pardee"/>
    <s v="Netting"/>
    <x v="0"/>
    <s v="SweatBee"/>
    <x v="1"/>
    <s v="Halictini"/>
    <s v="Lasioglossum"/>
    <s v="sp_G"/>
    <x v="8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s v="2 poll (836+837)"/>
  </r>
  <r>
    <n v="735"/>
    <n v="542"/>
    <d v="2021-07-08T00:00:00"/>
    <s v="Natividad"/>
    <s v="Gabriella Pardee"/>
    <s v="Netting"/>
    <x v="1"/>
    <s v="OtherFly"/>
    <x v="10"/>
    <m/>
    <s v="muscid"/>
    <s v="sp_C"/>
    <x v="77"/>
    <m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s v="2 poll (542+543)"/>
  </r>
  <r>
    <n v="766"/>
    <n v="1247"/>
    <d v="2021-07-08T00:00:00"/>
    <s v="Natividad"/>
    <s v="Gabriella Pardee"/>
    <s v="Netting"/>
    <x v="1"/>
    <s v="Hoverfly"/>
    <x v="2"/>
    <s v="Volucellini"/>
    <s v="Copestylum"/>
    <s v="marginatum"/>
    <x v="96"/>
    <s v="male"/>
    <s v="wild mustard"/>
    <s v="weed"/>
    <s v="Brassicaceae"/>
    <s v="Hirschfeldia"/>
    <s v="incana"/>
    <s v="Hirschfeldia incana"/>
    <s v="Not Native"/>
    <s v="Yellow"/>
    <x v="7"/>
    <x v="0"/>
    <x v="0"/>
    <s v="Nectar"/>
    <s v="Jenny Hsu"/>
    <m/>
  </r>
  <r>
    <n v="736"/>
    <n v="543"/>
    <d v="2021-07-08T00:00:00"/>
    <s v="Natividad"/>
    <s v="Gabriella Pardee"/>
    <s v="Netting"/>
    <x v="1"/>
    <s v="Hoverfly"/>
    <x v="2"/>
    <s v="Milesini"/>
    <s v="Syritta"/>
    <s v="pipiens"/>
    <x v="11"/>
    <m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s v="2 poll (542+543)"/>
  </r>
  <r>
    <n v="753"/>
    <n v="1234"/>
    <d v="2021-07-08T00:00:00"/>
    <s v="Natividad"/>
    <s v="Gabriella Pardee"/>
    <s v="Netting"/>
    <x v="1"/>
    <s v="Hoverfly"/>
    <x v="2"/>
    <s v="Milesini"/>
    <s v="Syritta"/>
    <s v="pipiens"/>
    <x v="11"/>
    <m/>
    <s v="wild mustard"/>
    <s v="weed"/>
    <s v="Brassicaceae"/>
    <s v="Hirschfeldia"/>
    <s v="incana"/>
    <s v="Hirschfeldia incana"/>
    <s v="Not Native"/>
    <s v="Yellow"/>
    <x v="7"/>
    <x v="0"/>
    <x v="0"/>
    <s v="Nectar"/>
    <s v="Jenny Hsu"/>
    <m/>
  </r>
  <r>
    <n v="729"/>
    <n v="1162"/>
    <d v="2021-07-08T00:00:00"/>
    <s v="Natividad"/>
    <s v="Edith Gonzales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724"/>
    <n v="1157"/>
    <d v="2021-07-08T00:00:00"/>
    <s v="Natividad"/>
    <s v="Stacy Philpott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758"/>
    <n v="1239"/>
    <d v="2021-07-08T00:00:00"/>
    <s v="Natividad"/>
    <s v="Gabriella Pardee"/>
    <s v="Netting"/>
    <x v="0"/>
    <s v="HoneyBee"/>
    <x v="0"/>
    <s v="Apini"/>
    <s v="Apis"/>
    <s v="mellifera"/>
    <x v="2"/>
    <s v="male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726"/>
    <n v="1159"/>
    <d v="2021-07-08T00:00:00"/>
    <s v="Natividad"/>
    <s v="Stacy Philpott"/>
    <s v="Netting"/>
    <x v="0"/>
    <s v="BumbleBee"/>
    <x v="0"/>
    <s v="Bombini"/>
    <s v="Bombus"/>
    <s v="vosnesenskii"/>
    <x v="0"/>
    <s v="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723"/>
    <n v="1156"/>
    <d v="2021-07-08T00:00:00"/>
    <s v="Natividad"/>
    <s v="Stacy Philpott"/>
    <s v="Netting"/>
    <x v="0"/>
    <s v="BumbleBee"/>
    <x v="0"/>
    <s v="Bombini"/>
    <s v="Bombus"/>
    <s v="vosnesenskii"/>
    <x v="0"/>
    <s v="male"/>
    <s v="wild mustard"/>
    <s v="weed"/>
    <s v="Brassicaceae"/>
    <s v="Hirschfeldia"/>
    <s v="incana"/>
    <s v="Hirschfeldia incana"/>
    <s v="Not Native"/>
    <s v="Yellow"/>
    <x v="7"/>
    <x v="0"/>
    <x v="1"/>
    <s v="NA"/>
    <s v="Jenny Hsu"/>
    <m/>
  </r>
  <r>
    <n v="734"/>
    <n v="541"/>
    <d v="2021-07-08T00:00:00"/>
    <s v="Natividad"/>
    <s v="Gabriella Pardee"/>
    <s v="Netting"/>
    <x v="0"/>
    <s v="SweatBee"/>
    <x v="1"/>
    <s v="Halictini"/>
    <s v="Halictus"/>
    <s v="tripartitus"/>
    <x v="4"/>
    <s v="female"/>
    <s v="wild mustard"/>
    <s v="weed"/>
    <s v="Brassicaceae"/>
    <s v="Hirschfeldia"/>
    <s v="incana"/>
    <s v="Hirschfeldia incana"/>
    <s v="Not Native"/>
    <s v="Yellow"/>
    <x v="7"/>
    <x v="0"/>
    <x v="0"/>
    <s v="Pollen"/>
    <s v="Jenny Hsu"/>
    <m/>
  </r>
  <r>
    <n v="767"/>
    <n v="1248"/>
    <d v="2021-07-08T00:00:00"/>
    <s v="Natividad"/>
    <s v="Edith Gonzales"/>
    <s v="Netting"/>
    <x v="2"/>
    <s v="Butterfly"/>
    <x v="6"/>
    <s v="Hesperiini"/>
    <s v="Hylephila"/>
    <s v="phyleus"/>
    <x v="17"/>
    <s v="M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757"/>
    <n v="1238"/>
    <d v="2021-07-08T00:00:00"/>
    <s v="Natividad"/>
    <s v="Gabriella Pardee"/>
    <s v="Netting"/>
    <x v="2"/>
    <s v="Butterfly"/>
    <x v="6"/>
    <s v="Hesperiini"/>
    <s v="Hylephila"/>
    <s v="phyleus"/>
    <x v="17"/>
    <s v="M"/>
    <s v="wild mustard"/>
    <s v="weed"/>
    <s v="Brassicaceae"/>
    <s v="Hirschfeldia"/>
    <s v="incana"/>
    <s v="Hirschfeldia incana"/>
    <s v="Not Native"/>
    <s v="Yellow"/>
    <x v="7"/>
    <x v="0"/>
    <x v="0"/>
    <s v="NA"/>
    <s v="Jenny Hsu"/>
    <m/>
  </r>
  <r>
    <n v="711"/>
    <n v="1144"/>
    <d v="2021-07-08T00:00:00"/>
    <s v="PacificGrove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0"/>
    <s v="Pollen"/>
    <s v="Jenny Hsu"/>
    <m/>
  </r>
  <r>
    <n v="1669"/>
    <n v="442"/>
    <d v="2021-07-11T00:00:00"/>
    <s v="Trescony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0"/>
    <s v="NA"/>
    <s v="Janine Tan"/>
    <m/>
  </r>
  <r>
    <n v="190"/>
    <n v="1346"/>
    <d v="2021-07-11T00:00:00"/>
    <s v="Trescony"/>
    <s v="Gabriella Pardee"/>
    <s v="Netting"/>
    <x v="0"/>
    <s v="HoneyBee"/>
    <x v="0"/>
    <s v="Apini"/>
    <s v="Apis"/>
    <s v="mellifera"/>
    <x v="2"/>
    <s v="female"/>
    <s v="wild mustard"/>
    <s v="weed"/>
    <s v="Brassicaceae"/>
    <s v="Hirschfeldia"/>
    <s v="incana"/>
    <s v="Hirschfeldia incana"/>
    <s v="Not Native"/>
    <s v="Yellow"/>
    <x v="7"/>
    <x v="0"/>
    <x v="1"/>
    <s v="NA"/>
    <s v="Robyn Fowler"/>
    <m/>
  </r>
  <r>
    <n v="413"/>
    <n v="1182"/>
    <d v="2021-07-07T00:00:00"/>
    <s v="WVIMiJardinVerde"/>
    <s v="Sofie Andrade"/>
    <s v="Netting"/>
    <x v="0"/>
    <s v="HoneyBee"/>
    <x v="0"/>
    <s v="Apini"/>
    <s v="Apis"/>
    <s v="mellifera"/>
    <x v="2"/>
    <s v="female"/>
    <s v="Ruda"/>
    <s v="crop"/>
    <s v="Rutaceae"/>
    <s v="Ruta"/>
    <s v="graveolens"/>
    <s v="Ruta graveolens"/>
    <s v="Not Native"/>
    <s v="Yellow"/>
    <x v="7"/>
    <x v="0"/>
    <x v="1"/>
    <s v="NA"/>
    <s v="Robyn Fowler"/>
    <m/>
  </r>
  <r>
    <n v="256"/>
    <n v="1462"/>
    <d v="2021-07-07T00:00:00"/>
    <s v="Aptos"/>
    <s v="Sofie Andrade"/>
    <s v="Netting"/>
    <x v="0"/>
    <s v="BumbleBee"/>
    <x v="0"/>
    <s v="Bombini"/>
    <s v="Bombus"/>
    <s v="caliginosus"/>
    <x v="6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Robyn Fowler"/>
    <m/>
  </r>
  <r>
    <n v="1760"/>
    <n v="98"/>
    <d v="2021-07-07T00:00:00"/>
    <s v="Aptos"/>
    <s v="Jenny Hsu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anine Tan"/>
    <m/>
  </r>
  <r>
    <n v="1703"/>
    <n v="553"/>
    <d v="2021-07-11T00:00:00"/>
    <s v="BeachFlats"/>
    <s v="Jenny Hsu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anine Tan"/>
    <m/>
  </r>
  <r>
    <n v="1786"/>
    <n v="1504"/>
    <d v="2021-07-11T00:00:00"/>
    <s v="FarmGardenUCSC"/>
    <s v="Robyn Fowler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anine Tan"/>
    <m/>
  </r>
  <r>
    <n v="1653"/>
    <n v="424"/>
    <d v="2021-07-11T00:00:00"/>
    <s v="Grange"/>
    <s v="Jenny Hsu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anine Tan"/>
    <m/>
  </r>
  <r>
    <n v="1277"/>
    <n v="1924"/>
    <d v="2021-07-10T00:00:00"/>
    <s v="LaColina"/>
    <s v="Azucena Luctaero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enny Hsu"/>
    <m/>
  </r>
  <r>
    <n v="1265"/>
    <n v="1912"/>
    <d v="2021-07-10T00:00:00"/>
    <s v="LaColina"/>
    <s v="Stacy Philpott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Pollen"/>
    <s v="Jenny Hsu"/>
    <m/>
  </r>
  <r>
    <n v="1253"/>
    <n v="1850"/>
    <d v="2021-07-10T00:00:00"/>
    <s v="LaColina"/>
    <s v="Azucena Luctaero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enny Hsu"/>
    <m/>
  </r>
  <r>
    <n v="1237"/>
    <n v="1834"/>
    <d v="2021-07-10T00:00:00"/>
    <s v="LaColina"/>
    <s v="Jenny Hsu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enny Hsu"/>
    <m/>
  </r>
  <r>
    <n v="1093"/>
    <n v="1193"/>
    <d v="2021-07-10T00:00:00"/>
    <s v="LagunaSeca"/>
    <s v="Stacy Philpott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enny Hsu"/>
    <m/>
  </r>
  <r>
    <n v="1727"/>
    <n v="814"/>
    <d v="2021-07-07T00:00:00"/>
    <s v="SeniorCenter"/>
    <s v="Jenny Hsu"/>
    <s v="Netting"/>
    <x v="0"/>
    <s v="BumbleBee"/>
    <x v="0"/>
    <s v="Bombini"/>
    <s v="Bombus"/>
    <s v="vosnesenskii"/>
    <x v="0"/>
    <s v="female"/>
    <s v="tomato"/>
    <s v="crop"/>
    <s v="Solanaceae"/>
    <s v="Solanum"/>
    <s v="lycopersicum"/>
    <s v="Solanum lycopersicum"/>
    <s v="Not Native"/>
    <s v="Yellow"/>
    <x v="7"/>
    <x v="0"/>
    <x v="0"/>
    <s v="NA"/>
    <s v="Janine Tan"/>
    <m/>
  </r>
  <r>
    <n v="1711"/>
    <n v="562"/>
    <d v="2021-07-11T00:00:00"/>
    <s v="BeachFlats"/>
    <s v="Robyn Fowler"/>
    <s v="Netting"/>
    <x v="0"/>
    <s v="SweatBee"/>
    <x v="1"/>
    <s v="Halictini"/>
    <s v="Lasioglossum"/>
    <s v="sp_A"/>
    <x v="50"/>
    <s v="female"/>
    <s v="dandelion"/>
    <s v="weed"/>
    <s v="Asteraceae"/>
    <s v="Taraxacum"/>
    <s v="officinale"/>
    <s v="Taraxacum officinale"/>
    <s v="Not Native"/>
    <s v="Yellow"/>
    <x v="7"/>
    <x v="0"/>
    <x v="0"/>
    <s v="NA"/>
    <s v="Janine Tan"/>
    <m/>
  </r>
  <r>
    <n v="1708"/>
    <n v="558"/>
    <d v="2021-07-11T00:00:00"/>
    <s v="BeachFlats"/>
    <s v="Robyn Fowler"/>
    <s v="Netting"/>
    <x v="0"/>
    <s v="SweatBee"/>
    <x v="1"/>
    <s v="Halictini"/>
    <s v="Lasioglossum"/>
    <s v="sp_A"/>
    <x v="50"/>
    <s v="female"/>
    <s v="dandelion"/>
    <s v="weed"/>
    <s v="Asteraceae"/>
    <s v="Taraxacum"/>
    <s v="officinale"/>
    <s v="Taraxacum officinale"/>
    <s v="Not Native"/>
    <s v="Yellow"/>
    <x v="7"/>
    <x v="0"/>
    <x v="0"/>
    <s v="NA"/>
    <s v="Janine Tan"/>
    <m/>
  </r>
  <r>
    <n v="176"/>
    <n v="1262"/>
    <d v="2021-07-11T00:00:00"/>
    <s v="Grange"/>
    <s v="Gabriella Pardee"/>
    <s v="Netting"/>
    <x v="0"/>
    <s v="SweatBee"/>
    <x v="1"/>
    <s v="Halictini"/>
    <s v="Lasioglossum"/>
    <s v="sp_G"/>
    <x v="8"/>
    <s v="female"/>
    <s v="dandelion"/>
    <s v="weed"/>
    <s v="Asteraceae"/>
    <s v="Taraxacum"/>
    <s v="officinale"/>
    <s v="Taraxacum officinale"/>
    <s v="Not Native"/>
    <s v="Yellow"/>
    <x v="7"/>
    <x v="0"/>
    <x v="0"/>
    <s v="Pollen"/>
    <s v="Robyn Fowler"/>
    <m/>
  </r>
  <r>
    <n v="984"/>
    <n v="1292"/>
    <d v="2021-07-08T00:00:00"/>
    <s v="MEarth"/>
    <s v="Gabriella Pardee"/>
    <s v="Netting"/>
    <x v="1"/>
    <s v="Hoverfly"/>
    <x v="2"/>
    <s v="Syrphini"/>
    <s v="Sphaerophoria"/>
    <s v="sulphuripes"/>
    <x v="40"/>
    <m/>
    <s v="dandelion"/>
    <s v="weed"/>
    <s v="Asteraceae"/>
    <s v="Taraxacum"/>
    <s v="officinale"/>
    <s v="Taraxacum officinale"/>
    <s v="Not Native"/>
    <s v="Yellow"/>
    <x v="7"/>
    <x v="0"/>
    <x v="0"/>
    <s v="NA"/>
    <s v="Jenny Hsu"/>
    <m/>
  </r>
  <r>
    <n v="972"/>
    <n v="1280"/>
    <d v="2021-07-08T00:00:00"/>
    <s v="MEarth"/>
    <s v="Gabriella Pardee"/>
    <s v="Netting"/>
    <x v="0"/>
    <s v="SweatBee"/>
    <x v="1"/>
    <s v="Halictini"/>
    <s v="Lasioglossum"/>
    <s v="sp_A"/>
    <x v="50"/>
    <s v="female"/>
    <s v="dandelion"/>
    <s v="weed"/>
    <s v="Asteraceae"/>
    <s v="Taraxacum"/>
    <s v="officinale"/>
    <s v="Taraxacum officinale"/>
    <s v="Not Native"/>
    <s v="Yellow"/>
    <x v="7"/>
    <x v="0"/>
    <x v="1"/>
    <s v="NA"/>
    <s v="Jenny Hsu"/>
    <m/>
  </r>
  <r>
    <n v="1323"/>
    <n v="2020"/>
    <d v="2021-07-08T00:00:00"/>
    <s v="MIIS"/>
    <s v="Edith Gonzales"/>
    <s v="Netting"/>
    <x v="1"/>
    <s v="Hoverfly"/>
    <x v="2"/>
    <s v="Paragini"/>
    <s v="Paragus"/>
    <s v="haemorrhous"/>
    <x v="45"/>
    <m/>
    <s v="dandelion"/>
    <s v="weed"/>
    <s v="Asteraceae"/>
    <s v="Taraxacum"/>
    <s v="officinale"/>
    <s v="Taraxacum officinale"/>
    <s v="Not Native"/>
    <s v="Yellow"/>
    <x v="7"/>
    <x v="0"/>
    <x v="0"/>
    <s v="NA"/>
    <s v="Jenny Hsu"/>
    <m/>
  </r>
  <r>
    <n v="1142"/>
    <n v="1589"/>
    <d v="2021-07-07T00:00:00"/>
    <s v="Pajaro"/>
    <s v="Jenny Hsu"/>
    <s v="Netting"/>
    <x v="0"/>
    <s v="HoneyBee"/>
    <x v="0"/>
    <s v="Apini"/>
    <s v="Apis"/>
    <s v="mellifera"/>
    <x v="2"/>
    <s v="female"/>
    <s v="dandelion"/>
    <s v="weed"/>
    <s v="Asteraceae"/>
    <s v="Taraxacum"/>
    <s v="officinale"/>
    <s v="Taraxacum officinale"/>
    <s v="Not Native"/>
    <s v="Yellow"/>
    <x v="7"/>
    <x v="0"/>
    <x v="0"/>
    <s v="NA"/>
    <s v="Jenny Hsu"/>
    <m/>
  </r>
  <r>
    <n v="641"/>
    <n v="978"/>
    <d v="2021-07-07T00:00:00"/>
    <s v="ValleVerde"/>
    <s v="Gabriella Pardee"/>
    <s v="Netting"/>
    <x v="1"/>
    <s v="Hoverfly"/>
    <x v="2"/>
    <s v="Paragini"/>
    <s v="Paragus"/>
    <s v="haemorrhous"/>
    <x v="45"/>
    <m/>
    <s v="dandelion"/>
    <s v="weed"/>
    <s v="Asteraceae"/>
    <s v="Taraxacum"/>
    <s v="officinale"/>
    <s v="Taraxacum officinale"/>
    <s v="Not Native"/>
    <s v="Yellow"/>
    <x v="7"/>
    <x v="0"/>
    <x v="0"/>
    <s v="NA"/>
    <s v="Jenny Hsu"/>
    <m/>
  </r>
  <r>
    <n v="789"/>
    <n v="1318"/>
    <d v="2021-07-10T00:00:00"/>
    <s v="HomelessGardenProject"/>
    <s v="Gabriella Pardee"/>
    <s v="Netting"/>
    <x v="1"/>
    <s v="Hoverfly"/>
    <x v="2"/>
    <s v="Toxomerini"/>
    <s v="Toxomerus"/>
    <s v="marginatus"/>
    <x v="52"/>
    <m/>
    <s v="Weld"/>
    <s v="weed"/>
    <s v="Resedaceae"/>
    <s v="Reseda"/>
    <s v="luteola"/>
    <s v="Reseda luteola"/>
    <s v="Not Native"/>
    <s v="Yellow"/>
    <x v="7"/>
    <x v="3"/>
    <x v="0"/>
    <s v="NA"/>
    <s v="Jenny Hsu"/>
    <m/>
  </r>
  <r>
    <n v="793"/>
    <n v="1322"/>
    <d v="2021-07-10T00:00:00"/>
    <s v="HomelessGardenProject"/>
    <s v="Gabriella Pardee"/>
    <s v="Netting"/>
    <x v="0"/>
    <s v="HoneyBee"/>
    <x v="0"/>
    <s v="Apini"/>
    <s v="Apis"/>
    <s v="mellifera"/>
    <x v="2"/>
    <s v="female"/>
    <s v="Weld"/>
    <s v="weed"/>
    <s v="Resedaceae"/>
    <s v="Reseda"/>
    <s v="luteola"/>
    <s v="Reseda luteola"/>
    <s v="Not Native"/>
    <s v="Yellow"/>
    <x v="7"/>
    <x v="3"/>
    <x v="0"/>
    <s v="NA"/>
    <s v="Jenny Hsu"/>
    <m/>
  </r>
  <r>
    <n v="792"/>
    <n v="1321"/>
    <d v="2021-07-10T00:00:00"/>
    <s v="HomelessGardenProject"/>
    <s v="Gabriella Pardee"/>
    <s v="Netting"/>
    <x v="0"/>
    <s v="BumbleBee"/>
    <x v="0"/>
    <s v="Bombini"/>
    <s v="Bombus"/>
    <s v="californicus"/>
    <x v="1"/>
    <s v="female"/>
    <s v="Weld"/>
    <s v="weed"/>
    <s v="Resedaceae"/>
    <s v="Reseda"/>
    <s v="luteola"/>
    <s v="Reseda luteola"/>
    <s v="Not Native"/>
    <s v="Yellow"/>
    <x v="7"/>
    <x v="3"/>
    <x v="0"/>
    <s v="NA"/>
    <s v="Jenny Hsu"/>
    <m/>
  </r>
  <r>
    <n v="795"/>
    <n v="1324"/>
    <d v="2021-07-10T00:00:00"/>
    <s v="HomelessGardenProject"/>
    <s v="Gabriella Pardee"/>
    <s v="Netting"/>
    <x v="0"/>
    <s v="SweatBee"/>
    <x v="1"/>
    <s v="Halictini"/>
    <s v="Lasioglossum"/>
    <s v="sp_G"/>
    <x v="8"/>
    <s v="female"/>
    <s v="Weld"/>
    <s v="weed"/>
    <s v="Resedaceae"/>
    <s v="Reseda"/>
    <s v="luteola"/>
    <s v="Reseda luteola"/>
    <s v="Not Native"/>
    <s v="Yellow"/>
    <x v="7"/>
    <x v="3"/>
    <x v="0"/>
    <s v="NA"/>
    <s v="Jenny Hsu"/>
    <m/>
  </r>
  <r>
    <n v="1155"/>
    <n v="1652"/>
    <d v="2021-07-07T00:00:00"/>
    <s v="Pajaro"/>
    <s v="Jenny Hsu"/>
    <s v="Netting"/>
    <x v="1"/>
    <s v="OtherFly"/>
    <x v="8"/>
    <m/>
    <s v="anthomyid"/>
    <s v="sp_B"/>
    <x v="86"/>
    <m/>
    <s v="corn"/>
    <s v="crop"/>
    <s v="Poaceae"/>
    <s v="Zea"/>
    <s v="mays"/>
    <s v="Zea mays"/>
    <s v="Not Native"/>
    <s v="Yellow"/>
    <x v="7"/>
    <x v="3"/>
    <x v="0"/>
    <s v="NA"/>
    <s v="Jenny Hsu"/>
    <m/>
  </r>
  <r>
    <n v="640"/>
    <n v="977"/>
    <d v="2021-07-07T00:00:00"/>
    <s v="ValleVerde"/>
    <s v="Jenny Hsu"/>
    <s v="Netting"/>
    <x v="1"/>
    <s v="OtherFly"/>
    <x v="8"/>
    <m/>
    <s v="anthomyid"/>
    <s v="sp_B"/>
    <x v="86"/>
    <m/>
    <s v="corn"/>
    <s v="crop"/>
    <s v="Poaceae"/>
    <s v="Zea"/>
    <s v="mays"/>
    <s v="Zea mays"/>
    <s v="Not Native"/>
    <s v="Yellow"/>
    <x v="7"/>
    <x v="3"/>
    <x v="0"/>
    <s v="NA"/>
    <s v="Jenny Hsu"/>
    <m/>
  </r>
  <r>
    <n v="1255"/>
    <n v="1902"/>
    <d v="2021-07-10T00:00:00"/>
    <s v="LaColina"/>
    <s v="Jenny Hsu"/>
    <s v="Netting"/>
    <x v="0"/>
    <s v="BumbleBee"/>
    <x v="0"/>
    <s v="Bombini"/>
    <s v="Bombus"/>
    <s v="vosnesenskii"/>
    <x v="0"/>
    <s v="female"/>
    <s v="Watermelon"/>
    <s v="crop"/>
    <s v="Cucurbitaceae"/>
    <s v="Citrullus"/>
    <s v="lanatus"/>
    <s v="Citrullus lanatus"/>
    <s v="Not Native"/>
    <s v="Yellow"/>
    <x v="7"/>
    <x v="3"/>
    <x v="0"/>
    <s v="NA"/>
    <s v="Jenny Hsu"/>
    <m/>
  </r>
  <r>
    <n v="596"/>
    <n v="695"/>
    <d v="2021-07-07T00:00:00"/>
    <s v="Aptos"/>
    <s v="Gabriella Pardee"/>
    <s v="Netting"/>
    <x v="0"/>
    <s v="HoneyBee"/>
    <x v="0"/>
    <s v="Apini"/>
    <s v="Apis"/>
    <s v="mellifera"/>
    <x v="2"/>
    <s v="female"/>
    <s v="santolina"/>
    <s v="ornamental"/>
    <s v="Asteraceae"/>
    <s v="Santolina"/>
    <s v="chamecyparissus"/>
    <s v="Santolina chamecyparissus"/>
    <s v="Not Native"/>
    <s v="Yellow"/>
    <x v="7"/>
    <x v="1"/>
    <x v="0"/>
    <s v="NA"/>
    <s v="Jenny Hsu"/>
    <m/>
  </r>
  <r>
    <n v="1755"/>
    <n v="93"/>
    <d v="2021-07-07T00:00:00"/>
    <s v="Aptos"/>
    <s v="Sofie Andrade"/>
    <s v="Netting"/>
    <x v="0"/>
    <s v="SweatBee"/>
    <x v="1"/>
    <s v="Halictini"/>
    <s v="Lasioglossum"/>
    <s v="sp_H"/>
    <x v="97"/>
    <s v="female"/>
    <s v="santolina"/>
    <s v="ornamental"/>
    <s v="Asteraceae"/>
    <s v="Santolina"/>
    <s v="chamecyparissus"/>
    <s v="Santolina chamecyparissus"/>
    <s v="Not Native"/>
    <s v="Yellow"/>
    <x v="7"/>
    <x v="1"/>
    <x v="0"/>
    <s v="NA"/>
    <s v="Janine Tan"/>
    <m/>
  </r>
  <r>
    <n v="651"/>
    <n v="988"/>
    <d v="2021-07-07T00:00:00"/>
    <s v="ValleVerde"/>
    <s v="Gabriella Pardee"/>
    <s v="Netting"/>
    <x v="0"/>
    <s v="SweatBee"/>
    <x v="1"/>
    <s v="Halictini"/>
    <s v="Lasioglossum"/>
    <s v="sp_G"/>
    <x v="8"/>
    <s v="female"/>
    <s v="Velvety Goldenrod"/>
    <s v="weed"/>
    <s v="Asteraceae"/>
    <s v="Solidago"/>
    <s v="mollis"/>
    <s v="Solidago mollis"/>
    <s v="Not Native"/>
    <s v="Yellow"/>
    <x v="7"/>
    <x v="1"/>
    <x v="0"/>
    <s v="Pollen"/>
    <s v="Jenny Hsu"/>
    <m/>
  </r>
  <r>
    <n v="247"/>
    <n v="1298"/>
    <d v="2021-07-07T00:00:00"/>
    <s v="Aptos"/>
    <s v="Azucena Luctaero"/>
    <s v="Netting"/>
    <x v="0"/>
    <s v="BumbleBee"/>
    <x v="0"/>
    <s v="Bombini"/>
    <s v="Bombus"/>
    <s v="caliginosus"/>
    <x v="6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1746"/>
    <n v="833"/>
    <d v="2021-07-07T00:00:00"/>
    <s v="Aptos"/>
    <s v="Azucena Luctaero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anine Tan"/>
    <s v="bee"/>
  </r>
  <r>
    <n v="597"/>
    <n v="696"/>
    <d v="2021-07-07T00:00:00"/>
    <s v="Aptos"/>
    <s v="Gabriella Pardee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enny Hsu"/>
    <m/>
  </r>
  <r>
    <n v="1709"/>
    <n v="559"/>
    <d v="2021-07-11T00:00:00"/>
    <s v="BeachFlats"/>
    <s v="Robyn Fowler"/>
    <s v="Netting"/>
    <x v="1"/>
    <s v="Hoverfly"/>
    <x v="2"/>
    <s v="Syrphini"/>
    <s v="Allograpta"/>
    <s v="obliqua"/>
    <x v="5"/>
    <m/>
    <s v="tomatillo"/>
    <s v="crop"/>
    <s v="Solanaceae"/>
    <s v="Physalis"/>
    <s v="philadelphica"/>
    <s v="Physalis philadelphica"/>
    <s v="Not Native"/>
    <s v="Yellow"/>
    <x v="7"/>
    <x v="1"/>
    <x v="0"/>
    <s v="NA"/>
    <s v="Janine Tan"/>
    <m/>
  </r>
  <r>
    <n v="222"/>
    <n v="1048"/>
    <d v="2021-07-11T00:00:00"/>
    <s v="BeachFlats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216"/>
    <n v="1042"/>
    <d v="2021-07-11T00:00:00"/>
    <s v="BeachFlats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212"/>
    <n v="963"/>
    <d v="2021-07-11T00:00:00"/>
    <s v="BeachFlats"/>
    <s v="Gabriella Parde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217"/>
    <n v="1043"/>
    <d v="2021-07-11T00:00:00"/>
    <s v="BeachFlats"/>
    <s v="Sofie Andrade"/>
    <s v="Netting"/>
    <x v="0"/>
    <s v="OtherBee"/>
    <x v="0"/>
    <s v="Eucerini"/>
    <s v="Melissodes"/>
    <s v="sp_A"/>
    <x v="38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1390"/>
    <n v="2087"/>
    <d v="2021-07-09T00:00:00"/>
    <s v="Berryessa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s v="3 poll (2185+2186+2187)"/>
  </r>
  <r>
    <n v="1375"/>
    <n v="2072"/>
    <d v="2021-07-09T00:00:00"/>
    <s v="Berryessa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366"/>
    <n v="2063"/>
    <d v="2021-07-09T00:00:00"/>
    <s v="Berryessa"/>
    <s v="Robyn Fowler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354"/>
    <n v="2101"/>
    <d v="2021-07-09T00:00:00"/>
    <s v="Berryessa"/>
    <s v="Robyn Fowler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389"/>
    <n v="2086"/>
    <d v="2021-07-09T00:00:00"/>
    <s v="Berryessa"/>
    <s v="Gabriella Pardee"/>
    <s v="Netting"/>
    <x v="0"/>
    <s v="OtherBee"/>
    <x v="7"/>
    <s v="Colletini"/>
    <s v="Hylaeus"/>
    <s v="sp_B"/>
    <x v="18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s v="3 poll (2185+2186+2187)"/>
  </r>
  <r>
    <n v="1388"/>
    <n v="2085"/>
    <d v="2021-07-09T00:00:00"/>
    <s v="Berryessa"/>
    <s v="Gabriella Pardee"/>
    <s v="Netting"/>
    <x v="0"/>
    <s v="OtherBee"/>
    <x v="7"/>
    <s v="Colletini"/>
    <s v="Hylaeus"/>
    <s v="sp_C"/>
    <x v="43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s v="3 poll (2185+2186+2187)"/>
  </r>
  <r>
    <n v="1771"/>
    <n v="1489"/>
    <d v="2021-07-10T00:00:00"/>
    <s v="CoyoteCreek"/>
    <s v="Stacy Philpott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anine Tan"/>
    <m/>
  </r>
  <r>
    <n v="1440"/>
    <n v="2237"/>
    <d v="2021-07-10T00:00:00"/>
    <s v="CoyoteCreek"/>
    <s v="Gabriella Parde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enny Hsu"/>
    <m/>
  </r>
  <r>
    <n v="1408"/>
    <n v="2155"/>
    <d v="2021-07-10T00:00:00"/>
    <s v="CoyoteCreek"/>
    <s v="Azucena Luctaero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03"/>
    <n v="2150"/>
    <d v="2021-07-10T00:00:00"/>
    <s v="CoyoteCreek"/>
    <s v="Azucena Luctaero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501"/>
    <n v="2348"/>
    <d v="2021-07-11T00:00:00"/>
    <s v="FarmGardenUCSC"/>
    <s v="Robyn Fowler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504"/>
    <n v="2351"/>
    <d v="2021-07-11T00:00:00"/>
    <s v="FarmGardenUCSC"/>
    <s v="Robyn Fowler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502"/>
    <n v="2349"/>
    <d v="2021-07-11T00:00:00"/>
    <s v="FarmGardenUCSC"/>
    <s v="Robyn Fowler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89"/>
    <n v="2336"/>
    <d v="2021-07-11T00:00:00"/>
    <s v="FarmGardenUCSC"/>
    <s v="Gabriella Parde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76"/>
    <n v="2323"/>
    <d v="2021-07-11T00:00:00"/>
    <s v="FarmGardenUCSC"/>
    <s v="Sofie Andrad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74"/>
    <n v="2321"/>
    <d v="2021-07-11T00:00:00"/>
    <s v="FarmGardenUCSC"/>
    <s v="Gabriella Pardee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67"/>
    <n v="2264"/>
    <d v="2021-07-11T00:00:00"/>
    <s v="FarmGardenUCSC"/>
    <s v="Gabriella Pardee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59"/>
    <n v="2256"/>
    <d v="2021-07-11T00:00:00"/>
    <s v="FarmGardenUCSC"/>
    <s v="Robyn Fowler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471"/>
    <n v="2318"/>
    <d v="2021-07-11T00:00:00"/>
    <s v="FarmGardenUCSC"/>
    <s v="Gabriella Pardee"/>
    <s v="Netting"/>
    <x v="0"/>
    <s v="SweatBee"/>
    <x v="1"/>
    <s v="Halictini"/>
    <s v="Lasioglossum"/>
    <s v="sp_G"/>
    <x v="8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278"/>
    <n v="892"/>
    <d v="2021-07-09T00:00:00"/>
    <s v="Guadalupe"/>
    <s v="Robyn Fowler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1273"/>
    <n v="1920"/>
    <d v="2021-07-10T00:00:00"/>
    <s v="LaColina"/>
    <s v="Stacy Philpott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258"/>
    <n v="1905"/>
    <d v="2021-07-10T00:00:00"/>
    <s v="LaColina"/>
    <s v="Gabriella Parde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enny Hsu"/>
    <m/>
  </r>
  <r>
    <n v="1252"/>
    <n v="1849"/>
    <d v="2021-07-10T00:00:00"/>
    <s v="LaColina"/>
    <s v="Gabriella Parde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242"/>
    <n v="1839"/>
    <d v="2021-07-10T00:00:00"/>
    <s v="LaColina"/>
    <s v="Stacy Philpott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067"/>
    <n v="251"/>
    <d v="2021-07-10T00:00:00"/>
    <s v="LagunaSeca"/>
    <s v="Stacy Philpott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089"/>
    <n v="1189"/>
    <d v="2021-07-10T00:00:00"/>
    <s v="LagunaSeca"/>
    <s v="Stacy Philpott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059"/>
    <n v="124"/>
    <d v="2021-07-10T00:00:00"/>
    <s v="LagunaSeca"/>
    <s v="Azucena Luctaero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694"/>
    <n v="1079"/>
    <d v="2021-07-08T00:00:00"/>
    <s v="PacificGrove"/>
    <s v="Stacy Philpott"/>
    <s v="Netting"/>
    <x v="0"/>
    <s v="SweatBee"/>
    <x v="1"/>
    <s v="Halictini"/>
    <s v="Lasioglossum"/>
    <s v="sp_C"/>
    <x v="2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36"/>
    <n v="1583"/>
    <d v="2021-07-07T00:00:00"/>
    <s v="Pajaro"/>
    <s v="Sofie Andrade"/>
    <s v="Netting"/>
    <x v="1"/>
    <s v="OtherFly"/>
    <x v="8"/>
    <m/>
    <s v="anthomyid"/>
    <s v="sp_A"/>
    <x v="24"/>
    <m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41"/>
    <n v="1588"/>
    <d v="2021-07-07T00:00:00"/>
    <s v="Pajaro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40"/>
    <n v="1587"/>
    <d v="2021-07-07T00:00:00"/>
    <s v="Pajaro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25"/>
    <n v="1572"/>
    <d v="2021-07-07T00:00:00"/>
    <s v="Pajaro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24"/>
    <n v="1571"/>
    <d v="2021-07-07T00:00:00"/>
    <s v="Pajaro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22"/>
    <n v="1569"/>
    <d v="2021-07-07T00:00:00"/>
    <s v="Pajaro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18"/>
    <n v="1565"/>
    <d v="2021-07-07T00:00:00"/>
    <s v="Pajaro"/>
    <s v="Sofie Andrad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10"/>
    <n v="1557"/>
    <d v="2021-07-07T00:00:00"/>
    <s v="Pajaro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05"/>
    <n v="1205"/>
    <d v="2021-07-07T00:00:00"/>
    <s v="Pajaro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103"/>
    <n v="1203"/>
    <d v="2021-07-07T00:00:00"/>
    <s v="Pajaro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100"/>
    <n v="1200"/>
    <d v="2021-07-07T00:00:00"/>
    <s v="Pajaro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099"/>
    <n v="1199"/>
    <d v="2021-07-07T00:00:00"/>
    <s v="Pajaro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423"/>
    <n v="1476"/>
    <d v="2021-07-07T00:00:00"/>
    <s v="Pajaro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ectar"/>
    <s v="Robyn Fowler"/>
    <m/>
  </r>
  <r>
    <n v="1115"/>
    <n v="1562"/>
    <d v="2021-07-07T00:00:00"/>
    <s v="Pajaro"/>
    <s v="Jenny Hsu"/>
    <s v="Netting"/>
    <x v="0"/>
    <s v="BumbleBee"/>
    <x v="0"/>
    <s v="Bombini"/>
    <s v="Bombus"/>
    <s v="caliginosus"/>
    <x v="6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420"/>
    <n v="1473"/>
    <d v="2021-07-07T00:00:00"/>
    <s v="Pajaro"/>
    <s v="Gabriella Parde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s v="network"/>
  </r>
  <r>
    <n v="1102"/>
    <n v="1202"/>
    <d v="2021-07-07T00:00:00"/>
    <s v="Pajaro"/>
    <s v="Jenny Hsu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098"/>
    <n v="1198"/>
    <d v="2021-07-07T00:00:00"/>
    <s v="Pajaro"/>
    <s v="Gabriella Parde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422"/>
    <n v="1475"/>
    <d v="2021-07-07T00:00:00"/>
    <s v="Pajaro"/>
    <s v="Jenny Hsu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418"/>
    <n v="1471"/>
    <d v="2021-07-07T00:00:00"/>
    <s v="Pajaro"/>
    <s v="Azucena Luctaero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1129"/>
    <n v="1576"/>
    <d v="2021-07-07T00:00:00"/>
    <s v="Pajaro"/>
    <s v="Gabriella Pardee"/>
    <s v="Netting"/>
    <x v="0"/>
    <s v="SweatBee"/>
    <x v="1"/>
    <s v="Halictini"/>
    <s v="Halictus"/>
    <s v="tripartitus"/>
    <x v="4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enny Hsu"/>
    <m/>
  </r>
  <r>
    <n v="1131"/>
    <n v="1578"/>
    <d v="2021-07-07T00:00:00"/>
    <s v="Pajaro"/>
    <s v="Jenny Hsu"/>
    <s v="Netting"/>
    <x v="0"/>
    <s v="SweatBee"/>
    <x v="1"/>
    <s v="Halictini"/>
    <s v="Lasioglossum"/>
    <s v="sp_A"/>
    <x v="50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67"/>
    <n v="1664"/>
    <d v="2021-07-09T00:00:00"/>
    <s v="Prusch"/>
    <s v="Edith Gonzales"/>
    <s v="Netting"/>
    <x v="1"/>
    <s v="Hoverfly"/>
    <x v="2"/>
    <s v="Eristalini"/>
    <s v="Eristalis"/>
    <s v="hirta"/>
    <x v="80"/>
    <m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169"/>
    <n v="1666"/>
    <d v="2021-07-09T00:00:00"/>
    <s v="Prusch"/>
    <s v="Edith Gonzales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1165"/>
    <n v="1662"/>
    <d v="2021-07-09T00:00:00"/>
    <s v="Prusch"/>
    <s v="Sofie Andrad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1166"/>
    <n v="1663"/>
    <d v="2021-07-09T00:00:00"/>
    <s v="Prusch"/>
    <s v="Sofie Andrad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Jenny Hsu"/>
    <m/>
  </r>
  <r>
    <n v="202"/>
    <n v="1428"/>
    <d v="2021-07-11T00:00:00"/>
    <s v="Trescony"/>
    <s v="Sofie Andrad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1667"/>
    <n v="440"/>
    <d v="2021-07-11T00:00:00"/>
    <s v="Trescony"/>
    <s v="Gabriella Pardee"/>
    <s v="Netting"/>
    <x v="0"/>
    <s v="BumbleBee"/>
    <x v="0"/>
    <s v="Bombini"/>
    <s v="Bombus"/>
    <s v="vosnesenskii"/>
    <x v="0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anine Tan"/>
    <m/>
  </r>
  <r>
    <n v="393"/>
    <n v="489"/>
    <d v="2021-07-07T00:00:00"/>
    <s v="ValleVerde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s v="2 pollinators 1 bag (1/2)"/>
  </r>
  <r>
    <n v="391"/>
    <n v="487"/>
    <d v="2021-07-07T00:00:00"/>
    <s v="Valle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s v="network"/>
  </r>
  <r>
    <n v="390"/>
    <n v="486"/>
    <d v="2021-07-07T00:00:00"/>
    <s v="Valle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389"/>
    <n v="485"/>
    <d v="2021-07-07T00:00:00"/>
    <s v="Valle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377"/>
    <n v="473"/>
    <d v="2021-07-07T00:00:00"/>
    <s v="Valle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386"/>
    <n v="482"/>
    <d v="2021-07-07T00:00:00"/>
    <s v="ValleVerde"/>
    <s v="Azucena Luctaero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m/>
  </r>
  <r>
    <n v="385"/>
    <n v="481"/>
    <d v="2021-07-07T00:00:00"/>
    <s v="ValleVerde"/>
    <s v="Gabriella Parde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ectar"/>
    <s v="Robyn Fowler"/>
    <m/>
  </r>
  <r>
    <n v="383"/>
    <n v="479"/>
    <d v="2021-07-07T00:00:00"/>
    <s v="ValleVerde"/>
    <s v="Gabriella Pardee"/>
    <s v="Netting"/>
    <x v="0"/>
    <s v="BumbleBee"/>
    <x v="0"/>
    <s v="Bombini"/>
    <s v="Bombus"/>
    <s v="vosnesenskii"/>
    <x v="0"/>
    <s v="male"/>
    <s v="tomatillo"/>
    <s v="crop"/>
    <s v="Solanaceae"/>
    <s v="Physalis"/>
    <s v="philadelphica"/>
    <s v="Physalis philadelphica"/>
    <s v="Not Native"/>
    <s v="Yellow"/>
    <x v="7"/>
    <x v="1"/>
    <x v="0"/>
    <s v="Nectar"/>
    <s v="Robyn Fowler"/>
    <m/>
  </r>
  <r>
    <n v="394"/>
    <n v="490"/>
    <d v="2021-07-07T00:00:00"/>
    <s v="ValleVerde"/>
    <s v="Jenny Hsu"/>
    <s v="Netting"/>
    <x v="0"/>
    <s v="SweatBee"/>
    <x v="1"/>
    <s v="Halictini"/>
    <s v="Lasioglossum"/>
    <s v="sp_F"/>
    <x v="22"/>
    <s v="male"/>
    <s v="tomatillo"/>
    <s v="crop"/>
    <s v="Solanaceae"/>
    <s v="Physalis"/>
    <s v="philadelphica"/>
    <s v="Physalis philadelphica"/>
    <s v="Not Native"/>
    <s v="Yellow"/>
    <x v="7"/>
    <x v="1"/>
    <x v="0"/>
    <s v="NA"/>
    <s v="Robyn Fowler"/>
    <s v="2 pollinators 1 bag (2/2)"/>
  </r>
  <r>
    <n v="965"/>
    <n v="1273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59"/>
    <n v="1267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48"/>
    <n v="1124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32"/>
    <n v="1108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30"/>
    <n v="1106"/>
    <d v="2021-07-07T00:00:00"/>
    <s v="WVIMiJardin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Pollen"/>
    <s v="Jenny Hsu"/>
    <m/>
  </r>
  <r>
    <n v="927"/>
    <n v="1103"/>
    <d v="2021-07-07T00:00:00"/>
    <s v="WVIMiJardin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26"/>
    <n v="1102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19"/>
    <n v="337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913"/>
    <n v="1041"/>
    <d v="2021-07-07T00:00:00"/>
    <s v="WVIMiJardinVerde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0"/>
    <s v="NA"/>
    <s v="Jenny Hsu"/>
    <m/>
  </r>
  <r>
    <n v="416"/>
    <n v="1185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14"/>
    <n v="1183"/>
    <d v="2021-07-07T00:00:00"/>
    <s v="WVIMiJardinVerde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12"/>
    <n v="1181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11"/>
    <n v="464"/>
    <d v="2021-07-07T00:00:00"/>
    <s v="WVIMiJardin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Pollen"/>
    <s v="Robyn Fowler"/>
    <m/>
  </r>
  <r>
    <n v="410"/>
    <n v="463"/>
    <d v="2021-07-07T00:00:00"/>
    <s v="WVIMiJardin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09"/>
    <n v="462"/>
    <d v="2021-07-07T00:00:00"/>
    <s v="WVIMiJardinVerde"/>
    <s v="Gabriella Pardee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08"/>
    <n v="461"/>
    <d v="2021-07-07T00:00:00"/>
    <s v="WVIMiJardinVerde"/>
    <s v="Jenny Hsu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407"/>
    <n v="460"/>
    <d v="2021-07-07T00:00:00"/>
    <s v="WVIMiJardinVerde"/>
    <s v="Azucena Luctaero"/>
    <s v="Netting"/>
    <x v="0"/>
    <s v="HoneyBee"/>
    <x v="0"/>
    <s v="Apini"/>
    <s v="Apis"/>
    <s v="mellifera"/>
    <x v="2"/>
    <s v="female"/>
    <s v="tomatillo"/>
    <s v="crop"/>
    <s v="Solanaceae"/>
    <s v="Physalis"/>
    <s v="philadelphica"/>
    <s v="Physalis philadelphica"/>
    <s v="Not Native"/>
    <s v="Yellow"/>
    <x v="7"/>
    <x v="1"/>
    <x v="1"/>
    <s v="NA"/>
    <s v="Robyn Fowler"/>
    <m/>
  </r>
  <r>
    <n v="1372"/>
    <n v="2069"/>
    <d v="2021-07-09T00:00:00"/>
    <s v="Berryessa"/>
    <s v="Gabriella Pardee"/>
    <s v="Netting"/>
    <x v="0"/>
    <s v="OtherBee"/>
    <x v="7"/>
    <s v="Colletini"/>
    <s v="Hylaeus"/>
    <s v="sp_B"/>
    <x v="18"/>
    <s v="female"/>
    <s v="Lettuce"/>
    <s v="crop"/>
    <s v="Asteraceae"/>
    <s v="Lactuca"/>
    <s v="sativa"/>
    <s v="Lactuca sativa"/>
    <s v="Not Native"/>
    <s v="YellowBlue"/>
    <x v="7"/>
    <x v="0"/>
    <x v="0"/>
    <s v="NA"/>
    <s v="Jenny Hsu"/>
    <m/>
  </r>
  <r>
    <n v="1345"/>
    <n v="2092"/>
    <d v="2021-07-09T00:00:00"/>
    <s v="Berryessa"/>
    <s v="Gabriella Pardee"/>
    <s v="Netting"/>
    <x v="0"/>
    <s v="OtherBee"/>
    <x v="5"/>
    <s v="Osmiini"/>
    <s v="Heriades"/>
    <s v="sp_A"/>
    <x v="41"/>
    <s v="male"/>
    <s v="Lettuce"/>
    <s v="crop"/>
    <s v="Asteraceae"/>
    <s v="Lactuca"/>
    <s v="sativa"/>
    <s v="Lactuca sativa"/>
    <s v="Not Native"/>
    <s v="YellowBlue"/>
    <x v="7"/>
    <x v="0"/>
    <x v="1"/>
    <s v="NA"/>
    <s v="Jenny Hsu"/>
    <m/>
  </r>
  <r>
    <n v="1303"/>
    <n v="2000"/>
    <d v="2021-07-08T00:00:00"/>
    <s v="MIIS"/>
    <s v="Gabriella Pardee"/>
    <s v="Netting"/>
    <x v="0"/>
    <s v="HoneyBee"/>
    <x v="0"/>
    <s v="Apini"/>
    <s v="Apis"/>
    <s v="mellifera"/>
    <x v="2"/>
    <s v="female"/>
    <s v="Lettuce"/>
    <s v="crop"/>
    <s v="Asteraceae"/>
    <s v="Lactuca"/>
    <s v="sativa"/>
    <s v="Lactuca sativa"/>
    <s v="Not Native"/>
    <s v="YellowBlue"/>
    <x v="7"/>
    <x v="0"/>
    <x v="0"/>
    <s v="NA"/>
    <s v="Jenny Hsu"/>
    <m/>
  </r>
  <r>
    <n v="1333"/>
    <n v="2416"/>
    <d v="2021-07-08T00:00:00"/>
    <s v="MIIS"/>
    <s v="Gabriella Pardee"/>
    <s v="Netting"/>
    <x v="0"/>
    <s v="SweatBee"/>
    <x v="1"/>
    <s v="Halictini"/>
    <s v="Halictus"/>
    <s v="tripartitus"/>
    <x v="4"/>
    <s v="female"/>
    <s v="Lettuce"/>
    <s v="crop"/>
    <s v="Asteraceae"/>
    <s v="Lactuca"/>
    <s v="sativa"/>
    <s v="Lactuca sativa"/>
    <s v="Not Native"/>
    <s v="YellowBlue"/>
    <x v="7"/>
    <x v="0"/>
    <x v="0"/>
    <s v="NA"/>
    <s v="Jenny Hsu"/>
    <m/>
  </r>
  <r>
    <n v="670"/>
    <n v="1055"/>
    <d v="2021-07-08T00:00:00"/>
    <s v="PacificGrove"/>
    <s v="Gabriella Pardee"/>
    <s v="Netting"/>
    <x v="0"/>
    <s v="HoneyBee"/>
    <x v="0"/>
    <s v="Apini"/>
    <s v="Apis"/>
    <s v="mellifera"/>
    <x v="2"/>
    <s v="female"/>
    <s v="Lettuce"/>
    <s v="crop"/>
    <s v="Asteraceae"/>
    <s v="Lactuca"/>
    <s v="sativa"/>
    <s v="Lactuca sativa"/>
    <s v="Not Native"/>
    <s v="YellowBlue"/>
    <x v="7"/>
    <x v="0"/>
    <x v="0"/>
    <s v="Pollen"/>
    <s v="Jenny Hsu"/>
    <m/>
  </r>
  <r>
    <n v="1353"/>
    <n v="2100"/>
    <d v="2021-07-09T00:00:00"/>
    <s v="Berryessa"/>
    <s v="Robyn Fowler"/>
    <s v="Netting"/>
    <x v="0"/>
    <s v="SweatBee"/>
    <x v="1"/>
    <s v="Halictini"/>
    <s v="Agapostemon"/>
    <s v="texanus"/>
    <x v="44"/>
    <m/>
    <s v="black-eyed susan"/>
    <s v="ornamental"/>
    <s v="Asteraceae"/>
    <s v="Rudbeckia"/>
    <s v="hirta"/>
    <s v="Rudbeckia hirta"/>
    <s v="Not Native"/>
    <s v="YellowBrown"/>
    <x v="7"/>
    <x v="0"/>
    <x v="0"/>
    <s v="NA"/>
    <s v="Jenny Hsu"/>
    <m/>
  </r>
  <r>
    <n v="261"/>
    <n v="1467"/>
    <d v="2021-07-09T00:00:00"/>
    <s v="Guadalupe"/>
    <s v="Edith Gonzales"/>
    <s v="Netting"/>
    <x v="0"/>
    <s v="HoneyBee"/>
    <x v="0"/>
    <s v="Apini"/>
    <s v="Apis"/>
    <s v="mellifera"/>
    <x v="2"/>
    <s v="female"/>
    <s v="black-eyed susan"/>
    <s v="ornamental"/>
    <s v="Asteraceae"/>
    <s v="Rudbeckia"/>
    <s v="hirta"/>
    <s v="Rudbeckia hirta"/>
    <s v="Not Native"/>
    <s v="YellowBrown"/>
    <x v="7"/>
    <x v="0"/>
    <x v="0"/>
    <s v="NA"/>
    <s v="Robyn Fowler"/>
    <m/>
  </r>
  <r>
    <n v="595"/>
    <n v="694"/>
    <d v="2021-07-07T00:00:00"/>
    <s v="Aptos"/>
    <s v="Gabriella Pardee"/>
    <s v="Netting"/>
    <x v="1"/>
    <s v="Hoverfly"/>
    <x v="2"/>
    <s v="Milesini"/>
    <s v="Syritta"/>
    <s v="pipiens"/>
    <x v="11"/>
    <m/>
    <s v="dill"/>
    <s v="ornamental"/>
    <s v="Apiaceae"/>
    <s v="Anethum"/>
    <s v="graveolens"/>
    <s v="Anethum graveolens"/>
    <s v="Not Native"/>
    <s v="YellowGreen"/>
    <x v="7"/>
    <x v="0"/>
    <x v="0"/>
    <s v="NA"/>
    <s v="Jenny Hsu"/>
    <m/>
  </r>
  <r>
    <n v="1228"/>
    <n v="1825"/>
    <d v="2021-07-10T00:00:00"/>
    <s v="LaColina"/>
    <s v="Azucena Luctaero"/>
    <s v="Netting"/>
    <x v="0"/>
    <s v="HoneyBee"/>
    <x v="0"/>
    <s v="Apini"/>
    <s v="Apis"/>
    <s v="mellifera"/>
    <x v="2"/>
    <s v="female"/>
    <s v="dill"/>
    <s v="ornamental"/>
    <s v="Apiaceae"/>
    <s v="Anethum"/>
    <s v="graveolens"/>
    <s v="Anethum graveolens"/>
    <s v="Not Native"/>
    <s v="YellowGreen"/>
    <x v="7"/>
    <x v="0"/>
    <x v="0"/>
    <s v="NA"/>
    <s v="Jenny Hsu"/>
    <m/>
  </r>
  <r>
    <n v="1234"/>
    <n v="1831"/>
    <d v="2021-07-10T00:00:00"/>
    <s v="LaColina"/>
    <s v="Azucena Luctaero"/>
    <s v="Netting"/>
    <x v="0"/>
    <s v="OtherBee"/>
    <x v="7"/>
    <s v="Colletini"/>
    <s v="Hylaeus"/>
    <s v="sp_D"/>
    <x v="42"/>
    <s v="male"/>
    <s v="dill"/>
    <s v="ornamental"/>
    <s v="Apiaceae"/>
    <s v="Anethum"/>
    <s v="graveolens"/>
    <s v="Anethum graveolens"/>
    <s v="Not Native"/>
    <s v="YellowGreen"/>
    <x v="7"/>
    <x v="0"/>
    <x v="0"/>
    <s v="NA"/>
    <s v="Jenny Hsu"/>
    <m/>
  </r>
  <r>
    <n v="258"/>
    <n v="1464"/>
    <d v="2021-07-07T00:00:00"/>
    <s v="Aptos"/>
    <s v="Jenny Hsu"/>
    <s v="Netting"/>
    <x v="1"/>
    <s v="Hoverfly"/>
    <x v="2"/>
    <s v="Paragini"/>
    <s v="Paragus"/>
    <s v="haemorrhous"/>
    <x v="45"/>
    <m/>
    <s v="parsley"/>
    <s v="crop"/>
    <s v="Apiaceae"/>
    <s v="Petroselinum"/>
    <s v="crispum"/>
    <s v="Petroselinum crispum"/>
    <s v="Not Native"/>
    <s v="YellowGreen"/>
    <x v="1"/>
    <x v="0"/>
    <x v="0"/>
    <s v="NA"/>
    <s v="Robyn Fowler"/>
    <m/>
  </r>
  <r>
    <n v="406"/>
    <n v="459"/>
    <d v="2021-07-07T00:00:00"/>
    <s v="WVIMiJardinVerde"/>
    <s v="Jenny Hsu"/>
    <s v="Netting"/>
    <x v="0"/>
    <s v="HoneyBee"/>
    <x v="0"/>
    <s v="Apini"/>
    <s v="Apis"/>
    <s v="mellifera"/>
    <x v="2"/>
    <s v="female"/>
    <s v="violetta"/>
    <s v="ornamental"/>
    <s v="Scrophulariaceae"/>
    <s v="Verbascum"/>
    <s v="phoenicium"/>
    <s v="Verbascum phoenicium"/>
    <s v="Not Native"/>
    <s v="YellowPurple"/>
    <x v="1"/>
    <x v="0"/>
    <x v="1"/>
    <s v="NA"/>
    <s v="Robyn Fowler"/>
    <m/>
  </r>
  <r>
    <n v="1092"/>
    <n v="1192"/>
    <d v="2021-07-10T00:00:00"/>
    <s v="LagunaSeca"/>
    <s v="Azucena Luctaero"/>
    <s v="Netting"/>
    <x v="0"/>
    <s v="HoneyBee"/>
    <x v="0"/>
    <s v="Apini"/>
    <s v="Apis"/>
    <s v="mellifera"/>
    <x v="2"/>
    <s v="female"/>
    <s v="Red Pineapple"/>
    <s v="ornamental"/>
    <s v="Bromeliaceae"/>
    <s v="Ananas"/>
    <s v="bracteatus"/>
    <s v="Ananas bracteatus"/>
    <s v="Not Native"/>
    <s v="YellowRed"/>
    <x v="6"/>
    <x v="3"/>
    <x v="0"/>
    <s v="NA"/>
    <s v="Jenny Hsu"/>
    <m/>
  </r>
  <r>
    <n v="1487"/>
    <n v="2334"/>
    <d v="2021-07-11T00:00:00"/>
    <s v="FarmGardenUCSC"/>
    <s v="Gabriella Pardee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s v="2 poll (2333+2334)"/>
  </r>
  <r>
    <n v="1508"/>
    <n v="2405"/>
    <d v="2021-07-11T00:00:00"/>
    <s v="FarmGardenUCSC"/>
    <s v="Robyn Fowler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98"/>
    <n v="2345"/>
    <d v="2021-07-11T00:00:00"/>
    <s v="FarmGardenUCSC"/>
    <s v="Jenny Hsu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80"/>
    <n v="2327"/>
    <d v="2021-07-11T00:00:00"/>
    <s v="FarmGardenUCSC"/>
    <s v="Robyn Fowler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73"/>
    <n v="2320"/>
    <d v="2021-07-11T00:00:00"/>
    <s v="FarmGardenUCSC"/>
    <s v="Gabriella Pardee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58"/>
    <n v="2255"/>
    <d v="2021-07-11T00:00:00"/>
    <s v="FarmGardenUCSC"/>
    <s v="Robyn Fowler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52"/>
    <n v="2249"/>
    <d v="2021-07-11T00:00:00"/>
    <s v="FarmGardenUCSC"/>
    <s v="Sofie Andrade"/>
    <s v="Netting"/>
    <x v="0"/>
    <s v="HoneyBee"/>
    <x v="0"/>
    <s v="Apini"/>
    <s v="Apis"/>
    <s v="mellifera"/>
    <x v="2"/>
    <s v="female"/>
    <s v="asian greens or choy"/>
    <s v="crop"/>
    <s v="Brassicaceae"/>
    <s v="Brassica"/>
    <s v="rapa"/>
    <s v="Brassica rapa"/>
    <s v="Not Native"/>
    <s v="YellowWhite"/>
    <x v="7"/>
    <x v="0"/>
    <x v="1"/>
    <s v="NA"/>
    <s v="Jenny Hsu"/>
    <m/>
  </r>
  <r>
    <n v="1787"/>
    <n v="1505"/>
    <d v="2021-07-11T00:00:00"/>
    <s v="FarmGardenUCSC"/>
    <s v="Gabriella Pardee"/>
    <s v="Netting"/>
    <x v="0"/>
    <s v="BumbleBee"/>
    <x v="0"/>
    <s v="Bombini"/>
    <s v="Bombus"/>
    <s v="vosnesenskii"/>
    <x v="0"/>
    <s v="male"/>
    <s v="asian greens or choy"/>
    <s v="crop"/>
    <s v="Brassicaceae"/>
    <s v="Brassica"/>
    <s v="rapa"/>
    <s v="Brassica rapa"/>
    <s v="Not Native"/>
    <s v="YellowWhite"/>
    <x v="7"/>
    <x v="0"/>
    <x v="0"/>
    <s v="NA"/>
    <s v="Janine Tan"/>
    <m/>
  </r>
  <r>
    <n v="1483"/>
    <n v="2330"/>
    <d v="2021-07-11T00:00:00"/>
    <s v="FarmGardenUCSC"/>
    <s v="Gabriella Pardee"/>
    <s v="Netting"/>
    <x v="0"/>
    <s v="OtherBee"/>
    <x v="7"/>
    <s v="Colletini"/>
    <s v="Hylaeus"/>
    <s v="sp_B"/>
    <x v="18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m/>
  </r>
  <r>
    <n v="1486"/>
    <n v="2333"/>
    <d v="2021-07-11T00:00:00"/>
    <s v="FarmGardenUCSC"/>
    <s v="Gabriella Pardee"/>
    <s v="Netting"/>
    <x v="0"/>
    <s v="SweatBee"/>
    <x v="1"/>
    <s v="Halictini"/>
    <s v="Lasioglossum"/>
    <s v="sp_G"/>
    <x v="8"/>
    <s v="female"/>
    <s v="asian greens or choy"/>
    <s v="crop"/>
    <s v="Brassicaceae"/>
    <s v="Brassica"/>
    <s v="rapa"/>
    <s v="Brassica rapa"/>
    <s v="Not Native"/>
    <s v="YellowWhite"/>
    <x v="7"/>
    <x v="0"/>
    <x v="0"/>
    <s v="NA"/>
    <s v="Jenny Hsu"/>
    <s v="2 poll (2333+2334)"/>
  </r>
  <r>
    <n v="173"/>
    <n v="1259"/>
    <d v="2021-07-11T00:00:00"/>
    <s v="Grange"/>
    <s v="Sofie Andrade"/>
    <s v="Netting"/>
    <x v="1"/>
    <s v="Hoverfly"/>
    <x v="2"/>
    <s v="Eristalini"/>
    <s v="Eristalis"/>
    <s v="hirta"/>
    <x v="80"/>
    <m/>
    <s v="bok choy"/>
    <s v="crop"/>
    <s v="Brassicaceae"/>
    <s v="Brassica"/>
    <s v="rapa"/>
    <s v="Brassica rapa"/>
    <s v="Not Native"/>
    <s v="YellowWhite"/>
    <x v="7"/>
    <x v="0"/>
    <x v="0"/>
    <s v="NA"/>
    <s v="Robyn Fowler"/>
    <m/>
  </r>
  <r>
    <n v="867"/>
    <n v="947"/>
    <d v="2021-07-11T00:00:00"/>
    <s v="Chadwick"/>
    <s v="Gabriella Pardee"/>
    <s v="Netting"/>
    <x v="1"/>
    <s v="Hoverfly"/>
    <x v="2"/>
    <s v="Paragini"/>
    <s v="Paragus"/>
    <s v="haemorrhous"/>
    <x v="45"/>
    <m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m/>
  </r>
  <r>
    <n v="872"/>
    <n v="952"/>
    <d v="2021-07-11T00:00:00"/>
    <s v="Chadwick"/>
    <s v="Jenny Hsu"/>
    <s v="Netting"/>
    <x v="0"/>
    <s v="HoneyBee"/>
    <x v="0"/>
    <s v="Apini"/>
    <s v="Apis"/>
    <s v="mellifera"/>
    <x v="2"/>
    <s v="female"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m/>
  </r>
  <r>
    <n v="978"/>
    <n v="1286"/>
    <d v="2021-07-08T00:00:00"/>
    <s v="MEarth"/>
    <s v="Gabriella Pardee"/>
    <s v="Netting"/>
    <x v="1"/>
    <s v="Hoverfly"/>
    <x v="2"/>
    <s v="Syrphini"/>
    <s v="Sphaerophoria"/>
    <s v="sulphuripes"/>
    <x v="40"/>
    <m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m/>
  </r>
  <r>
    <n v="1151"/>
    <n v="1648"/>
    <d v="2021-07-07T00:00:00"/>
    <s v="Pajaro"/>
    <s v="Gabriella Pardee"/>
    <s v="Netting"/>
    <x v="1"/>
    <s v="OtherFly"/>
    <x v="4"/>
    <s v="Lucilini"/>
    <s v="Lucila"/>
    <s v="sp_A"/>
    <x v="10"/>
    <s v="male"/>
    <s v="fever few"/>
    <s v="crop"/>
    <s v="Asteraceae"/>
    <s v="Tanacetum"/>
    <s v="parthenium"/>
    <s v="Tanacetum parthenium"/>
    <s v="Not Native"/>
    <s v="YellowWhite"/>
    <x v="9"/>
    <x v="0"/>
    <x v="0"/>
    <s v="Nectar"/>
    <s v="Jenny Hsu"/>
    <m/>
  </r>
  <r>
    <n v="424"/>
    <n v="1477"/>
    <d v="2021-07-07T00:00:00"/>
    <s v="Pajaro"/>
    <s v="Sofie Andrade"/>
    <s v="Netting"/>
    <x v="1"/>
    <s v="Hoverfly"/>
    <x v="2"/>
    <s v="Eristalini"/>
    <s v="Eristalis"/>
    <s v="tenax"/>
    <x v="98"/>
    <m/>
    <s v="fever few"/>
    <s v="crop"/>
    <s v="Asteraceae"/>
    <s v="Tanacetum"/>
    <s v="parthenium"/>
    <s v="Tanacetum parthenium"/>
    <s v="Not Native"/>
    <s v="YellowWhite"/>
    <x v="9"/>
    <x v="0"/>
    <x v="0"/>
    <s v="NA"/>
    <s v="Robyn Fowler"/>
    <m/>
  </r>
  <r>
    <n v="1139"/>
    <n v="1586"/>
    <d v="2021-07-07T00:00:00"/>
    <s v="Pajaro"/>
    <s v="Gabriella Pardee"/>
    <s v="Netting"/>
    <x v="0"/>
    <s v="HoneyBee"/>
    <x v="0"/>
    <s v="Apini"/>
    <s v="Apis"/>
    <s v="mellifera"/>
    <x v="2"/>
    <s v="female"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m/>
  </r>
  <r>
    <n v="242"/>
    <n v="1217"/>
    <d v="2021-07-07T00:00:00"/>
    <s v="SeniorCenter"/>
    <s v="Gabriella Pardee"/>
    <s v="Netting"/>
    <x v="1"/>
    <s v="Hoverfly"/>
    <x v="2"/>
    <s v="Bacchini"/>
    <s v="Platycheirus"/>
    <s v="sp_A"/>
    <x v="99"/>
    <s v="female"/>
    <s v="fever few"/>
    <s v="crop"/>
    <s v="Asteraceae"/>
    <s v="Tanacetum"/>
    <s v="parthenium"/>
    <s v="Tanacetum parthenium"/>
    <s v="Not Native"/>
    <s v="YellowWhite"/>
    <x v="9"/>
    <x v="0"/>
    <x v="0"/>
    <s v="NA"/>
    <s v="Robyn Fowler"/>
    <m/>
  </r>
  <r>
    <n v="558"/>
    <n v="189"/>
    <d v="2021-07-11T00:00:00"/>
    <s v="Trescony"/>
    <s v="Gabriella Pardee"/>
    <s v="Netting"/>
    <x v="1"/>
    <s v="Hoverfly"/>
    <x v="2"/>
    <s v="Milesini"/>
    <s v="Syritta"/>
    <s v="pipiens"/>
    <x v="11"/>
    <m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m/>
  </r>
  <r>
    <n v="963"/>
    <n v="1271"/>
    <d v="2021-07-07T00:00:00"/>
    <s v="WVIMiJardinVerde"/>
    <s v="Gabriella Pardee"/>
    <s v="Netting"/>
    <x v="1"/>
    <s v="Hoverfly"/>
    <x v="2"/>
    <s v="Paragini"/>
    <s v="Paragus"/>
    <s v="haemorrhous"/>
    <x v="45"/>
    <m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s v="2 poll (1270+1271)"/>
  </r>
  <r>
    <n v="962"/>
    <n v="1270"/>
    <d v="2021-07-07T00:00:00"/>
    <s v="WVIMiJardinVerde"/>
    <s v="Gabriella Pardee"/>
    <s v="Netting"/>
    <x v="1"/>
    <s v="Hoverfly"/>
    <x v="2"/>
    <s v="Paragini"/>
    <s v="Paragus"/>
    <s v="haemorrhous"/>
    <x v="45"/>
    <m/>
    <s v="fever few"/>
    <s v="crop"/>
    <s v="Asteraceae"/>
    <s v="Tanacetum"/>
    <s v="parthenium"/>
    <s v="Tanacetum parthenium"/>
    <s v="Not Native"/>
    <s v="YellowWhite"/>
    <x v="9"/>
    <x v="0"/>
    <x v="0"/>
    <s v="NA"/>
    <s v="Jenny Hsu"/>
    <s v="2 poll (1270+1271)"/>
  </r>
  <r>
    <n v="219"/>
    <n v="1045"/>
    <d v="2021-07-11T00:00:00"/>
    <s v="BeachFlats"/>
    <s v="Gabriella Pardee"/>
    <s v="Netting"/>
    <x v="1"/>
    <s v="Hoverfly"/>
    <x v="2"/>
    <s v="Syrphini"/>
    <s v="Sphaerophoria"/>
    <s v="sulphuripes"/>
    <x v="40"/>
    <m/>
    <s v="sow thistle"/>
    <s v="weed"/>
    <s v="Asteraceae"/>
    <s v="Sonchus"/>
    <s v="sp."/>
    <s v="Sonchus sp. A"/>
    <s v="U"/>
    <s v="YellowWhite"/>
    <x v="7"/>
    <x v="0"/>
    <x v="0"/>
    <s v="NA"/>
    <s v="Robyn Fowler"/>
    <m/>
  </r>
  <r>
    <n v="1696"/>
    <n v="575"/>
    <d v="2021-07-11T00:00:00"/>
    <s v="BeachFlats"/>
    <s v="Jenny Hsu"/>
    <s v="Netting"/>
    <x v="0"/>
    <s v="SweatBee"/>
    <x v="1"/>
    <s v="Halictini"/>
    <s v="Lasioglossum"/>
    <s v="sp_A"/>
    <x v="50"/>
    <s v="female"/>
    <s v="sow thistle"/>
    <s v="weed"/>
    <s v="Asteraceae"/>
    <s v="Sonchus"/>
    <s v="sp."/>
    <s v="Sonchus sp. A"/>
    <s v="U"/>
    <s v="YellowWhite"/>
    <x v="7"/>
    <x v="0"/>
    <x v="0"/>
    <s v="NA"/>
    <s v="Janine Tan"/>
    <m/>
  </r>
  <r>
    <n v="1018"/>
    <n v="1374"/>
    <d v="2021-07-08T00:00:00"/>
    <s v="MEarth"/>
    <s v="Jenny Hsu"/>
    <s v="Netting"/>
    <x v="0"/>
    <s v="SweatBee"/>
    <x v="1"/>
    <s v="Halictini"/>
    <s v="Lasioglossum"/>
    <s v="sp_A"/>
    <x v="50"/>
    <s v="female"/>
    <s v="sow thistle"/>
    <s v="weed"/>
    <s v="Asteraceae"/>
    <s v="Sonchus"/>
    <s v="sp."/>
    <s v="Sonchus sp. A"/>
    <s v="U"/>
    <s v="YellowWhite"/>
    <x v="7"/>
    <x v="0"/>
    <x v="0"/>
    <s v="NA"/>
    <s v="Jenny Hsu"/>
    <m/>
  </r>
  <r>
    <n v="519"/>
    <n v="59"/>
    <d v="2021-07-09T00:00:00"/>
    <s v="CharlesStreet"/>
    <s v="Gabriella Pardee"/>
    <s v="Netting"/>
    <x v="2"/>
    <s v="Butterfly"/>
    <x v="6"/>
    <s v="Pyrgini"/>
    <s v="Burnsius"/>
    <s v="albescens"/>
    <x v="93"/>
    <s v="Unable to ID"/>
    <s v="Corethrogyne Filaginifolia"/>
    <s v="ornamental"/>
    <s v="Asteraceae"/>
    <s v="Corethrogyne"/>
    <s v="filaginifolia"/>
    <s v="Corethrogyne filaginifolia"/>
    <s v="Native"/>
    <s v="YellowWhitePink"/>
    <x v="1"/>
    <x v="1"/>
    <x v="0"/>
    <s v="NA"/>
    <s v="Jenny Hsu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1DD10-C396-4DBC-B471-89089FDBFAD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U10" firstHeaderRow="1" firstDataRow="3" firstDataCol="1"/>
  <pivotFields count="28">
    <pivotField showAll="0"/>
    <pivotField showAll="0"/>
    <pivotField numFmtId="14" showAll="0"/>
    <pivotField showAll="0"/>
    <pivotField dataField="1" showAll="0"/>
    <pivotField showAll="0"/>
    <pivotField axis="axisCol" showAll="0">
      <items count="4">
        <item x="1"/>
        <item x="0"/>
        <item sd="0" x="2"/>
        <item t="default"/>
      </items>
    </pivotField>
    <pivotField showAll="0"/>
    <pivotField axis="axisCol" showAll="0">
      <items count="23">
        <item x="20"/>
        <item x="8"/>
        <item x="0"/>
        <item x="15"/>
        <item x="4"/>
        <item x="7"/>
        <item x="9"/>
        <item x="13"/>
        <item x="18"/>
        <item x="1"/>
        <item x="6"/>
        <item x="17"/>
        <item x="5"/>
        <item x="10"/>
        <item x="21"/>
        <item x="3"/>
        <item x="16"/>
        <item x="11"/>
        <item x="2"/>
        <item x="12"/>
        <item x="19"/>
        <item x="14"/>
        <item t="default"/>
      </items>
    </pivotField>
    <pivotField showAll="0"/>
    <pivotField showAll="0"/>
    <pivotField showAll="0"/>
    <pivotField showAll="0">
      <items count="101">
        <item x="44"/>
        <item x="74"/>
        <item x="82"/>
        <item x="5"/>
        <item x="84"/>
        <item x="24"/>
        <item x="86"/>
        <item x="69"/>
        <item x="16"/>
        <item x="15"/>
        <item x="2"/>
        <item x="1"/>
        <item x="6"/>
        <item x="57"/>
        <item x="34"/>
        <item x="0"/>
        <item x="76"/>
        <item x="93"/>
        <item x="73"/>
        <item x="67"/>
        <item x="65"/>
        <item x="3"/>
        <item x="9"/>
        <item x="96"/>
        <item x="13"/>
        <item x="35"/>
        <item x="37"/>
        <item x="30"/>
        <item x="61"/>
        <item x="80"/>
        <item x="98"/>
        <item x="51"/>
        <item x="60"/>
        <item x="32"/>
        <item x="4"/>
        <item x="48"/>
        <item x="41"/>
        <item x="71"/>
        <item x="75"/>
        <item x="55"/>
        <item x="23"/>
        <item x="18"/>
        <item x="43"/>
        <item x="42"/>
        <item x="94"/>
        <item x="83"/>
        <item x="17"/>
        <item x="87"/>
        <item x="91"/>
        <item x="50"/>
        <item x="47"/>
        <item x="20"/>
        <item x="19"/>
        <item x="78"/>
        <item x="22"/>
        <item x="8"/>
        <item x="97"/>
        <item x="79"/>
        <item x="81"/>
        <item x="92"/>
        <item x="10"/>
        <item x="26"/>
        <item x="56"/>
        <item x="90"/>
        <item x="31"/>
        <item x="95"/>
        <item x="12"/>
        <item x="58"/>
        <item x="36"/>
        <item x="38"/>
        <item x="39"/>
        <item x="33"/>
        <item x="68"/>
        <item x="27"/>
        <item x="77"/>
        <item x="45"/>
        <item x="21"/>
        <item x="7"/>
        <item x="99"/>
        <item x="53"/>
        <item x="25"/>
        <item x="49"/>
        <item x="28"/>
        <item x="64"/>
        <item x="40"/>
        <item x="54"/>
        <item x="11"/>
        <item x="70"/>
        <item x="29"/>
        <item x="85"/>
        <item x="66"/>
        <item x="89"/>
        <item x="62"/>
        <item x="63"/>
        <item x="72"/>
        <item x="52"/>
        <item x="88"/>
        <item x="59"/>
        <item x="46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4"/>
        <item x="1"/>
        <item x="5"/>
        <item x="8"/>
        <item x="2"/>
        <item x="6"/>
        <item x="3"/>
        <item x="9"/>
        <item x="7"/>
        <item t="default"/>
      </items>
    </pivotField>
    <pivotField axis="axisRow" showAll="0">
      <items count="7">
        <item x="0"/>
        <item x="4"/>
        <item x="2"/>
        <item x="3"/>
        <item x="1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6"/>
    <field x="8"/>
  </colFields>
  <colItems count="20">
    <i>
      <x/>
      <x v="1"/>
    </i>
    <i r="1">
      <x v="3"/>
    </i>
    <i r="1">
      <x v="4"/>
    </i>
    <i r="1">
      <x v="7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t="default">
      <x/>
    </i>
    <i>
      <x v="1"/>
      <x/>
    </i>
    <i r="1">
      <x v="2"/>
    </i>
    <i r="1">
      <x v="5"/>
    </i>
    <i r="1">
      <x v="9"/>
    </i>
    <i r="1">
      <x v="12"/>
    </i>
    <i t="default">
      <x v="1"/>
    </i>
    <i>
      <x v="2"/>
    </i>
    <i t="grand">
      <x/>
    </i>
  </colItems>
  <dataFields count="1">
    <dataField name="Count of Collecto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EFCF-9CD2-5D46-9D59-B14134AB9B62}">
  <dimension ref="A1:AB1451"/>
  <sheetViews>
    <sheetView topLeftCell="I1" zoomScale="47" zoomScaleNormal="140" workbookViewId="0">
      <selection activeCell="W1" sqref="W1"/>
    </sheetView>
  </sheetViews>
  <sheetFormatPr defaultColWidth="10.6640625" defaultRowHeight="16" x14ac:dyDescent="0.8"/>
  <cols>
    <col min="1" max="1" width="5.6640625" bestFit="1" customWidth="1"/>
    <col min="2" max="2" width="8.83203125" bestFit="1" customWidth="1"/>
    <col min="3" max="3" width="12.6640625" bestFit="1" customWidth="1"/>
    <col min="4" max="4" width="21" bestFit="1" customWidth="1"/>
    <col min="5" max="5" width="15.5" bestFit="1" customWidth="1"/>
    <col min="6" max="6" width="7.5" bestFit="1" customWidth="1"/>
    <col min="7" max="7" width="13.6640625" bestFit="1" customWidth="1"/>
    <col min="8" max="8" width="20.6640625" bestFit="1" customWidth="1"/>
    <col min="9" max="9" width="14.6640625" bestFit="1" customWidth="1"/>
    <col min="10" max="10" width="14" bestFit="1" customWidth="1"/>
    <col min="11" max="11" width="14.1640625" bestFit="1" customWidth="1"/>
    <col min="12" max="12" width="15.1640625" bestFit="1" customWidth="1"/>
    <col min="13" max="13" width="23.1640625" bestFit="1" customWidth="1"/>
    <col min="14" max="14" width="12" bestFit="1" customWidth="1"/>
    <col min="15" max="15" width="22.5" bestFit="1" customWidth="1"/>
    <col min="16" max="16" width="10.6640625" bestFit="1" customWidth="1"/>
    <col min="17" max="17" width="15.6640625" bestFit="1" customWidth="1"/>
    <col min="18" max="18" width="15.5" bestFit="1" customWidth="1"/>
    <col min="19" max="19" width="15" bestFit="1" customWidth="1"/>
    <col min="20" max="20" width="23.6640625" bestFit="1" customWidth="1"/>
    <col min="21" max="21" width="10" style="10" bestFit="1" customWidth="1"/>
    <col min="22" max="22" width="24.58203125" style="10" bestFit="1" customWidth="1"/>
    <col min="23" max="23" width="19.70703125" style="10" bestFit="1" customWidth="1"/>
    <col min="24" max="24" width="11.83203125" style="10" bestFit="1" customWidth="1"/>
    <col min="25" max="25" width="13.33203125" bestFit="1" customWidth="1"/>
    <col min="26" max="26" width="11.6640625" bestFit="1" customWidth="1"/>
    <col min="27" max="27" width="15.5" bestFit="1" customWidth="1"/>
    <col min="28" max="28" width="52.1640625" bestFit="1" customWidth="1"/>
  </cols>
  <sheetData>
    <row r="1" spans="1:2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0" t="s">
        <v>1055</v>
      </c>
      <c r="V1" s="10" t="s">
        <v>1056</v>
      </c>
      <c r="W1" s="20" t="s">
        <v>1143</v>
      </c>
      <c r="X1" s="10" t="s">
        <v>1057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8">
      <c r="A2">
        <v>876</v>
      </c>
      <c r="B2">
        <v>956</v>
      </c>
      <c r="C2" s="2">
        <v>44388</v>
      </c>
      <c r="D2" t="s">
        <v>189</v>
      </c>
      <c r="E2" t="s">
        <v>63</v>
      </c>
      <c r="F2" t="s">
        <v>26</v>
      </c>
      <c r="G2" t="s">
        <v>45</v>
      </c>
      <c r="H2" t="s">
        <v>155</v>
      </c>
      <c r="I2" t="s">
        <v>69</v>
      </c>
      <c r="J2" t="s">
        <v>156</v>
      </c>
      <c r="K2" t="s">
        <v>157</v>
      </c>
      <c r="L2" t="s">
        <v>158</v>
      </c>
      <c r="M2" t="s">
        <v>159</v>
      </c>
      <c r="N2" t="s">
        <v>52</v>
      </c>
      <c r="O2" t="s">
        <v>507</v>
      </c>
      <c r="P2" t="s">
        <v>34</v>
      </c>
      <c r="Q2" t="s">
        <v>228</v>
      </c>
      <c r="R2" t="s">
        <v>508</v>
      </c>
      <c r="S2" t="s">
        <v>509</v>
      </c>
      <c r="T2" t="s">
        <v>510</v>
      </c>
      <c r="U2" s="10" t="s">
        <v>1061</v>
      </c>
      <c r="V2" s="10" t="s">
        <v>1087</v>
      </c>
      <c r="W2" s="10" t="s">
        <v>1087</v>
      </c>
      <c r="X2" s="10" t="s">
        <v>1059</v>
      </c>
      <c r="Y2" t="s">
        <v>39</v>
      </c>
      <c r="Z2" t="s">
        <v>40</v>
      </c>
      <c r="AA2" t="s">
        <v>63</v>
      </c>
    </row>
    <row r="3" spans="1:28" x14ac:dyDescent="0.8">
      <c r="A3">
        <v>893</v>
      </c>
      <c r="B3">
        <v>1021</v>
      </c>
      <c r="C3" s="2">
        <v>44388</v>
      </c>
      <c r="D3" t="s">
        <v>189</v>
      </c>
      <c r="E3" t="s">
        <v>25</v>
      </c>
      <c r="F3" t="s">
        <v>26</v>
      </c>
      <c r="G3" t="s">
        <v>45</v>
      </c>
      <c r="H3" t="s">
        <v>155</v>
      </c>
      <c r="I3" t="s">
        <v>69</v>
      </c>
      <c r="J3" t="s">
        <v>156</v>
      </c>
      <c r="K3" t="s">
        <v>157</v>
      </c>
      <c r="L3" t="s">
        <v>158</v>
      </c>
      <c r="M3" t="s">
        <v>159</v>
      </c>
      <c r="N3" t="s">
        <v>52</v>
      </c>
      <c r="O3" t="s">
        <v>1037</v>
      </c>
      <c r="P3" t="s">
        <v>326</v>
      </c>
      <c r="Q3" t="s">
        <v>524</v>
      </c>
      <c r="R3" t="s">
        <v>1038</v>
      </c>
      <c r="S3" t="s">
        <v>1039</v>
      </c>
      <c r="T3" t="s">
        <v>1040</v>
      </c>
      <c r="U3" s="10" t="s">
        <v>1061</v>
      </c>
      <c r="V3" s="10" t="s">
        <v>1086</v>
      </c>
      <c r="W3" s="10" t="s">
        <v>1141</v>
      </c>
      <c r="X3" s="10" t="s">
        <v>1059</v>
      </c>
      <c r="Y3" t="s">
        <v>39</v>
      </c>
      <c r="Z3" t="s">
        <v>40</v>
      </c>
      <c r="AA3" t="s">
        <v>63</v>
      </c>
      <c r="AB3" t="s">
        <v>1041</v>
      </c>
    </row>
    <row r="4" spans="1:28" x14ac:dyDescent="0.8">
      <c r="A4">
        <v>892</v>
      </c>
      <c r="B4">
        <v>1020</v>
      </c>
      <c r="C4" s="2">
        <v>44388</v>
      </c>
      <c r="D4" t="s">
        <v>189</v>
      </c>
      <c r="E4" t="s">
        <v>25</v>
      </c>
      <c r="F4" t="s">
        <v>26</v>
      </c>
      <c r="G4" t="s">
        <v>45</v>
      </c>
      <c r="H4" t="s">
        <v>155</v>
      </c>
      <c r="I4" t="s">
        <v>69</v>
      </c>
      <c r="J4" t="s">
        <v>156</v>
      </c>
      <c r="K4" t="s">
        <v>157</v>
      </c>
      <c r="L4" t="s">
        <v>158</v>
      </c>
      <c r="M4" t="s">
        <v>159</v>
      </c>
      <c r="N4" t="s">
        <v>52</v>
      </c>
      <c r="O4" t="s">
        <v>1037</v>
      </c>
      <c r="P4" t="s">
        <v>326</v>
      </c>
      <c r="Q4" t="s">
        <v>524</v>
      </c>
      <c r="R4" t="s">
        <v>1038</v>
      </c>
      <c r="S4" t="s">
        <v>1039</v>
      </c>
      <c r="T4" t="s">
        <v>1040</v>
      </c>
      <c r="U4" s="10" t="s">
        <v>1061</v>
      </c>
      <c r="V4" s="10" t="s">
        <v>1086</v>
      </c>
      <c r="W4" s="10" t="s">
        <v>1141</v>
      </c>
      <c r="X4" s="10" t="s">
        <v>1059</v>
      </c>
      <c r="Y4" t="s">
        <v>39</v>
      </c>
      <c r="Z4" t="s">
        <v>40</v>
      </c>
      <c r="AA4" t="s">
        <v>63</v>
      </c>
      <c r="AB4" t="s">
        <v>1041</v>
      </c>
    </row>
    <row r="5" spans="1:28" x14ac:dyDescent="0.8">
      <c r="A5">
        <v>902</v>
      </c>
      <c r="B5">
        <v>1030</v>
      </c>
      <c r="C5" s="2">
        <v>44388</v>
      </c>
      <c r="D5" t="s">
        <v>189</v>
      </c>
      <c r="E5" t="s">
        <v>25</v>
      </c>
      <c r="F5" t="s">
        <v>26</v>
      </c>
      <c r="G5" t="s">
        <v>45</v>
      </c>
      <c r="H5" t="s">
        <v>155</v>
      </c>
      <c r="I5" t="s">
        <v>69</v>
      </c>
      <c r="J5" t="s">
        <v>156</v>
      </c>
      <c r="K5" t="s">
        <v>157</v>
      </c>
      <c r="L5" t="s">
        <v>158</v>
      </c>
      <c r="M5" t="s">
        <v>159</v>
      </c>
      <c r="N5" t="s">
        <v>52</v>
      </c>
      <c r="O5" t="s">
        <v>1037</v>
      </c>
      <c r="P5" t="s">
        <v>326</v>
      </c>
      <c r="Q5" t="s">
        <v>524</v>
      </c>
      <c r="R5" t="s">
        <v>1038</v>
      </c>
      <c r="S5" t="s">
        <v>1039</v>
      </c>
      <c r="T5" t="s">
        <v>1040</v>
      </c>
      <c r="U5" s="10" t="s">
        <v>1061</v>
      </c>
      <c r="V5" s="10" t="s">
        <v>1086</v>
      </c>
      <c r="W5" s="10" t="s">
        <v>1141</v>
      </c>
      <c r="X5" s="10" t="s">
        <v>1059</v>
      </c>
      <c r="Y5" t="s">
        <v>39</v>
      </c>
      <c r="Z5" t="s">
        <v>40</v>
      </c>
      <c r="AA5" t="s">
        <v>63</v>
      </c>
    </row>
    <row r="6" spans="1:28" x14ac:dyDescent="0.8">
      <c r="A6">
        <v>900</v>
      </c>
      <c r="B6">
        <v>1028</v>
      </c>
      <c r="C6" s="2">
        <v>44388</v>
      </c>
      <c r="D6" t="s">
        <v>189</v>
      </c>
      <c r="E6" t="s">
        <v>25</v>
      </c>
      <c r="F6" t="s">
        <v>26</v>
      </c>
      <c r="G6" t="s">
        <v>45</v>
      </c>
      <c r="H6" t="s">
        <v>155</v>
      </c>
      <c r="I6" t="s">
        <v>69</v>
      </c>
      <c r="J6" t="s">
        <v>156</v>
      </c>
      <c r="K6" t="s">
        <v>157</v>
      </c>
      <c r="L6" t="s">
        <v>158</v>
      </c>
      <c r="M6" t="s">
        <v>159</v>
      </c>
      <c r="N6" t="s">
        <v>52</v>
      </c>
      <c r="O6" t="s">
        <v>1037</v>
      </c>
      <c r="P6" t="s">
        <v>326</v>
      </c>
      <c r="Q6" t="s">
        <v>524</v>
      </c>
      <c r="R6" t="s">
        <v>1038</v>
      </c>
      <c r="S6" t="s">
        <v>1039</v>
      </c>
      <c r="T6" t="s">
        <v>1040</v>
      </c>
      <c r="U6" s="10" t="s">
        <v>1061</v>
      </c>
      <c r="V6" s="10" t="s">
        <v>1086</v>
      </c>
      <c r="W6" s="10" t="s">
        <v>1141</v>
      </c>
      <c r="X6" s="10" t="s">
        <v>1059</v>
      </c>
      <c r="Y6" t="s">
        <v>39</v>
      </c>
      <c r="Z6" t="s">
        <v>40</v>
      </c>
      <c r="AA6" t="s">
        <v>63</v>
      </c>
    </row>
    <row r="7" spans="1:28" x14ac:dyDescent="0.8">
      <c r="A7">
        <v>896</v>
      </c>
      <c r="B7">
        <v>1024</v>
      </c>
      <c r="C7" s="2">
        <v>44388</v>
      </c>
      <c r="D7" t="s">
        <v>189</v>
      </c>
      <c r="E7" t="s">
        <v>125</v>
      </c>
      <c r="F7" t="s">
        <v>26</v>
      </c>
      <c r="G7" t="s">
        <v>45</v>
      </c>
      <c r="H7" t="s">
        <v>155</v>
      </c>
      <c r="I7" t="s">
        <v>69</v>
      </c>
      <c r="J7" t="s">
        <v>156</v>
      </c>
      <c r="K7" t="s">
        <v>157</v>
      </c>
      <c r="L7" t="s">
        <v>158</v>
      </c>
      <c r="M7" t="s">
        <v>159</v>
      </c>
      <c r="N7" t="s">
        <v>52</v>
      </c>
      <c r="O7" t="s">
        <v>1037</v>
      </c>
      <c r="P7" t="s">
        <v>326</v>
      </c>
      <c r="Q7" t="s">
        <v>524</v>
      </c>
      <c r="R7" t="s">
        <v>1038</v>
      </c>
      <c r="S7" t="s">
        <v>1039</v>
      </c>
      <c r="T7" t="s">
        <v>1040</v>
      </c>
      <c r="U7" s="10" t="s">
        <v>1061</v>
      </c>
      <c r="V7" s="10" t="s">
        <v>1086</v>
      </c>
      <c r="W7" s="10" t="s">
        <v>1141</v>
      </c>
      <c r="X7" s="10" t="s">
        <v>1059</v>
      </c>
      <c r="Y7" t="s">
        <v>39</v>
      </c>
      <c r="Z7" t="s">
        <v>40</v>
      </c>
      <c r="AA7" t="s">
        <v>63</v>
      </c>
    </row>
    <row r="8" spans="1:28" x14ac:dyDescent="0.8">
      <c r="A8">
        <v>873</v>
      </c>
      <c r="B8">
        <v>953</v>
      </c>
      <c r="C8" s="2">
        <v>44388</v>
      </c>
      <c r="D8" t="s">
        <v>189</v>
      </c>
      <c r="E8" t="s">
        <v>63</v>
      </c>
      <c r="F8" t="s">
        <v>26</v>
      </c>
      <c r="G8" t="s">
        <v>45</v>
      </c>
      <c r="H8" t="s">
        <v>155</v>
      </c>
      <c r="I8" t="s">
        <v>69</v>
      </c>
      <c r="J8" t="s">
        <v>156</v>
      </c>
      <c r="K8" t="s">
        <v>157</v>
      </c>
      <c r="L8" t="s">
        <v>158</v>
      </c>
      <c r="M8" t="s">
        <v>159</v>
      </c>
      <c r="N8" t="s">
        <v>52</v>
      </c>
      <c r="O8" t="s">
        <v>1037</v>
      </c>
      <c r="P8" t="s">
        <v>326</v>
      </c>
      <c r="Q8" t="s">
        <v>524</v>
      </c>
      <c r="R8" t="s">
        <v>1038</v>
      </c>
      <c r="S8" t="s">
        <v>1039</v>
      </c>
      <c r="T8" t="s">
        <v>1040</v>
      </c>
      <c r="U8" s="10" t="s">
        <v>1061</v>
      </c>
      <c r="V8" s="10" t="s">
        <v>1086</v>
      </c>
      <c r="W8" s="10" t="s">
        <v>1141</v>
      </c>
      <c r="X8" s="10" t="s">
        <v>1059</v>
      </c>
      <c r="Y8" t="s">
        <v>39</v>
      </c>
      <c r="Z8" t="s">
        <v>40</v>
      </c>
      <c r="AA8" t="s">
        <v>63</v>
      </c>
    </row>
    <row r="9" spans="1:28" x14ac:dyDescent="0.8">
      <c r="A9">
        <v>864</v>
      </c>
      <c r="B9">
        <v>944</v>
      </c>
      <c r="C9" s="2">
        <v>44388</v>
      </c>
      <c r="D9" t="s">
        <v>189</v>
      </c>
      <c r="E9" t="s">
        <v>25</v>
      </c>
      <c r="F9" t="s">
        <v>26</v>
      </c>
      <c r="G9" t="s">
        <v>45</v>
      </c>
      <c r="H9" t="s">
        <v>155</v>
      </c>
      <c r="I9" t="s">
        <v>69</v>
      </c>
      <c r="J9" t="s">
        <v>156</v>
      </c>
      <c r="K9" t="s">
        <v>157</v>
      </c>
      <c r="L9" t="s">
        <v>158</v>
      </c>
      <c r="M9" t="s">
        <v>159</v>
      </c>
      <c r="N9" t="s">
        <v>52</v>
      </c>
      <c r="O9" t="s">
        <v>1037</v>
      </c>
      <c r="P9" t="s">
        <v>326</v>
      </c>
      <c r="Q9" t="s">
        <v>524</v>
      </c>
      <c r="R9" t="s">
        <v>1038</v>
      </c>
      <c r="S9" t="s">
        <v>1039</v>
      </c>
      <c r="T9" t="s">
        <v>1040</v>
      </c>
      <c r="U9" s="10" t="s">
        <v>1061</v>
      </c>
      <c r="V9" s="10" t="s">
        <v>1086</v>
      </c>
      <c r="W9" s="10" t="s">
        <v>1141</v>
      </c>
      <c r="X9" s="10" t="s">
        <v>1059</v>
      </c>
      <c r="Y9" t="s">
        <v>39</v>
      </c>
      <c r="Z9" t="s">
        <v>40</v>
      </c>
      <c r="AA9" t="s">
        <v>63</v>
      </c>
    </row>
    <row r="10" spans="1:28" x14ac:dyDescent="0.8">
      <c r="A10">
        <v>847</v>
      </c>
      <c r="B10">
        <v>85</v>
      </c>
      <c r="C10" s="2">
        <v>44388</v>
      </c>
      <c r="D10" t="s">
        <v>189</v>
      </c>
      <c r="E10" t="s">
        <v>63</v>
      </c>
      <c r="F10" t="s">
        <v>26</v>
      </c>
      <c r="G10" t="s">
        <v>45</v>
      </c>
      <c r="H10" t="s">
        <v>155</v>
      </c>
      <c r="I10" t="s">
        <v>69</v>
      </c>
      <c r="J10" t="s">
        <v>156</v>
      </c>
      <c r="K10" t="s">
        <v>157</v>
      </c>
      <c r="L10" t="s">
        <v>158</v>
      </c>
      <c r="M10" t="s">
        <v>159</v>
      </c>
      <c r="N10" t="s">
        <v>52</v>
      </c>
      <c r="O10" t="s">
        <v>1037</v>
      </c>
      <c r="P10" t="s">
        <v>326</v>
      </c>
      <c r="Q10" t="s">
        <v>524</v>
      </c>
      <c r="R10" t="s">
        <v>1038</v>
      </c>
      <c r="S10" t="s">
        <v>1039</v>
      </c>
      <c r="T10" t="s">
        <v>1040</v>
      </c>
      <c r="U10" s="10" t="s">
        <v>1061</v>
      </c>
      <c r="V10" s="10" t="s">
        <v>1086</v>
      </c>
      <c r="W10" s="10" t="s">
        <v>1141</v>
      </c>
      <c r="X10" s="10" t="s">
        <v>1059</v>
      </c>
      <c r="Y10" t="s">
        <v>140</v>
      </c>
      <c r="Z10" t="s">
        <v>40</v>
      </c>
      <c r="AA10" t="s">
        <v>63</v>
      </c>
    </row>
    <row r="11" spans="1:28" x14ac:dyDescent="0.8">
      <c r="A11">
        <v>889</v>
      </c>
      <c r="B11">
        <v>1017</v>
      </c>
      <c r="C11" s="2">
        <v>44388</v>
      </c>
      <c r="D11" t="s">
        <v>189</v>
      </c>
      <c r="E11" t="s">
        <v>25</v>
      </c>
      <c r="F11" t="s">
        <v>26</v>
      </c>
      <c r="G11" t="s">
        <v>45</v>
      </c>
      <c r="H11" t="s">
        <v>155</v>
      </c>
      <c r="I11" t="s">
        <v>69</v>
      </c>
      <c r="J11" t="s">
        <v>156</v>
      </c>
      <c r="K11" t="s">
        <v>157</v>
      </c>
      <c r="L11" t="s">
        <v>158</v>
      </c>
      <c r="M11" t="s">
        <v>159</v>
      </c>
      <c r="N11" t="s">
        <v>52</v>
      </c>
      <c r="O11" t="s">
        <v>1037</v>
      </c>
      <c r="P11" t="s">
        <v>326</v>
      </c>
      <c r="Q11" t="s">
        <v>524</v>
      </c>
      <c r="R11" t="s">
        <v>1038</v>
      </c>
      <c r="S11" t="s">
        <v>1039</v>
      </c>
      <c r="T11" t="s">
        <v>1040</v>
      </c>
      <c r="U11" s="10" t="s">
        <v>1061</v>
      </c>
      <c r="V11" s="10" t="s">
        <v>1086</v>
      </c>
      <c r="W11" s="10" t="s">
        <v>1141</v>
      </c>
      <c r="X11" s="10" t="s">
        <v>1059</v>
      </c>
      <c r="Y11" t="s">
        <v>39</v>
      </c>
      <c r="Z11" t="s">
        <v>40</v>
      </c>
      <c r="AA11" t="s">
        <v>63</v>
      </c>
    </row>
    <row r="12" spans="1:28" x14ac:dyDescent="0.8">
      <c r="A12">
        <v>1397</v>
      </c>
      <c r="B12">
        <v>2144</v>
      </c>
      <c r="C12" s="2">
        <v>44387</v>
      </c>
      <c r="D12" t="s">
        <v>173</v>
      </c>
      <c r="E12" t="s">
        <v>25</v>
      </c>
      <c r="F12" t="s">
        <v>26</v>
      </c>
      <c r="G12" t="s">
        <v>45</v>
      </c>
      <c r="H12" t="s">
        <v>155</v>
      </c>
      <c r="I12" t="s">
        <v>69</v>
      </c>
      <c r="J12" t="s">
        <v>156</v>
      </c>
      <c r="K12" t="s">
        <v>157</v>
      </c>
      <c r="L12" t="s">
        <v>500</v>
      </c>
      <c r="M12" t="s">
        <v>501</v>
      </c>
      <c r="N12" t="s">
        <v>52</v>
      </c>
      <c r="O12" t="s">
        <v>502</v>
      </c>
      <c r="P12" t="s">
        <v>85</v>
      </c>
      <c r="Q12" t="s">
        <v>35</v>
      </c>
      <c r="R12" t="s">
        <v>503</v>
      </c>
      <c r="S12" t="s">
        <v>504</v>
      </c>
      <c r="T12" t="s">
        <v>505</v>
      </c>
      <c r="U12" s="10" t="s">
        <v>1061</v>
      </c>
      <c r="V12" s="10" t="s">
        <v>1086</v>
      </c>
      <c r="W12" s="10" t="s">
        <v>1065</v>
      </c>
      <c r="X12" s="10" t="s">
        <v>1068</v>
      </c>
      <c r="Y12" t="s">
        <v>140</v>
      </c>
      <c r="Z12" t="s">
        <v>40</v>
      </c>
      <c r="AA12" t="s">
        <v>63</v>
      </c>
      <c r="AB12" t="s">
        <v>506</v>
      </c>
    </row>
    <row r="13" spans="1:28" x14ac:dyDescent="0.8">
      <c r="A13">
        <v>1307</v>
      </c>
      <c r="B13">
        <v>2004</v>
      </c>
      <c r="C13" s="2">
        <v>44385</v>
      </c>
      <c r="D13" t="s">
        <v>104</v>
      </c>
      <c r="E13" t="s">
        <v>25</v>
      </c>
      <c r="F13" t="s">
        <v>26</v>
      </c>
      <c r="G13" t="s">
        <v>45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61</v>
      </c>
      <c r="O13" t="s">
        <v>502</v>
      </c>
      <c r="P13" t="s">
        <v>85</v>
      </c>
      <c r="Q13" t="s">
        <v>35</v>
      </c>
      <c r="R13" t="s">
        <v>503</v>
      </c>
      <c r="S13" t="s">
        <v>504</v>
      </c>
      <c r="T13" t="s">
        <v>505</v>
      </c>
      <c r="U13" s="10" t="s">
        <v>1061</v>
      </c>
      <c r="V13" s="10" t="s">
        <v>1086</v>
      </c>
      <c r="W13" s="10" t="s">
        <v>1065</v>
      </c>
      <c r="X13" s="10" t="s">
        <v>1068</v>
      </c>
      <c r="Y13" t="s">
        <v>39</v>
      </c>
      <c r="Z13" t="s">
        <v>62</v>
      </c>
      <c r="AA13" t="s">
        <v>63</v>
      </c>
    </row>
    <row r="14" spans="1:28" x14ac:dyDescent="0.8">
      <c r="A14">
        <v>1293</v>
      </c>
      <c r="B14">
        <v>1990</v>
      </c>
      <c r="C14" s="2">
        <v>44385</v>
      </c>
      <c r="D14" t="s">
        <v>104</v>
      </c>
      <c r="E14" t="s">
        <v>103</v>
      </c>
      <c r="F14" t="s">
        <v>26</v>
      </c>
      <c r="G14" t="s">
        <v>45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61</v>
      </c>
      <c r="O14" t="s">
        <v>502</v>
      </c>
      <c r="P14" t="s">
        <v>85</v>
      </c>
      <c r="Q14" t="s">
        <v>35</v>
      </c>
      <c r="R14" t="s">
        <v>503</v>
      </c>
      <c r="S14" t="s">
        <v>504</v>
      </c>
      <c r="T14" t="s">
        <v>505</v>
      </c>
      <c r="U14" s="10" t="s">
        <v>1061</v>
      </c>
      <c r="V14" s="10" t="s">
        <v>1086</v>
      </c>
      <c r="W14" s="10" t="s">
        <v>1065</v>
      </c>
      <c r="X14" s="10" t="s">
        <v>1068</v>
      </c>
      <c r="Y14" t="s">
        <v>39</v>
      </c>
      <c r="Z14" t="s">
        <v>40</v>
      </c>
      <c r="AA14" t="s">
        <v>63</v>
      </c>
    </row>
    <row r="15" spans="1:28" x14ac:dyDescent="0.8">
      <c r="A15">
        <v>1284</v>
      </c>
      <c r="B15">
        <v>1931</v>
      </c>
      <c r="C15" s="2">
        <v>44385</v>
      </c>
      <c r="D15" t="s">
        <v>104</v>
      </c>
      <c r="E15" t="s">
        <v>25</v>
      </c>
      <c r="F15" t="s">
        <v>26</v>
      </c>
      <c r="G15" t="s">
        <v>45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61</v>
      </c>
      <c r="O15" t="s">
        <v>502</v>
      </c>
      <c r="P15" t="s">
        <v>85</v>
      </c>
      <c r="Q15" t="s">
        <v>35</v>
      </c>
      <c r="R15" t="s">
        <v>503</v>
      </c>
      <c r="S15" t="s">
        <v>504</v>
      </c>
      <c r="T15" t="s">
        <v>505</v>
      </c>
      <c r="U15" s="10" t="s">
        <v>1061</v>
      </c>
      <c r="V15" s="10" t="s">
        <v>1086</v>
      </c>
      <c r="W15" s="10" t="s">
        <v>1065</v>
      </c>
      <c r="X15" s="10" t="s">
        <v>1068</v>
      </c>
      <c r="Y15" t="s">
        <v>140</v>
      </c>
      <c r="Z15" t="s">
        <v>62</v>
      </c>
      <c r="AA15" t="s">
        <v>63</v>
      </c>
    </row>
    <row r="16" spans="1:28" x14ac:dyDescent="0.8">
      <c r="A16">
        <v>1312</v>
      </c>
      <c r="B16">
        <v>2009</v>
      </c>
      <c r="C16" s="2">
        <v>44385</v>
      </c>
      <c r="D16" t="s">
        <v>104</v>
      </c>
      <c r="E16" t="s">
        <v>25</v>
      </c>
      <c r="F16" t="s">
        <v>26</v>
      </c>
      <c r="G16" t="s">
        <v>45</v>
      </c>
      <c r="H16" t="s">
        <v>155</v>
      </c>
      <c r="I16" t="s">
        <v>69</v>
      </c>
      <c r="J16" t="s">
        <v>156</v>
      </c>
      <c r="K16" t="s">
        <v>157</v>
      </c>
      <c r="L16" t="s">
        <v>158</v>
      </c>
      <c r="M16" t="s">
        <v>159</v>
      </c>
      <c r="N16" t="s">
        <v>52</v>
      </c>
      <c r="O16" t="s">
        <v>502</v>
      </c>
      <c r="P16" t="s">
        <v>85</v>
      </c>
      <c r="Q16" t="s">
        <v>35</v>
      </c>
      <c r="R16" t="s">
        <v>503</v>
      </c>
      <c r="S16" t="s">
        <v>504</v>
      </c>
      <c r="T16" t="s">
        <v>505</v>
      </c>
      <c r="U16" s="10" t="s">
        <v>1061</v>
      </c>
      <c r="V16" s="10" t="s">
        <v>1086</v>
      </c>
      <c r="W16" s="10" t="s">
        <v>1065</v>
      </c>
      <c r="X16" s="10" t="s">
        <v>1068</v>
      </c>
      <c r="Y16" t="s">
        <v>39</v>
      </c>
      <c r="Z16" t="s">
        <v>62</v>
      </c>
      <c r="AA16" t="s">
        <v>63</v>
      </c>
    </row>
    <row r="17" spans="1:28" x14ac:dyDescent="0.8">
      <c r="A17">
        <v>1316</v>
      </c>
      <c r="B17">
        <v>2013</v>
      </c>
      <c r="C17" s="2">
        <v>44385</v>
      </c>
      <c r="D17" t="s">
        <v>104</v>
      </c>
      <c r="E17" t="s">
        <v>25</v>
      </c>
      <c r="F17" t="s">
        <v>26</v>
      </c>
      <c r="G17" t="s">
        <v>45</v>
      </c>
      <c r="H17" t="s">
        <v>55</v>
      </c>
      <c r="I17" t="s">
        <v>69</v>
      </c>
      <c r="J17" t="s">
        <v>284</v>
      </c>
      <c r="K17" t="s">
        <v>285</v>
      </c>
      <c r="L17" t="s">
        <v>286</v>
      </c>
      <c r="M17" t="s">
        <v>287</v>
      </c>
      <c r="N17" t="s">
        <v>61</v>
      </c>
      <c r="O17" t="s">
        <v>502</v>
      </c>
      <c r="P17" t="s">
        <v>85</v>
      </c>
      <c r="Q17" t="s">
        <v>35</v>
      </c>
      <c r="R17" t="s">
        <v>503</v>
      </c>
      <c r="S17" t="s">
        <v>504</v>
      </c>
      <c r="T17" t="s">
        <v>505</v>
      </c>
      <c r="U17" s="10" t="s">
        <v>1061</v>
      </c>
      <c r="V17" s="10" t="s">
        <v>1086</v>
      </c>
      <c r="W17" s="10" t="s">
        <v>1065</v>
      </c>
      <c r="X17" s="10" t="s">
        <v>1068</v>
      </c>
      <c r="Y17" t="s">
        <v>39</v>
      </c>
      <c r="Z17" t="s">
        <v>62</v>
      </c>
      <c r="AA17" t="s">
        <v>63</v>
      </c>
    </row>
    <row r="18" spans="1:28" x14ac:dyDescent="0.8">
      <c r="A18">
        <v>1288</v>
      </c>
      <c r="B18">
        <v>1935</v>
      </c>
      <c r="C18" s="2">
        <v>44385</v>
      </c>
      <c r="D18" t="s">
        <v>104</v>
      </c>
      <c r="E18" t="s">
        <v>44</v>
      </c>
      <c r="F18" t="s">
        <v>26</v>
      </c>
      <c r="G18" t="s">
        <v>45</v>
      </c>
      <c r="H18" t="s">
        <v>46</v>
      </c>
      <c r="I18" t="s">
        <v>47</v>
      </c>
      <c r="J18" t="s">
        <v>48</v>
      </c>
      <c r="K18" t="s">
        <v>49</v>
      </c>
      <c r="L18" t="s">
        <v>91</v>
      </c>
      <c r="M18" t="s">
        <v>92</v>
      </c>
      <c r="N18" t="s">
        <v>61</v>
      </c>
      <c r="O18" t="s">
        <v>502</v>
      </c>
      <c r="P18" t="s">
        <v>85</v>
      </c>
      <c r="Q18" t="s">
        <v>35</v>
      </c>
      <c r="R18" t="s">
        <v>503</v>
      </c>
      <c r="S18" t="s">
        <v>504</v>
      </c>
      <c r="T18" t="s">
        <v>505</v>
      </c>
      <c r="U18" s="10" t="s">
        <v>1061</v>
      </c>
      <c r="V18" s="10" t="s">
        <v>1086</v>
      </c>
      <c r="W18" s="10" t="s">
        <v>1065</v>
      </c>
      <c r="X18" s="10" t="s">
        <v>1068</v>
      </c>
      <c r="Y18" t="s">
        <v>140</v>
      </c>
      <c r="Z18" t="s">
        <v>40</v>
      </c>
      <c r="AA18" t="s">
        <v>63</v>
      </c>
    </row>
    <row r="19" spans="1:28" x14ac:dyDescent="0.8">
      <c r="A19">
        <v>771</v>
      </c>
      <c r="B19">
        <v>668</v>
      </c>
      <c r="C19" s="2">
        <v>44385</v>
      </c>
      <c r="D19" t="s">
        <v>108</v>
      </c>
      <c r="E19" t="s">
        <v>63</v>
      </c>
      <c r="F19" t="s">
        <v>26</v>
      </c>
      <c r="G19" t="s">
        <v>45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61</v>
      </c>
      <c r="O19" t="s">
        <v>502</v>
      </c>
      <c r="P19" t="s">
        <v>85</v>
      </c>
      <c r="Q19" t="s">
        <v>35</v>
      </c>
      <c r="R19" t="s">
        <v>503</v>
      </c>
      <c r="S19" t="s">
        <v>504</v>
      </c>
      <c r="T19" t="s">
        <v>505</v>
      </c>
      <c r="U19" s="10" t="s">
        <v>1061</v>
      </c>
      <c r="V19" s="10" t="s">
        <v>1086</v>
      </c>
      <c r="W19" s="10" t="s">
        <v>1065</v>
      </c>
      <c r="X19" s="10" t="s">
        <v>1068</v>
      </c>
      <c r="Y19" t="s">
        <v>39</v>
      </c>
      <c r="Z19" t="s">
        <v>40</v>
      </c>
      <c r="AA19" t="s">
        <v>63</v>
      </c>
    </row>
    <row r="20" spans="1:28" x14ac:dyDescent="0.8">
      <c r="A20">
        <v>765</v>
      </c>
      <c r="B20">
        <v>1246</v>
      </c>
      <c r="C20" s="2">
        <v>44385</v>
      </c>
      <c r="D20" t="s">
        <v>108</v>
      </c>
      <c r="E20" t="s">
        <v>25</v>
      </c>
      <c r="F20" t="s">
        <v>26</v>
      </c>
      <c r="G20" t="s">
        <v>45</v>
      </c>
      <c r="H20" t="s">
        <v>155</v>
      </c>
      <c r="I20" t="s">
        <v>69</v>
      </c>
      <c r="J20" t="s">
        <v>156</v>
      </c>
      <c r="K20" t="s">
        <v>157</v>
      </c>
      <c r="L20" t="s">
        <v>158</v>
      </c>
      <c r="M20" t="s">
        <v>159</v>
      </c>
      <c r="N20" t="s">
        <v>52</v>
      </c>
      <c r="O20" t="s">
        <v>502</v>
      </c>
      <c r="P20" t="s">
        <v>85</v>
      </c>
      <c r="Q20" t="s">
        <v>35</v>
      </c>
      <c r="R20" t="s">
        <v>503</v>
      </c>
      <c r="S20" t="s">
        <v>504</v>
      </c>
      <c r="T20" t="s">
        <v>505</v>
      </c>
      <c r="U20" s="10" t="s">
        <v>1061</v>
      </c>
      <c r="V20" s="10" t="s">
        <v>1086</v>
      </c>
      <c r="W20" s="10" t="s">
        <v>1065</v>
      </c>
      <c r="X20" s="10" t="s">
        <v>1068</v>
      </c>
      <c r="Y20" t="s">
        <v>39</v>
      </c>
      <c r="Z20" t="s">
        <v>40</v>
      </c>
      <c r="AA20" t="s">
        <v>63</v>
      </c>
    </row>
    <row r="21" spans="1:28" x14ac:dyDescent="0.8">
      <c r="A21">
        <v>748</v>
      </c>
      <c r="B21">
        <v>1229</v>
      </c>
      <c r="C21" s="2">
        <v>44385</v>
      </c>
      <c r="D21" t="s">
        <v>108</v>
      </c>
      <c r="E21" t="s">
        <v>25</v>
      </c>
      <c r="F21" t="s">
        <v>26</v>
      </c>
      <c r="G21" t="s">
        <v>45</v>
      </c>
      <c r="H21" t="s">
        <v>155</v>
      </c>
      <c r="I21" t="s">
        <v>69</v>
      </c>
      <c r="J21" t="s">
        <v>156</v>
      </c>
      <c r="K21" t="s">
        <v>157</v>
      </c>
      <c r="L21" t="s">
        <v>158</v>
      </c>
      <c r="M21" t="s">
        <v>159</v>
      </c>
      <c r="N21" t="s">
        <v>52</v>
      </c>
      <c r="O21" t="s">
        <v>502</v>
      </c>
      <c r="P21" t="s">
        <v>85</v>
      </c>
      <c r="Q21" t="s">
        <v>35</v>
      </c>
      <c r="R21" t="s">
        <v>503</v>
      </c>
      <c r="S21" t="s">
        <v>504</v>
      </c>
      <c r="T21" t="s">
        <v>505</v>
      </c>
      <c r="U21" s="10" t="s">
        <v>1061</v>
      </c>
      <c r="V21" s="10" t="s">
        <v>1086</v>
      </c>
      <c r="W21" s="10" t="s">
        <v>1065</v>
      </c>
      <c r="X21" s="10" t="s">
        <v>1068</v>
      </c>
      <c r="Y21" t="s">
        <v>39</v>
      </c>
      <c r="Z21" t="s">
        <v>40</v>
      </c>
      <c r="AA21" t="s">
        <v>63</v>
      </c>
    </row>
    <row r="22" spans="1:28" x14ac:dyDescent="0.8">
      <c r="A22">
        <v>744</v>
      </c>
      <c r="B22">
        <v>1225</v>
      </c>
      <c r="C22" s="2">
        <v>44385</v>
      </c>
      <c r="D22" t="s">
        <v>108</v>
      </c>
      <c r="E22" t="s">
        <v>25</v>
      </c>
      <c r="F22" t="s">
        <v>26</v>
      </c>
      <c r="G22" t="s">
        <v>45</v>
      </c>
      <c r="H22" t="s">
        <v>155</v>
      </c>
      <c r="I22" t="s">
        <v>69</v>
      </c>
      <c r="J22" t="s">
        <v>156</v>
      </c>
      <c r="K22" t="s">
        <v>157</v>
      </c>
      <c r="L22" t="s">
        <v>158</v>
      </c>
      <c r="M22" t="s">
        <v>159</v>
      </c>
      <c r="N22" t="s">
        <v>61</v>
      </c>
      <c r="O22" t="s">
        <v>502</v>
      </c>
      <c r="P22" t="s">
        <v>85</v>
      </c>
      <c r="Q22" t="s">
        <v>35</v>
      </c>
      <c r="R22" t="s">
        <v>503</v>
      </c>
      <c r="S22" t="s">
        <v>504</v>
      </c>
      <c r="T22" t="s">
        <v>505</v>
      </c>
      <c r="U22" s="10" t="s">
        <v>1061</v>
      </c>
      <c r="V22" s="10" t="s">
        <v>1086</v>
      </c>
      <c r="W22" s="10" t="s">
        <v>1065</v>
      </c>
      <c r="X22" s="10" t="s">
        <v>1068</v>
      </c>
      <c r="Y22" t="s">
        <v>39</v>
      </c>
      <c r="Z22" t="s">
        <v>62</v>
      </c>
      <c r="AA22" t="s">
        <v>63</v>
      </c>
    </row>
    <row r="23" spans="1:28" x14ac:dyDescent="0.8">
      <c r="A23">
        <v>738</v>
      </c>
      <c r="B23">
        <v>545</v>
      </c>
      <c r="C23" s="2">
        <v>44385</v>
      </c>
      <c r="D23" t="s">
        <v>108</v>
      </c>
      <c r="E23" t="s">
        <v>103</v>
      </c>
      <c r="F23" t="s">
        <v>26</v>
      </c>
      <c r="G23" t="s">
        <v>45</v>
      </c>
      <c r="H23" t="s">
        <v>155</v>
      </c>
      <c r="I23" t="s">
        <v>69</v>
      </c>
      <c r="J23" t="s">
        <v>156</v>
      </c>
      <c r="K23" t="s">
        <v>157</v>
      </c>
      <c r="L23" t="s">
        <v>158</v>
      </c>
      <c r="M23" t="s">
        <v>159</v>
      </c>
      <c r="N23" t="s">
        <v>52</v>
      </c>
      <c r="O23" t="s">
        <v>502</v>
      </c>
      <c r="P23" t="s">
        <v>85</v>
      </c>
      <c r="Q23" t="s">
        <v>35</v>
      </c>
      <c r="R23" t="s">
        <v>503</v>
      </c>
      <c r="S23" t="s">
        <v>504</v>
      </c>
      <c r="T23" t="s">
        <v>505</v>
      </c>
      <c r="U23" s="10" t="s">
        <v>1061</v>
      </c>
      <c r="V23" s="10" t="s">
        <v>1086</v>
      </c>
      <c r="W23" s="10" t="s">
        <v>1065</v>
      </c>
      <c r="X23" s="10" t="s">
        <v>1068</v>
      </c>
      <c r="Y23" t="s">
        <v>39</v>
      </c>
      <c r="Z23" t="s">
        <v>40</v>
      </c>
      <c r="AA23" t="s">
        <v>63</v>
      </c>
    </row>
    <row r="24" spans="1:28" x14ac:dyDescent="0.8">
      <c r="A24">
        <v>727</v>
      </c>
      <c r="B24">
        <v>1160</v>
      </c>
      <c r="C24" s="2">
        <v>44385</v>
      </c>
      <c r="D24" t="s">
        <v>108</v>
      </c>
      <c r="E24" t="s">
        <v>63</v>
      </c>
      <c r="F24" t="s">
        <v>26</v>
      </c>
      <c r="G24" t="s">
        <v>45</v>
      </c>
      <c r="H24" t="s">
        <v>155</v>
      </c>
      <c r="I24" t="s">
        <v>69</v>
      </c>
      <c r="J24" t="s">
        <v>156</v>
      </c>
      <c r="K24" t="s">
        <v>157</v>
      </c>
      <c r="L24" t="s">
        <v>158</v>
      </c>
      <c r="M24" t="s">
        <v>159</v>
      </c>
      <c r="N24" t="s">
        <v>61</v>
      </c>
      <c r="O24" t="s">
        <v>502</v>
      </c>
      <c r="P24" t="s">
        <v>85</v>
      </c>
      <c r="Q24" t="s">
        <v>35</v>
      </c>
      <c r="R24" t="s">
        <v>503</v>
      </c>
      <c r="S24" t="s">
        <v>504</v>
      </c>
      <c r="T24" t="s">
        <v>505</v>
      </c>
      <c r="U24" s="10" t="s">
        <v>1061</v>
      </c>
      <c r="V24" s="10" t="s">
        <v>1086</v>
      </c>
      <c r="W24" s="10" t="s">
        <v>1065</v>
      </c>
      <c r="X24" s="10" t="s">
        <v>1068</v>
      </c>
      <c r="Y24" t="s">
        <v>140</v>
      </c>
      <c r="Z24" t="s">
        <v>40</v>
      </c>
      <c r="AA24" t="s">
        <v>63</v>
      </c>
    </row>
    <row r="25" spans="1:28" x14ac:dyDescent="0.8">
      <c r="A25">
        <v>372</v>
      </c>
      <c r="B25">
        <v>468</v>
      </c>
      <c r="C25" s="2">
        <v>44385</v>
      </c>
      <c r="D25" t="s">
        <v>213</v>
      </c>
      <c r="E25" t="s">
        <v>44</v>
      </c>
      <c r="F25" t="s">
        <v>26</v>
      </c>
      <c r="G25" t="s">
        <v>27</v>
      </c>
      <c r="H25" t="s">
        <v>114</v>
      </c>
      <c r="I25" t="s">
        <v>115</v>
      </c>
      <c r="J25" t="s">
        <v>116</v>
      </c>
      <c r="K25" t="s">
        <v>307</v>
      </c>
      <c r="L25" t="s">
        <v>308</v>
      </c>
      <c r="M25" t="s">
        <v>309</v>
      </c>
      <c r="O25" t="s">
        <v>502</v>
      </c>
      <c r="P25" t="s">
        <v>85</v>
      </c>
      <c r="Q25" t="s">
        <v>35</v>
      </c>
      <c r="R25" t="s">
        <v>503</v>
      </c>
      <c r="S25" t="s">
        <v>504</v>
      </c>
      <c r="T25" t="s">
        <v>505</v>
      </c>
      <c r="U25" s="10" t="s">
        <v>1061</v>
      </c>
      <c r="V25" s="10" t="s">
        <v>1086</v>
      </c>
      <c r="W25" s="10" t="s">
        <v>1065</v>
      </c>
      <c r="X25" s="10" t="s">
        <v>1068</v>
      </c>
      <c r="Y25" t="s">
        <v>39</v>
      </c>
      <c r="Z25" t="s">
        <v>40</v>
      </c>
      <c r="AA25" t="s">
        <v>53</v>
      </c>
    </row>
    <row r="26" spans="1:28" x14ac:dyDescent="0.8">
      <c r="A26">
        <v>1594</v>
      </c>
      <c r="B26">
        <v>581</v>
      </c>
      <c r="C26" s="2">
        <v>44388</v>
      </c>
      <c r="D26" t="s">
        <v>124</v>
      </c>
      <c r="E26" t="s">
        <v>53</v>
      </c>
      <c r="F26" t="s">
        <v>26</v>
      </c>
      <c r="G26" t="s">
        <v>45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61</v>
      </c>
      <c r="O26" t="s">
        <v>502</v>
      </c>
      <c r="P26" t="s">
        <v>85</v>
      </c>
      <c r="Q26" t="s">
        <v>35</v>
      </c>
      <c r="R26" t="s">
        <v>503</v>
      </c>
      <c r="S26" t="s">
        <v>504</v>
      </c>
      <c r="T26" t="s">
        <v>505</v>
      </c>
      <c r="U26" s="10" t="s">
        <v>1061</v>
      </c>
      <c r="V26" s="10" t="s">
        <v>1086</v>
      </c>
      <c r="W26" s="10" t="s">
        <v>1065</v>
      </c>
      <c r="X26" s="10" t="s">
        <v>1068</v>
      </c>
      <c r="Y26" t="s">
        <v>39</v>
      </c>
      <c r="Z26" t="s">
        <v>40</v>
      </c>
      <c r="AA26" t="s">
        <v>125</v>
      </c>
    </row>
    <row r="27" spans="1:28" x14ac:dyDescent="0.8">
      <c r="A27">
        <v>252</v>
      </c>
      <c r="B27">
        <v>1378</v>
      </c>
      <c r="C27" s="2">
        <v>44384</v>
      </c>
      <c r="D27" t="s">
        <v>24</v>
      </c>
      <c r="E27" t="s">
        <v>25</v>
      </c>
      <c r="F27" t="s">
        <v>26</v>
      </c>
      <c r="G27" t="s">
        <v>45</v>
      </c>
      <c r="H27" t="s">
        <v>68</v>
      </c>
      <c r="I27" t="s">
        <v>69</v>
      </c>
      <c r="J27" t="s">
        <v>70</v>
      </c>
      <c r="K27" t="s">
        <v>71</v>
      </c>
      <c r="L27" t="s">
        <v>72</v>
      </c>
      <c r="M27" t="s">
        <v>73</v>
      </c>
      <c r="N27" t="s">
        <v>61</v>
      </c>
      <c r="O27" t="s">
        <v>227</v>
      </c>
      <c r="P27" t="s">
        <v>34</v>
      </c>
      <c r="Q27" t="s">
        <v>228</v>
      </c>
      <c r="R27" t="s">
        <v>229</v>
      </c>
      <c r="S27" t="s">
        <v>207</v>
      </c>
      <c r="T27" t="s">
        <v>230</v>
      </c>
      <c r="U27" s="10" t="s">
        <v>1061</v>
      </c>
      <c r="V27" s="10" t="s">
        <v>1074</v>
      </c>
      <c r="W27" s="10" t="s">
        <v>1087</v>
      </c>
      <c r="X27" s="10" t="s">
        <v>1059</v>
      </c>
      <c r="Y27" t="s">
        <v>39</v>
      </c>
      <c r="Z27" t="s">
        <v>40</v>
      </c>
      <c r="AA27" t="s">
        <v>53</v>
      </c>
      <c r="AB27" t="s">
        <v>226</v>
      </c>
    </row>
    <row r="28" spans="1:28" x14ac:dyDescent="0.8">
      <c r="A28">
        <v>253</v>
      </c>
      <c r="B28">
        <v>1379</v>
      </c>
      <c r="C28" s="2">
        <v>44384</v>
      </c>
      <c r="D28" t="s">
        <v>24</v>
      </c>
      <c r="E28" t="s">
        <v>25</v>
      </c>
      <c r="F28" t="s">
        <v>26</v>
      </c>
      <c r="G28" t="s">
        <v>45</v>
      </c>
      <c r="H28" t="s">
        <v>68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 t="s">
        <v>61</v>
      </c>
      <c r="O28" t="s">
        <v>227</v>
      </c>
      <c r="P28" t="s">
        <v>34</v>
      </c>
      <c r="Q28" t="s">
        <v>228</v>
      </c>
      <c r="R28" t="s">
        <v>229</v>
      </c>
      <c r="S28" t="s">
        <v>207</v>
      </c>
      <c r="T28" t="s">
        <v>230</v>
      </c>
      <c r="U28" s="10" t="s">
        <v>1061</v>
      </c>
      <c r="V28" s="10" t="s">
        <v>1074</v>
      </c>
      <c r="W28" s="10" t="s">
        <v>1087</v>
      </c>
      <c r="X28" s="10" t="s">
        <v>1059</v>
      </c>
      <c r="Y28" t="s">
        <v>39</v>
      </c>
      <c r="Z28" t="s">
        <v>40</v>
      </c>
      <c r="AA28" t="s">
        <v>53</v>
      </c>
      <c r="AB28" t="s">
        <v>222</v>
      </c>
    </row>
    <row r="29" spans="1:28" x14ac:dyDescent="0.8">
      <c r="A29">
        <v>1741</v>
      </c>
      <c r="B29">
        <v>828</v>
      </c>
      <c r="C29" s="2">
        <v>44384</v>
      </c>
      <c r="D29" t="s">
        <v>24</v>
      </c>
      <c r="E29" t="s">
        <v>25</v>
      </c>
      <c r="F29" t="s">
        <v>26</v>
      </c>
      <c r="G29" t="s">
        <v>45</v>
      </c>
      <c r="H29" t="s">
        <v>68</v>
      </c>
      <c r="I29" t="s">
        <v>69</v>
      </c>
      <c r="J29" t="s">
        <v>70</v>
      </c>
      <c r="K29" t="s">
        <v>71</v>
      </c>
      <c r="L29" t="s">
        <v>72</v>
      </c>
      <c r="M29" t="s">
        <v>73</v>
      </c>
      <c r="N29" t="s">
        <v>61</v>
      </c>
      <c r="O29" t="s">
        <v>227</v>
      </c>
      <c r="P29" t="s">
        <v>34</v>
      </c>
      <c r="Q29" t="s">
        <v>228</v>
      </c>
      <c r="R29" t="s">
        <v>229</v>
      </c>
      <c r="S29" t="s">
        <v>207</v>
      </c>
      <c r="T29" t="s">
        <v>230</v>
      </c>
      <c r="U29" s="10" t="s">
        <v>1061</v>
      </c>
      <c r="V29" s="10" t="s">
        <v>1074</v>
      </c>
      <c r="W29" s="10" t="s">
        <v>1087</v>
      </c>
      <c r="X29" s="10" t="s">
        <v>1059</v>
      </c>
      <c r="Y29" t="s">
        <v>39</v>
      </c>
      <c r="Z29" t="s">
        <v>40</v>
      </c>
      <c r="AA29" t="s">
        <v>41</v>
      </c>
    </row>
    <row r="30" spans="1:28" x14ac:dyDescent="0.8">
      <c r="A30">
        <v>1599</v>
      </c>
      <c r="B30">
        <v>23</v>
      </c>
      <c r="C30" s="2">
        <v>44384</v>
      </c>
      <c r="D30" t="s">
        <v>24</v>
      </c>
      <c r="E30" t="s">
        <v>150</v>
      </c>
      <c r="F30" t="s">
        <v>26</v>
      </c>
      <c r="G30" t="s">
        <v>45</v>
      </c>
      <c r="H30" t="s">
        <v>68</v>
      </c>
      <c r="I30" t="s">
        <v>69</v>
      </c>
      <c r="J30" t="s">
        <v>70</v>
      </c>
      <c r="K30" t="s">
        <v>71</v>
      </c>
      <c r="L30" t="s">
        <v>72</v>
      </c>
      <c r="M30" t="s">
        <v>73</v>
      </c>
      <c r="N30" t="s">
        <v>61</v>
      </c>
      <c r="O30" t="s">
        <v>227</v>
      </c>
      <c r="P30" t="s">
        <v>34</v>
      </c>
      <c r="Q30" t="s">
        <v>228</v>
      </c>
      <c r="R30" t="s">
        <v>229</v>
      </c>
      <c r="S30" t="s">
        <v>207</v>
      </c>
      <c r="T30" t="s">
        <v>230</v>
      </c>
      <c r="U30" s="10" t="s">
        <v>1061</v>
      </c>
      <c r="V30" s="10" t="s">
        <v>1074</v>
      </c>
      <c r="W30" s="10" t="s">
        <v>1087</v>
      </c>
      <c r="X30" s="10" t="s">
        <v>1059</v>
      </c>
      <c r="Y30" t="s">
        <v>140</v>
      </c>
      <c r="Z30" t="s">
        <v>40</v>
      </c>
      <c r="AA30" t="s">
        <v>231</v>
      </c>
    </row>
    <row r="31" spans="1:28" x14ac:dyDescent="0.8">
      <c r="A31">
        <v>254</v>
      </c>
      <c r="B31">
        <v>1380</v>
      </c>
      <c r="C31" s="2">
        <v>44384</v>
      </c>
      <c r="D31" t="s">
        <v>24</v>
      </c>
      <c r="E31" t="s">
        <v>150</v>
      </c>
      <c r="F31" t="s">
        <v>26</v>
      </c>
      <c r="G31" t="s">
        <v>45</v>
      </c>
      <c r="H31" t="s">
        <v>68</v>
      </c>
      <c r="I31" t="s">
        <v>69</v>
      </c>
      <c r="J31" t="s">
        <v>70</v>
      </c>
      <c r="K31" t="s">
        <v>71</v>
      </c>
      <c r="L31" t="s">
        <v>72</v>
      </c>
      <c r="M31" t="s">
        <v>73</v>
      </c>
      <c r="N31" t="s">
        <v>61</v>
      </c>
      <c r="O31" t="s">
        <v>227</v>
      </c>
      <c r="P31" t="s">
        <v>34</v>
      </c>
      <c r="Q31" t="s">
        <v>228</v>
      </c>
      <c r="R31" t="s">
        <v>229</v>
      </c>
      <c r="S31" t="s">
        <v>207</v>
      </c>
      <c r="T31" t="s">
        <v>230</v>
      </c>
      <c r="U31" s="10" t="s">
        <v>1061</v>
      </c>
      <c r="V31" s="10" t="s">
        <v>1074</v>
      </c>
      <c r="W31" s="10" t="s">
        <v>1087</v>
      </c>
      <c r="X31" s="10" t="s">
        <v>1059</v>
      </c>
      <c r="Y31" t="s">
        <v>39</v>
      </c>
      <c r="Z31" t="s">
        <v>40</v>
      </c>
      <c r="AA31" t="s">
        <v>53</v>
      </c>
    </row>
    <row r="32" spans="1:28" x14ac:dyDescent="0.8">
      <c r="A32">
        <v>251</v>
      </c>
      <c r="B32">
        <v>1302</v>
      </c>
      <c r="C32" s="2">
        <v>44384</v>
      </c>
      <c r="D32" t="s">
        <v>24</v>
      </c>
      <c r="E32" t="s">
        <v>150</v>
      </c>
      <c r="F32" t="s">
        <v>26</v>
      </c>
      <c r="G32" t="s">
        <v>45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73</v>
      </c>
      <c r="N32" t="s">
        <v>61</v>
      </c>
      <c r="O32" t="s">
        <v>227</v>
      </c>
      <c r="P32" t="s">
        <v>34</v>
      </c>
      <c r="Q32" t="s">
        <v>228</v>
      </c>
      <c r="R32" t="s">
        <v>229</v>
      </c>
      <c r="S32" t="s">
        <v>207</v>
      </c>
      <c r="T32" t="s">
        <v>230</v>
      </c>
      <c r="U32" s="10" t="s">
        <v>1061</v>
      </c>
      <c r="V32" s="10" t="s">
        <v>1074</v>
      </c>
      <c r="W32" s="10" t="s">
        <v>1087</v>
      </c>
      <c r="X32" s="10" t="s">
        <v>1059</v>
      </c>
      <c r="Y32" t="s">
        <v>39</v>
      </c>
      <c r="Z32" t="s">
        <v>40</v>
      </c>
      <c r="AA32" t="s">
        <v>53</v>
      </c>
    </row>
    <row r="33" spans="1:27" x14ac:dyDescent="0.8">
      <c r="A33">
        <v>249</v>
      </c>
      <c r="B33">
        <v>1300</v>
      </c>
      <c r="C33" s="2">
        <v>44384</v>
      </c>
      <c r="D33" t="s">
        <v>24</v>
      </c>
      <c r="E33" t="s">
        <v>150</v>
      </c>
      <c r="F33" t="s">
        <v>26</v>
      </c>
      <c r="G33" t="s">
        <v>45</v>
      </c>
      <c r="H33" t="s">
        <v>68</v>
      </c>
      <c r="I33" t="s">
        <v>69</v>
      </c>
      <c r="J33" t="s">
        <v>70</v>
      </c>
      <c r="K33" t="s">
        <v>71</v>
      </c>
      <c r="L33" t="s">
        <v>72</v>
      </c>
      <c r="M33" t="s">
        <v>73</v>
      </c>
      <c r="N33" t="s">
        <v>61</v>
      </c>
      <c r="O33" t="s">
        <v>227</v>
      </c>
      <c r="P33" t="s">
        <v>34</v>
      </c>
      <c r="Q33" t="s">
        <v>228</v>
      </c>
      <c r="R33" t="s">
        <v>229</v>
      </c>
      <c r="S33" t="s">
        <v>207</v>
      </c>
      <c r="T33" t="s">
        <v>230</v>
      </c>
      <c r="U33" s="10" t="s">
        <v>1061</v>
      </c>
      <c r="V33" s="10" t="s">
        <v>1074</v>
      </c>
      <c r="W33" s="10" t="s">
        <v>1087</v>
      </c>
      <c r="X33" s="10" t="s">
        <v>1059</v>
      </c>
      <c r="Y33" t="s">
        <v>39</v>
      </c>
      <c r="Z33" t="s">
        <v>40</v>
      </c>
      <c r="AA33" t="s">
        <v>53</v>
      </c>
    </row>
    <row r="34" spans="1:27" x14ac:dyDescent="0.8">
      <c r="A34">
        <v>1</v>
      </c>
      <c r="B34">
        <v>1</v>
      </c>
      <c r="C34" s="2">
        <v>44384</v>
      </c>
      <c r="D34" t="s">
        <v>24</v>
      </c>
      <c r="E34" t="s">
        <v>63</v>
      </c>
      <c r="F34" t="s">
        <v>26</v>
      </c>
      <c r="G34" t="s">
        <v>45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61</v>
      </c>
      <c r="O34" t="s">
        <v>227</v>
      </c>
      <c r="P34" t="s">
        <v>34</v>
      </c>
      <c r="Q34" t="s">
        <v>228</v>
      </c>
      <c r="R34" t="s">
        <v>229</v>
      </c>
      <c r="S34" t="s">
        <v>207</v>
      </c>
      <c r="T34" t="s">
        <v>230</v>
      </c>
      <c r="U34" s="10" t="s">
        <v>1061</v>
      </c>
      <c r="V34" s="10" t="s">
        <v>1074</v>
      </c>
      <c r="W34" s="10" t="s">
        <v>1087</v>
      </c>
      <c r="X34" s="10" t="s">
        <v>1059</v>
      </c>
      <c r="Y34" t="s">
        <v>140</v>
      </c>
      <c r="Z34" t="s">
        <v>40</v>
      </c>
      <c r="AA34" t="s">
        <v>25</v>
      </c>
    </row>
    <row r="35" spans="1:27" x14ac:dyDescent="0.8">
      <c r="A35">
        <v>18</v>
      </c>
      <c r="B35">
        <v>21</v>
      </c>
      <c r="C35" s="2">
        <v>44384</v>
      </c>
      <c r="D35" t="s">
        <v>24</v>
      </c>
      <c r="E35" t="s">
        <v>63</v>
      </c>
      <c r="F35" t="s">
        <v>26</v>
      </c>
      <c r="G35" t="s">
        <v>45</v>
      </c>
      <c r="H35" t="s">
        <v>155</v>
      </c>
      <c r="I35" t="s">
        <v>69</v>
      </c>
      <c r="J35" t="s">
        <v>156</v>
      </c>
      <c r="K35" t="s">
        <v>157</v>
      </c>
      <c r="L35" t="s">
        <v>232</v>
      </c>
      <c r="M35" t="s">
        <v>233</v>
      </c>
      <c r="N35" t="s">
        <v>61</v>
      </c>
      <c r="O35" t="s">
        <v>227</v>
      </c>
      <c r="P35" t="s">
        <v>34</v>
      </c>
      <c r="Q35" t="s">
        <v>228</v>
      </c>
      <c r="R35" t="s">
        <v>229</v>
      </c>
      <c r="S35" t="s">
        <v>207</v>
      </c>
      <c r="T35" t="s">
        <v>230</v>
      </c>
      <c r="U35" s="10" t="s">
        <v>1061</v>
      </c>
      <c r="V35" s="10" t="s">
        <v>1074</v>
      </c>
      <c r="W35" s="10" t="s">
        <v>1087</v>
      </c>
      <c r="X35" s="10" t="s">
        <v>1059</v>
      </c>
      <c r="Y35" t="s">
        <v>140</v>
      </c>
      <c r="Z35" t="s">
        <v>40</v>
      </c>
      <c r="AA35" t="s">
        <v>234</v>
      </c>
    </row>
    <row r="36" spans="1:27" x14ac:dyDescent="0.8">
      <c r="A36">
        <v>898</v>
      </c>
      <c r="B36">
        <v>1026</v>
      </c>
      <c r="C36" s="2">
        <v>44388</v>
      </c>
      <c r="D36" t="s">
        <v>189</v>
      </c>
      <c r="E36" t="s">
        <v>25</v>
      </c>
      <c r="F36" t="s">
        <v>26</v>
      </c>
      <c r="G36" t="s">
        <v>45</v>
      </c>
      <c r="H36" t="s">
        <v>68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61</v>
      </c>
      <c r="O36" t="s">
        <v>227</v>
      </c>
      <c r="P36" t="s">
        <v>34</v>
      </c>
      <c r="Q36" t="s">
        <v>228</v>
      </c>
      <c r="R36" t="s">
        <v>229</v>
      </c>
      <c r="S36" t="s">
        <v>207</v>
      </c>
      <c r="T36" t="s">
        <v>230</v>
      </c>
      <c r="U36" s="10" t="s">
        <v>1061</v>
      </c>
      <c r="V36" s="10" t="s">
        <v>1074</v>
      </c>
      <c r="W36" s="10" t="s">
        <v>1087</v>
      </c>
      <c r="X36" s="10" t="s">
        <v>1059</v>
      </c>
      <c r="Y36" t="s">
        <v>39</v>
      </c>
      <c r="Z36" t="s">
        <v>40</v>
      </c>
      <c r="AA36" t="s">
        <v>63</v>
      </c>
    </row>
    <row r="37" spans="1:27" x14ac:dyDescent="0.8">
      <c r="A37">
        <v>894</v>
      </c>
      <c r="B37">
        <v>1022</v>
      </c>
      <c r="C37" s="2">
        <v>44388</v>
      </c>
      <c r="D37" t="s">
        <v>189</v>
      </c>
      <c r="E37" t="s">
        <v>25</v>
      </c>
      <c r="F37" t="s">
        <v>26</v>
      </c>
      <c r="G37" t="s">
        <v>45</v>
      </c>
      <c r="H37" t="s">
        <v>68</v>
      </c>
      <c r="I37" t="s">
        <v>69</v>
      </c>
      <c r="J37" t="s">
        <v>70</v>
      </c>
      <c r="K37" t="s">
        <v>71</v>
      </c>
      <c r="L37" t="s">
        <v>72</v>
      </c>
      <c r="M37" t="s">
        <v>73</v>
      </c>
      <c r="N37" t="s">
        <v>61</v>
      </c>
      <c r="O37" t="s">
        <v>227</v>
      </c>
      <c r="P37" t="s">
        <v>34</v>
      </c>
      <c r="Q37" t="s">
        <v>228</v>
      </c>
      <c r="R37" t="s">
        <v>229</v>
      </c>
      <c r="S37" t="s">
        <v>207</v>
      </c>
      <c r="T37" t="s">
        <v>230</v>
      </c>
      <c r="U37" s="10" t="s">
        <v>1061</v>
      </c>
      <c r="V37" s="10" t="s">
        <v>1074</v>
      </c>
      <c r="W37" s="10" t="s">
        <v>1087</v>
      </c>
      <c r="X37" s="10" t="s">
        <v>1059</v>
      </c>
      <c r="Y37" t="s">
        <v>39</v>
      </c>
      <c r="Z37" t="s">
        <v>40</v>
      </c>
      <c r="AA37" t="s">
        <v>63</v>
      </c>
    </row>
    <row r="38" spans="1:27" x14ac:dyDescent="0.8">
      <c r="A38">
        <v>1661</v>
      </c>
      <c r="B38">
        <v>432</v>
      </c>
      <c r="C38" s="2">
        <v>44388</v>
      </c>
      <c r="D38" t="s">
        <v>235</v>
      </c>
      <c r="E38" t="s">
        <v>63</v>
      </c>
      <c r="F38" t="s">
        <v>26</v>
      </c>
      <c r="G38" t="s">
        <v>45</v>
      </c>
      <c r="H38" t="s">
        <v>68</v>
      </c>
      <c r="I38" t="s">
        <v>69</v>
      </c>
      <c r="J38" t="s">
        <v>70</v>
      </c>
      <c r="K38" t="s">
        <v>71</v>
      </c>
      <c r="L38" t="s">
        <v>72</v>
      </c>
      <c r="M38" t="s">
        <v>73</v>
      </c>
      <c r="N38" t="s">
        <v>61</v>
      </c>
      <c r="O38" t="s">
        <v>227</v>
      </c>
      <c r="P38" t="s">
        <v>34</v>
      </c>
      <c r="Q38" t="s">
        <v>228</v>
      </c>
      <c r="R38" t="s">
        <v>229</v>
      </c>
      <c r="S38" t="s">
        <v>207</v>
      </c>
      <c r="T38" t="s">
        <v>230</v>
      </c>
      <c r="U38" s="10" t="s">
        <v>1061</v>
      </c>
      <c r="V38" s="10" t="s">
        <v>1074</v>
      </c>
      <c r="W38" s="10" t="s">
        <v>1087</v>
      </c>
      <c r="X38" s="10" t="s">
        <v>1059</v>
      </c>
      <c r="Y38" t="s">
        <v>39</v>
      </c>
      <c r="Z38" t="s">
        <v>40</v>
      </c>
      <c r="AA38" t="s">
        <v>41</v>
      </c>
    </row>
    <row r="39" spans="1:27" x14ac:dyDescent="0.8">
      <c r="A39">
        <v>1573</v>
      </c>
      <c r="B39">
        <v>318</v>
      </c>
      <c r="C39" s="2">
        <v>44388</v>
      </c>
      <c r="D39" t="s">
        <v>235</v>
      </c>
      <c r="E39" t="s">
        <v>53</v>
      </c>
      <c r="F39" t="s">
        <v>26</v>
      </c>
      <c r="G39" t="s">
        <v>45</v>
      </c>
      <c r="H39" t="s">
        <v>68</v>
      </c>
      <c r="I39" t="s">
        <v>69</v>
      </c>
      <c r="J39" t="s">
        <v>70</v>
      </c>
      <c r="K39" t="s">
        <v>71</v>
      </c>
      <c r="L39" t="s">
        <v>72</v>
      </c>
      <c r="M39" t="s">
        <v>73</v>
      </c>
      <c r="N39" t="s">
        <v>61</v>
      </c>
      <c r="O39" t="s">
        <v>227</v>
      </c>
      <c r="P39" t="s">
        <v>34</v>
      </c>
      <c r="Q39" t="s">
        <v>228</v>
      </c>
      <c r="R39" t="s">
        <v>229</v>
      </c>
      <c r="S39" t="s">
        <v>207</v>
      </c>
      <c r="T39" t="s">
        <v>230</v>
      </c>
      <c r="U39" s="10" t="s">
        <v>1061</v>
      </c>
      <c r="V39" s="10" t="s">
        <v>1074</v>
      </c>
      <c r="W39" s="10" t="s">
        <v>1087</v>
      </c>
      <c r="X39" s="10" t="s">
        <v>1059</v>
      </c>
      <c r="Y39" t="s">
        <v>140</v>
      </c>
      <c r="Z39" t="s">
        <v>40</v>
      </c>
      <c r="AA39" t="s">
        <v>125</v>
      </c>
    </row>
    <row r="40" spans="1:27" x14ac:dyDescent="0.8">
      <c r="A40">
        <v>169</v>
      </c>
      <c r="B40">
        <v>1255</v>
      </c>
      <c r="C40" s="2">
        <v>44388</v>
      </c>
      <c r="D40" t="s">
        <v>235</v>
      </c>
      <c r="E40" t="s">
        <v>125</v>
      </c>
      <c r="F40" t="s">
        <v>26</v>
      </c>
      <c r="G40" t="s">
        <v>45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73</v>
      </c>
      <c r="N40" t="s">
        <v>61</v>
      </c>
      <c r="O40" t="s">
        <v>227</v>
      </c>
      <c r="P40" t="s">
        <v>34</v>
      </c>
      <c r="Q40" t="s">
        <v>228</v>
      </c>
      <c r="R40" t="s">
        <v>229</v>
      </c>
      <c r="S40" t="s">
        <v>207</v>
      </c>
      <c r="T40" t="s">
        <v>230</v>
      </c>
      <c r="U40" s="10" t="s">
        <v>1061</v>
      </c>
      <c r="V40" s="10" t="s">
        <v>1074</v>
      </c>
      <c r="W40" s="10" t="s">
        <v>1087</v>
      </c>
      <c r="X40" s="10" t="s">
        <v>1059</v>
      </c>
      <c r="Y40" t="s">
        <v>39</v>
      </c>
      <c r="Z40" t="s">
        <v>40</v>
      </c>
      <c r="AA40" t="s">
        <v>53</v>
      </c>
    </row>
    <row r="41" spans="1:27" x14ac:dyDescent="0.8">
      <c r="A41">
        <v>1660</v>
      </c>
      <c r="B41">
        <v>431</v>
      </c>
      <c r="C41" s="2">
        <v>44388</v>
      </c>
      <c r="D41" t="s">
        <v>235</v>
      </c>
      <c r="E41" t="s">
        <v>63</v>
      </c>
      <c r="F41" t="s">
        <v>26</v>
      </c>
      <c r="G41" t="s">
        <v>45</v>
      </c>
      <c r="H41" t="s">
        <v>155</v>
      </c>
      <c r="I41" t="s">
        <v>69</v>
      </c>
      <c r="J41" t="s">
        <v>156</v>
      </c>
      <c r="K41" t="s">
        <v>157</v>
      </c>
      <c r="L41" t="s">
        <v>158</v>
      </c>
      <c r="M41" t="s">
        <v>159</v>
      </c>
      <c r="N41" t="s">
        <v>61</v>
      </c>
      <c r="O41" t="s">
        <v>227</v>
      </c>
      <c r="P41" t="s">
        <v>34</v>
      </c>
      <c r="Q41" t="s">
        <v>228</v>
      </c>
      <c r="R41" t="s">
        <v>229</v>
      </c>
      <c r="S41" t="s">
        <v>207</v>
      </c>
      <c r="T41" t="s">
        <v>230</v>
      </c>
      <c r="U41" s="10" t="s">
        <v>1061</v>
      </c>
      <c r="V41" s="10" t="s">
        <v>1074</v>
      </c>
      <c r="W41" s="10" t="s">
        <v>1087</v>
      </c>
      <c r="X41" s="10" t="s">
        <v>1059</v>
      </c>
      <c r="Y41" t="s">
        <v>39</v>
      </c>
      <c r="Z41" t="s">
        <v>40</v>
      </c>
      <c r="AA41" t="s">
        <v>41</v>
      </c>
    </row>
    <row r="42" spans="1:27" x14ac:dyDescent="0.8">
      <c r="A42">
        <v>1589</v>
      </c>
      <c r="B42">
        <v>457</v>
      </c>
      <c r="C42" s="2">
        <v>44388</v>
      </c>
      <c r="D42" t="s">
        <v>235</v>
      </c>
      <c r="E42" t="s">
        <v>125</v>
      </c>
      <c r="F42" t="s">
        <v>26</v>
      </c>
      <c r="G42" t="s">
        <v>94</v>
      </c>
      <c r="H42" t="s">
        <v>95</v>
      </c>
      <c r="I42" t="s">
        <v>236</v>
      </c>
      <c r="J42" t="s">
        <v>237</v>
      </c>
      <c r="K42" t="s">
        <v>238</v>
      </c>
      <c r="L42" t="s">
        <v>239</v>
      </c>
      <c r="M42" t="s">
        <v>240</v>
      </c>
      <c r="N42" t="s">
        <v>101</v>
      </c>
      <c r="O42" t="s">
        <v>227</v>
      </c>
      <c r="P42" t="s">
        <v>34</v>
      </c>
      <c r="Q42" t="s">
        <v>228</v>
      </c>
      <c r="R42" t="s">
        <v>229</v>
      </c>
      <c r="S42" t="s">
        <v>207</v>
      </c>
      <c r="T42" t="s">
        <v>230</v>
      </c>
      <c r="U42" s="10" t="s">
        <v>1061</v>
      </c>
      <c r="V42" s="10" t="s">
        <v>1074</v>
      </c>
      <c r="W42" s="10" t="s">
        <v>1087</v>
      </c>
      <c r="X42" s="10" t="s">
        <v>1059</v>
      </c>
      <c r="Y42" t="s">
        <v>39</v>
      </c>
      <c r="Z42" t="s">
        <v>40</v>
      </c>
      <c r="AA42" t="s">
        <v>125</v>
      </c>
    </row>
    <row r="43" spans="1:27" x14ac:dyDescent="0.8">
      <c r="A43">
        <v>613</v>
      </c>
      <c r="B43">
        <v>1384</v>
      </c>
      <c r="C43" s="2">
        <v>44386</v>
      </c>
      <c r="D43" t="s">
        <v>43</v>
      </c>
      <c r="E43" t="s">
        <v>53</v>
      </c>
      <c r="F43" t="s">
        <v>26</v>
      </c>
      <c r="G43" t="s">
        <v>45</v>
      </c>
      <c r="H43" t="s">
        <v>68</v>
      </c>
      <c r="I43" t="s">
        <v>69</v>
      </c>
      <c r="J43" t="s">
        <v>70</v>
      </c>
      <c r="K43" t="s">
        <v>71</v>
      </c>
      <c r="L43" t="s">
        <v>72</v>
      </c>
      <c r="M43" t="s">
        <v>73</v>
      </c>
      <c r="N43" t="s">
        <v>61</v>
      </c>
      <c r="O43" t="s">
        <v>227</v>
      </c>
      <c r="P43" t="s">
        <v>34</v>
      </c>
      <c r="Q43" t="s">
        <v>228</v>
      </c>
      <c r="R43" t="s">
        <v>229</v>
      </c>
      <c r="S43" t="s">
        <v>207</v>
      </c>
      <c r="T43" t="s">
        <v>230</v>
      </c>
      <c r="U43" s="10" t="s">
        <v>1061</v>
      </c>
      <c r="V43" s="10" t="s">
        <v>1074</v>
      </c>
      <c r="W43" s="10" t="s">
        <v>1087</v>
      </c>
      <c r="X43" s="10" t="s">
        <v>1059</v>
      </c>
      <c r="Y43" t="s">
        <v>140</v>
      </c>
      <c r="Z43" t="s">
        <v>40</v>
      </c>
      <c r="AA43" t="s">
        <v>63</v>
      </c>
    </row>
    <row r="44" spans="1:27" x14ac:dyDescent="0.8">
      <c r="A44">
        <v>93</v>
      </c>
      <c r="B44">
        <v>100</v>
      </c>
      <c r="C44" s="2">
        <v>44386</v>
      </c>
      <c r="D44" t="s">
        <v>43</v>
      </c>
      <c r="E44" t="s">
        <v>25</v>
      </c>
      <c r="F44" t="s">
        <v>26</v>
      </c>
      <c r="G44" t="s">
        <v>45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73</v>
      </c>
      <c r="N44" t="s">
        <v>61</v>
      </c>
      <c r="O44" t="s">
        <v>227</v>
      </c>
      <c r="P44" t="s">
        <v>34</v>
      </c>
      <c r="Q44" t="s">
        <v>228</v>
      </c>
      <c r="R44" t="s">
        <v>229</v>
      </c>
      <c r="S44" t="s">
        <v>207</v>
      </c>
      <c r="T44" t="s">
        <v>230</v>
      </c>
      <c r="U44" s="10" t="s">
        <v>1061</v>
      </c>
      <c r="V44" s="10" t="s">
        <v>1074</v>
      </c>
      <c r="W44" s="10" t="s">
        <v>1087</v>
      </c>
      <c r="X44" s="10" t="s">
        <v>1059</v>
      </c>
      <c r="Y44" t="s">
        <v>39</v>
      </c>
      <c r="Z44" t="s">
        <v>40</v>
      </c>
      <c r="AA44" t="s">
        <v>44</v>
      </c>
    </row>
    <row r="45" spans="1:27" x14ac:dyDescent="0.8">
      <c r="A45">
        <v>92</v>
      </c>
      <c r="B45">
        <v>99</v>
      </c>
      <c r="C45" s="2">
        <v>44386</v>
      </c>
      <c r="D45" t="s">
        <v>43</v>
      </c>
      <c r="E45" t="s">
        <v>25</v>
      </c>
      <c r="F45" t="s">
        <v>26</v>
      </c>
      <c r="G45" t="s">
        <v>45</v>
      </c>
      <c r="H45" t="s">
        <v>46</v>
      </c>
      <c r="I45" t="s">
        <v>47</v>
      </c>
      <c r="J45" t="s">
        <v>48</v>
      </c>
      <c r="K45" t="s">
        <v>141</v>
      </c>
      <c r="L45" t="s">
        <v>142</v>
      </c>
      <c r="M45" t="s">
        <v>143</v>
      </c>
      <c r="N45" t="s">
        <v>61</v>
      </c>
      <c r="O45" t="s">
        <v>227</v>
      </c>
      <c r="P45" t="s">
        <v>34</v>
      </c>
      <c r="Q45" t="s">
        <v>228</v>
      </c>
      <c r="R45" t="s">
        <v>229</v>
      </c>
      <c r="S45" t="s">
        <v>207</v>
      </c>
      <c r="T45" t="s">
        <v>230</v>
      </c>
      <c r="U45" s="10" t="s">
        <v>1061</v>
      </c>
      <c r="V45" s="10" t="s">
        <v>1074</v>
      </c>
      <c r="W45" s="10" t="s">
        <v>1087</v>
      </c>
      <c r="X45" s="10" t="s">
        <v>1059</v>
      </c>
      <c r="Y45" t="s">
        <v>39</v>
      </c>
      <c r="Z45" t="s">
        <v>40</v>
      </c>
      <c r="AA45" t="s">
        <v>44</v>
      </c>
    </row>
    <row r="46" spans="1:27" x14ac:dyDescent="0.8">
      <c r="A46">
        <v>780</v>
      </c>
      <c r="B46">
        <v>1309</v>
      </c>
      <c r="C46" s="2">
        <v>44387</v>
      </c>
      <c r="D46" t="s">
        <v>149</v>
      </c>
      <c r="E46" t="s">
        <v>150</v>
      </c>
      <c r="F46" t="s">
        <v>26</v>
      </c>
      <c r="G46" t="s">
        <v>45</v>
      </c>
      <c r="H46" t="s">
        <v>68</v>
      </c>
      <c r="I46" t="s">
        <v>69</v>
      </c>
      <c r="J46" t="s">
        <v>70</v>
      </c>
      <c r="K46" t="s">
        <v>71</v>
      </c>
      <c r="L46" t="s">
        <v>72</v>
      </c>
      <c r="M46" t="s">
        <v>73</v>
      </c>
      <c r="N46" t="s">
        <v>61</v>
      </c>
      <c r="O46" t="s">
        <v>227</v>
      </c>
      <c r="P46" t="s">
        <v>34</v>
      </c>
      <c r="Q46" t="s">
        <v>228</v>
      </c>
      <c r="R46" t="s">
        <v>229</v>
      </c>
      <c r="S46" t="s">
        <v>207</v>
      </c>
      <c r="T46" t="s">
        <v>230</v>
      </c>
      <c r="U46" s="10" t="s">
        <v>1061</v>
      </c>
      <c r="V46" s="10" t="s">
        <v>1074</v>
      </c>
      <c r="W46" s="10" t="s">
        <v>1087</v>
      </c>
      <c r="X46" s="10" t="s">
        <v>1059</v>
      </c>
      <c r="Y46" t="s">
        <v>140</v>
      </c>
      <c r="Z46" t="s">
        <v>40</v>
      </c>
      <c r="AA46" t="s">
        <v>63</v>
      </c>
    </row>
    <row r="47" spans="1:27" x14ac:dyDescent="0.8">
      <c r="A47">
        <v>999</v>
      </c>
      <c r="B47">
        <v>1355</v>
      </c>
      <c r="C47" s="2">
        <v>44385</v>
      </c>
      <c r="D47" t="s">
        <v>203</v>
      </c>
      <c r="E47" t="s">
        <v>25</v>
      </c>
      <c r="F47" t="s">
        <v>26</v>
      </c>
      <c r="G47" t="s">
        <v>45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73</v>
      </c>
      <c r="N47" t="s">
        <v>61</v>
      </c>
      <c r="O47" t="s">
        <v>227</v>
      </c>
      <c r="P47" t="s">
        <v>34</v>
      </c>
      <c r="Q47" t="s">
        <v>228</v>
      </c>
      <c r="R47" t="s">
        <v>229</v>
      </c>
      <c r="S47" t="s">
        <v>207</v>
      </c>
      <c r="T47" t="s">
        <v>230</v>
      </c>
      <c r="U47" s="10" t="s">
        <v>1061</v>
      </c>
      <c r="V47" s="10" t="s">
        <v>1074</v>
      </c>
      <c r="W47" s="10" t="s">
        <v>1087</v>
      </c>
      <c r="X47" s="10" t="s">
        <v>1059</v>
      </c>
      <c r="Y47" t="s">
        <v>39</v>
      </c>
      <c r="Z47" t="s">
        <v>40</v>
      </c>
      <c r="AA47" t="s">
        <v>63</v>
      </c>
    </row>
    <row r="48" spans="1:27" x14ac:dyDescent="0.8">
      <c r="A48">
        <v>995</v>
      </c>
      <c r="B48">
        <v>1351</v>
      </c>
      <c r="C48" s="2">
        <v>44385</v>
      </c>
      <c r="D48" t="s">
        <v>203</v>
      </c>
      <c r="E48" t="s">
        <v>25</v>
      </c>
      <c r="F48" t="s">
        <v>26</v>
      </c>
      <c r="G48" t="s">
        <v>45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73</v>
      </c>
      <c r="N48" t="s">
        <v>61</v>
      </c>
      <c r="O48" t="s">
        <v>227</v>
      </c>
      <c r="P48" t="s">
        <v>34</v>
      </c>
      <c r="Q48" t="s">
        <v>228</v>
      </c>
      <c r="R48" t="s">
        <v>229</v>
      </c>
      <c r="S48" t="s">
        <v>207</v>
      </c>
      <c r="T48" t="s">
        <v>230</v>
      </c>
      <c r="U48" s="10" t="s">
        <v>1061</v>
      </c>
      <c r="V48" s="10" t="s">
        <v>1074</v>
      </c>
      <c r="W48" s="10" t="s">
        <v>1087</v>
      </c>
      <c r="X48" s="10" t="s">
        <v>1059</v>
      </c>
      <c r="Y48" t="s">
        <v>39</v>
      </c>
      <c r="Z48" t="s">
        <v>40</v>
      </c>
      <c r="AA48" t="s">
        <v>63</v>
      </c>
    </row>
    <row r="49" spans="1:27" x14ac:dyDescent="0.8">
      <c r="A49">
        <v>976</v>
      </c>
      <c r="B49">
        <v>1284</v>
      </c>
      <c r="C49" s="2">
        <v>44385</v>
      </c>
      <c r="D49" t="s">
        <v>203</v>
      </c>
      <c r="E49" t="s">
        <v>63</v>
      </c>
      <c r="F49" t="s">
        <v>26</v>
      </c>
      <c r="G49" t="s">
        <v>45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73</v>
      </c>
      <c r="N49" t="s">
        <v>61</v>
      </c>
      <c r="O49" t="s">
        <v>227</v>
      </c>
      <c r="P49" t="s">
        <v>34</v>
      </c>
      <c r="Q49" t="s">
        <v>228</v>
      </c>
      <c r="R49" t="s">
        <v>229</v>
      </c>
      <c r="S49" t="s">
        <v>207</v>
      </c>
      <c r="T49" t="s">
        <v>230</v>
      </c>
      <c r="U49" s="10" t="s">
        <v>1061</v>
      </c>
      <c r="V49" s="10" t="s">
        <v>1074</v>
      </c>
      <c r="W49" s="10" t="s">
        <v>1087</v>
      </c>
      <c r="X49" s="10" t="s">
        <v>1059</v>
      </c>
      <c r="Y49" t="s">
        <v>140</v>
      </c>
      <c r="Z49" t="s">
        <v>40</v>
      </c>
      <c r="AA49" t="s">
        <v>63</v>
      </c>
    </row>
    <row r="50" spans="1:27" x14ac:dyDescent="0.8">
      <c r="A50">
        <v>1006</v>
      </c>
      <c r="B50">
        <v>1362</v>
      </c>
      <c r="C50" s="2">
        <v>44385</v>
      </c>
      <c r="D50" t="s">
        <v>203</v>
      </c>
      <c r="E50" t="s">
        <v>44</v>
      </c>
      <c r="F50" t="s">
        <v>26</v>
      </c>
      <c r="G50" t="s">
        <v>45</v>
      </c>
      <c r="H50" t="s">
        <v>155</v>
      </c>
      <c r="I50" t="s">
        <v>69</v>
      </c>
      <c r="J50" t="s">
        <v>156</v>
      </c>
      <c r="K50" t="s">
        <v>157</v>
      </c>
      <c r="L50" t="s">
        <v>232</v>
      </c>
      <c r="M50" t="s">
        <v>233</v>
      </c>
      <c r="N50" t="s">
        <v>61</v>
      </c>
      <c r="O50" t="s">
        <v>227</v>
      </c>
      <c r="P50" t="s">
        <v>34</v>
      </c>
      <c r="Q50" t="s">
        <v>228</v>
      </c>
      <c r="R50" t="s">
        <v>229</v>
      </c>
      <c r="S50" t="s">
        <v>207</v>
      </c>
      <c r="T50" t="s">
        <v>230</v>
      </c>
      <c r="U50" s="10" t="s">
        <v>1061</v>
      </c>
      <c r="V50" s="10" t="s">
        <v>1074</v>
      </c>
      <c r="W50" s="10" t="s">
        <v>1087</v>
      </c>
      <c r="X50" s="10" t="s">
        <v>1059</v>
      </c>
      <c r="Y50" t="s">
        <v>39</v>
      </c>
      <c r="Z50" t="s">
        <v>40</v>
      </c>
      <c r="AA50" t="s">
        <v>63</v>
      </c>
    </row>
    <row r="51" spans="1:27" x14ac:dyDescent="0.8">
      <c r="A51">
        <v>1320</v>
      </c>
      <c r="B51">
        <v>2017</v>
      </c>
      <c r="C51" s="2">
        <v>44385</v>
      </c>
      <c r="D51" t="s">
        <v>104</v>
      </c>
      <c r="E51" t="s">
        <v>25</v>
      </c>
      <c r="F51" t="s">
        <v>26</v>
      </c>
      <c r="G51" t="s">
        <v>45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73</v>
      </c>
      <c r="N51" t="s">
        <v>61</v>
      </c>
      <c r="O51" t="s">
        <v>227</v>
      </c>
      <c r="P51" t="s">
        <v>34</v>
      </c>
      <c r="Q51" t="s">
        <v>228</v>
      </c>
      <c r="R51" t="s">
        <v>229</v>
      </c>
      <c r="S51" t="s">
        <v>207</v>
      </c>
      <c r="T51" t="s">
        <v>230</v>
      </c>
      <c r="U51" s="10" t="s">
        <v>1061</v>
      </c>
      <c r="V51" s="10" t="s">
        <v>1074</v>
      </c>
      <c r="W51" s="10" t="s">
        <v>1087</v>
      </c>
      <c r="X51" s="10" t="s">
        <v>1059</v>
      </c>
      <c r="Y51" t="s">
        <v>39</v>
      </c>
      <c r="Z51" t="s">
        <v>40</v>
      </c>
      <c r="AA51" t="s">
        <v>63</v>
      </c>
    </row>
    <row r="52" spans="1:27" x14ac:dyDescent="0.8">
      <c r="A52">
        <v>1313</v>
      </c>
      <c r="B52">
        <v>2010</v>
      </c>
      <c r="C52" s="2">
        <v>44385</v>
      </c>
      <c r="D52" t="s">
        <v>104</v>
      </c>
      <c r="E52" t="s">
        <v>25</v>
      </c>
      <c r="F52" t="s">
        <v>26</v>
      </c>
      <c r="G52" t="s">
        <v>45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73</v>
      </c>
      <c r="N52" t="s">
        <v>61</v>
      </c>
      <c r="O52" t="s">
        <v>227</v>
      </c>
      <c r="P52" t="s">
        <v>34</v>
      </c>
      <c r="Q52" t="s">
        <v>228</v>
      </c>
      <c r="R52" t="s">
        <v>229</v>
      </c>
      <c r="S52" t="s">
        <v>207</v>
      </c>
      <c r="T52" t="s">
        <v>230</v>
      </c>
      <c r="U52" s="10" t="s">
        <v>1061</v>
      </c>
      <c r="V52" s="10" t="s">
        <v>1074</v>
      </c>
      <c r="W52" s="10" t="s">
        <v>1087</v>
      </c>
      <c r="X52" s="10" t="s">
        <v>1059</v>
      </c>
      <c r="Y52" t="s">
        <v>39</v>
      </c>
      <c r="Z52" t="s">
        <v>40</v>
      </c>
      <c r="AA52" t="s">
        <v>63</v>
      </c>
    </row>
    <row r="53" spans="1:27" x14ac:dyDescent="0.8">
      <c r="A53">
        <v>1308</v>
      </c>
      <c r="B53">
        <v>2005</v>
      </c>
      <c r="C53" s="2">
        <v>44385</v>
      </c>
      <c r="D53" t="s">
        <v>104</v>
      </c>
      <c r="E53" t="s">
        <v>44</v>
      </c>
      <c r="F53" t="s">
        <v>26</v>
      </c>
      <c r="G53" t="s">
        <v>45</v>
      </c>
      <c r="H53" t="s">
        <v>68</v>
      </c>
      <c r="I53" t="s">
        <v>69</v>
      </c>
      <c r="J53" t="s">
        <v>70</v>
      </c>
      <c r="K53" t="s">
        <v>71</v>
      </c>
      <c r="L53" t="s">
        <v>72</v>
      </c>
      <c r="M53" t="s">
        <v>73</v>
      </c>
      <c r="N53" t="s">
        <v>61</v>
      </c>
      <c r="O53" t="s">
        <v>227</v>
      </c>
      <c r="P53" t="s">
        <v>34</v>
      </c>
      <c r="Q53" t="s">
        <v>228</v>
      </c>
      <c r="R53" t="s">
        <v>229</v>
      </c>
      <c r="S53" t="s">
        <v>207</v>
      </c>
      <c r="T53" t="s">
        <v>230</v>
      </c>
      <c r="U53" s="10" t="s">
        <v>1061</v>
      </c>
      <c r="V53" s="10" t="s">
        <v>1074</v>
      </c>
      <c r="W53" s="10" t="s">
        <v>1087</v>
      </c>
      <c r="X53" s="10" t="s">
        <v>1059</v>
      </c>
      <c r="Y53" t="s">
        <v>39</v>
      </c>
      <c r="Z53" t="s">
        <v>40</v>
      </c>
      <c r="AA53" t="s">
        <v>63</v>
      </c>
    </row>
    <row r="54" spans="1:27" x14ac:dyDescent="0.8">
      <c r="A54">
        <v>1280</v>
      </c>
      <c r="B54">
        <v>1927</v>
      </c>
      <c r="C54" s="2">
        <v>44385</v>
      </c>
      <c r="D54" t="s">
        <v>104</v>
      </c>
      <c r="E54" t="s">
        <v>103</v>
      </c>
      <c r="F54" t="s">
        <v>26</v>
      </c>
      <c r="G54" t="s">
        <v>45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  <c r="M54" t="s">
        <v>73</v>
      </c>
      <c r="N54" t="s">
        <v>61</v>
      </c>
      <c r="O54" t="s">
        <v>227</v>
      </c>
      <c r="P54" t="s">
        <v>34</v>
      </c>
      <c r="Q54" t="s">
        <v>228</v>
      </c>
      <c r="R54" t="s">
        <v>229</v>
      </c>
      <c r="S54" t="s">
        <v>207</v>
      </c>
      <c r="T54" t="s">
        <v>230</v>
      </c>
      <c r="U54" s="10" t="s">
        <v>1061</v>
      </c>
      <c r="V54" s="10" t="s">
        <v>1074</v>
      </c>
      <c r="W54" s="10" t="s">
        <v>1087</v>
      </c>
      <c r="X54" s="10" t="s">
        <v>1059</v>
      </c>
      <c r="Y54" t="s">
        <v>140</v>
      </c>
      <c r="Z54" t="s">
        <v>40</v>
      </c>
      <c r="AA54" t="s">
        <v>63</v>
      </c>
    </row>
    <row r="55" spans="1:27" x14ac:dyDescent="0.8">
      <c r="A55">
        <v>718</v>
      </c>
      <c r="B55">
        <v>1151</v>
      </c>
      <c r="C55" s="2">
        <v>44385</v>
      </c>
      <c r="D55" t="s">
        <v>133</v>
      </c>
      <c r="E55" t="s">
        <v>25</v>
      </c>
      <c r="F55" t="s">
        <v>26</v>
      </c>
      <c r="G55" t="s">
        <v>45</v>
      </c>
      <c r="H55" t="s">
        <v>68</v>
      </c>
      <c r="I55" t="s">
        <v>69</v>
      </c>
      <c r="J55" t="s">
        <v>70</v>
      </c>
      <c r="K55" t="s">
        <v>71</v>
      </c>
      <c r="L55" t="s">
        <v>72</v>
      </c>
      <c r="M55" t="s">
        <v>73</v>
      </c>
      <c r="N55" t="s">
        <v>61</v>
      </c>
      <c r="O55" t="s">
        <v>227</v>
      </c>
      <c r="P55" t="s">
        <v>34</v>
      </c>
      <c r="Q55" t="s">
        <v>228</v>
      </c>
      <c r="R55" t="s">
        <v>229</v>
      </c>
      <c r="S55" t="s">
        <v>207</v>
      </c>
      <c r="T55" t="s">
        <v>230</v>
      </c>
      <c r="U55" s="10" t="s">
        <v>1061</v>
      </c>
      <c r="V55" s="10" t="s">
        <v>1074</v>
      </c>
      <c r="W55" s="10" t="s">
        <v>1087</v>
      </c>
      <c r="X55" s="10" t="s">
        <v>1059</v>
      </c>
      <c r="Y55" t="s">
        <v>39</v>
      </c>
      <c r="Z55" t="s">
        <v>62</v>
      </c>
      <c r="AA55" t="s">
        <v>63</v>
      </c>
    </row>
    <row r="56" spans="1:27" x14ac:dyDescent="0.8">
      <c r="A56">
        <v>713</v>
      </c>
      <c r="B56">
        <v>1146</v>
      </c>
      <c r="C56" s="2">
        <v>44385</v>
      </c>
      <c r="D56" t="s">
        <v>133</v>
      </c>
      <c r="E56" t="s">
        <v>63</v>
      </c>
      <c r="F56" t="s">
        <v>26</v>
      </c>
      <c r="G56" t="s">
        <v>45</v>
      </c>
      <c r="H56" t="s">
        <v>68</v>
      </c>
      <c r="I56" t="s">
        <v>69</v>
      </c>
      <c r="J56" t="s">
        <v>70</v>
      </c>
      <c r="K56" t="s">
        <v>71</v>
      </c>
      <c r="L56" t="s">
        <v>72</v>
      </c>
      <c r="M56" t="s">
        <v>73</v>
      </c>
      <c r="N56" t="s">
        <v>61</v>
      </c>
      <c r="O56" t="s">
        <v>227</v>
      </c>
      <c r="P56" t="s">
        <v>34</v>
      </c>
      <c r="Q56" t="s">
        <v>228</v>
      </c>
      <c r="R56" t="s">
        <v>229</v>
      </c>
      <c r="S56" t="s">
        <v>207</v>
      </c>
      <c r="T56" t="s">
        <v>230</v>
      </c>
      <c r="U56" s="10" t="s">
        <v>1061</v>
      </c>
      <c r="V56" s="10" t="s">
        <v>1074</v>
      </c>
      <c r="W56" s="10" t="s">
        <v>1087</v>
      </c>
      <c r="X56" s="10" t="s">
        <v>1059</v>
      </c>
      <c r="Y56" t="s">
        <v>39</v>
      </c>
      <c r="Z56" t="s">
        <v>40</v>
      </c>
      <c r="AA56" t="s">
        <v>63</v>
      </c>
    </row>
    <row r="57" spans="1:27" x14ac:dyDescent="0.8">
      <c r="A57">
        <v>712</v>
      </c>
      <c r="B57">
        <v>1145</v>
      </c>
      <c r="C57" s="2">
        <v>44385</v>
      </c>
      <c r="D57" t="s">
        <v>133</v>
      </c>
      <c r="E57" t="s">
        <v>63</v>
      </c>
      <c r="F57" t="s">
        <v>26</v>
      </c>
      <c r="G57" t="s">
        <v>45</v>
      </c>
      <c r="H57" t="s">
        <v>68</v>
      </c>
      <c r="I57" t="s">
        <v>69</v>
      </c>
      <c r="J57" t="s">
        <v>70</v>
      </c>
      <c r="K57" t="s">
        <v>71</v>
      </c>
      <c r="L57" t="s">
        <v>72</v>
      </c>
      <c r="M57" t="s">
        <v>73</v>
      </c>
      <c r="N57" t="s">
        <v>61</v>
      </c>
      <c r="O57" t="s">
        <v>227</v>
      </c>
      <c r="P57" t="s">
        <v>34</v>
      </c>
      <c r="Q57" t="s">
        <v>228</v>
      </c>
      <c r="R57" t="s">
        <v>229</v>
      </c>
      <c r="S57" t="s">
        <v>207</v>
      </c>
      <c r="T57" t="s">
        <v>230</v>
      </c>
      <c r="U57" s="10" t="s">
        <v>1061</v>
      </c>
      <c r="V57" s="10" t="s">
        <v>1074</v>
      </c>
      <c r="W57" s="10" t="s">
        <v>1087</v>
      </c>
      <c r="X57" s="10" t="s">
        <v>1059</v>
      </c>
      <c r="Y57" t="s">
        <v>39</v>
      </c>
      <c r="Z57" t="s">
        <v>40</v>
      </c>
      <c r="AA57" t="s">
        <v>63</v>
      </c>
    </row>
    <row r="58" spans="1:27" x14ac:dyDescent="0.8">
      <c r="A58">
        <v>706</v>
      </c>
      <c r="B58">
        <v>1139</v>
      </c>
      <c r="C58" s="2">
        <v>44385</v>
      </c>
      <c r="D58" t="s">
        <v>133</v>
      </c>
      <c r="E58" t="s">
        <v>25</v>
      </c>
      <c r="F58" t="s">
        <v>26</v>
      </c>
      <c r="G58" t="s">
        <v>45</v>
      </c>
      <c r="H58" t="s">
        <v>68</v>
      </c>
      <c r="I58" t="s">
        <v>69</v>
      </c>
      <c r="J58" t="s">
        <v>70</v>
      </c>
      <c r="K58" t="s">
        <v>71</v>
      </c>
      <c r="L58" t="s">
        <v>72</v>
      </c>
      <c r="M58" t="s">
        <v>73</v>
      </c>
      <c r="N58" t="s">
        <v>61</v>
      </c>
      <c r="O58" t="s">
        <v>227</v>
      </c>
      <c r="P58" t="s">
        <v>34</v>
      </c>
      <c r="Q58" t="s">
        <v>228</v>
      </c>
      <c r="R58" t="s">
        <v>229</v>
      </c>
      <c r="S58" t="s">
        <v>207</v>
      </c>
      <c r="T58" t="s">
        <v>230</v>
      </c>
      <c r="U58" s="10" t="s">
        <v>1061</v>
      </c>
      <c r="V58" s="10" t="s">
        <v>1074</v>
      </c>
      <c r="W58" s="10" t="s">
        <v>1087</v>
      </c>
      <c r="X58" s="10" t="s">
        <v>1059</v>
      </c>
      <c r="Y58" t="s">
        <v>39</v>
      </c>
      <c r="Z58" t="s">
        <v>202</v>
      </c>
      <c r="AA58" t="s">
        <v>63</v>
      </c>
    </row>
    <row r="59" spans="1:27" x14ac:dyDescent="0.8">
      <c r="A59">
        <v>700</v>
      </c>
      <c r="B59">
        <v>417</v>
      </c>
      <c r="C59" s="2">
        <v>44385</v>
      </c>
      <c r="D59" t="s">
        <v>133</v>
      </c>
      <c r="E59" t="s">
        <v>25</v>
      </c>
      <c r="F59" t="s">
        <v>26</v>
      </c>
      <c r="G59" t="s">
        <v>45</v>
      </c>
      <c r="H59" t="s">
        <v>68</v>
      </c>
      <c r="I59" t="s">
        <v>69</v>
      </c>
      <c r="J59" t="s">
        <v>70</v>
      </c>
      <c r="K59" t="s">
        <v>71</v>
      </c>
      <c r="L59" t="s">
        <v>72</v>
      </c>
      <c r="M59" t="s">
        <v>73</v>
      </c>
      <c r="N59" t="s">
        <v>61</v>
      </c>
      <c r="O59" t="s">
        <v>227</v>
      </c>
      <c r="P59" t="s">
        <v>34</v>
      </c>
      <c r="Q59" t="s">
        <v>228</v>
      </c>
      <c r="R59" t="s">
        <v>229</v>
      </c>
      <c r="S59" t="s">
        <v>207</v>
      </c>
      <c r="T59" t="s">
        <v>230</v>
      </c>
      <c r="U59" s="10" t="s">
        <v>1061</v>
      </c>
      <c r="V59" s="10" t="s">
        <v>1074</v>
      </c>
      <c r="W59" s="10" t="s">
        <v>1087</v>
      </c>
      <c r="X59" s="10" t="s">
        <v>1059</v>
      </c>
      <c r="Y59" t="s">
        <v>39</v>
      </c>
      <c r="Z59" t="s">
        <v>202</v>
      </c>
      <c r="AA59" t="s">
        <v>63</v>
      </c>
    </row>
    <row r="60" spans="1:27" x14ac:dyDescent="0.8">
      <c r="A60">
        <v>697</v>
      </c>
      <c r="B60">
        <v>1082</v>
      </c>
      <c r="C60" s="2">
        <v>44385</v>
      </c>
      <c r="D60" t="s">
        <v>133</v>
      </c>
      <c r="E60" t="s">
        <v>44</v>
      </c>
      <c r="F60" t="s">
        <v>26</v>
      </c>
      <c r="G60" t="s">
        <v>45</v>
      </c>
      <c r="H60" t="s">
        <v>68</v>
      </c>
      <c r="I60" t="s">
        <v>69</v>
      </c>
      <c r="J60" t="s">
        <v>70</v>
      </c>
      <c r="K60" t="s">
        <v>71</v>
      </c>
      <c r="L60" t="s">
        <v>72</v>
      </c>
      <c r="M60" t="s">
        <v>73</v>
      </c>
      <c r="N60" t="s">
        <v>61</v>
      </c>
      <c r="O60" t="s">
        <v>227</v>
      </c>
      <c r="P60" t="s">
        <v>34</v>
      </c>
      <c r="Q60" t="s">
        <v>228</v>
      </c>
      <c r="R60" t="s">
        <v>229</v>
      </c>
      <c r="S60" t="s">
        <v>207</v>
      </c>
      <c r="T60" t="s">
        <v>230</v>
      </c>
      <c r="U60" s="10" t="s">
        <v>1061</v>
      </c>
      <c r="V60" s="10" t="s">
        <v>1074</v>
      </c>
      <c r="W60" s="10" t="s">
        <v>1087</v>
      </c>
      <c r="X60" s="10" t="s">
        <v>1059</v>
      </c>
      <c r="Y60" t="s">
        <v>39</v>
      </c>
      <c r="Z60" t="s">
        <v>40</v>
      </c>
      <c r="AA60" t="s">
        <v>63</v>
      </c>
    </row>
    <row r="61" spans="1:27" x14ac:dyDescent="0.8">
      <c r="A61">
        <v>688</v>
      </c>
      <c r="B61">
        <v>1073</v>
      </c>
      <c r="C61" s="2">
        <v>44385</v>
      </c>
      <c r="D61" t="s">
        <v>133</v>
      </c>
      <c r="E61" t="s">
        <v>63</v>
      </c>
      <c r="F61" t="s">
        <v>26</v>
      </c>
      <c r="G61" t="s">
        <v>45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  <c r="M61" t="s">
        <v>73</v>
      </c>
      <c r="N61" t="s">
        <v>61</v>
      </c>
      <c r="O61" t="s">
        <v>227</v>
      </c>
      <c r="P61" t="s">
        <v>34</v>
      </c>
      <c r="Q61" t="s">
        <v>228</v>
      </c>
      <c r="R61" t="s">
        <v>229</v>
      </c>
      <c r="S61" t="s">
        <v>207</v>
      </c>
      <c r="T61" t="s">
        <v>230</v>
      </c>
      <c r="U61" s="10" t="s">
        <v>1061</v>
      </c>
      <c r="V61" s="10" t="s">
        <v>1074</v>
      </c>
      <c r="W61" s="10" t="s">
        <v>1087</v>
      </c>
      <c r="X61" s="10" t="s">
        <v>1059</v>
      </c>
      <c r="Y61" t="s">
        <v>39</v>
      </c>
      <c r="Z61" t="s">
        <v>40</v>
      </c>
      <c r="AA61" t="s">
        <v>63</v>
      </c>
    </row>
    <row r="62" spans="1:27" x14ac:dyDescent="0.8">
      <c r="A62">
        <v>679</v>
      </c>
      <c r="B62">
        <v>1064</v>
      </c>
      <c r="C62" s="2">
        <v>44385</v>
      </c>
      <c r="D62" t="s">
        <v>133</v>
      </c>
      <c r="E62" t="s">
        <v>25</v>
      </c>
      <c r="F62" t="s">
        <v>26</v>
      </c>
      <c r="G62" t="s">
        <v>45</v>
      </c>
      <c r="H62" t="s">
        <v>68</v>
      </c>
      <c r="I62" t="s">
        <v>69</v>
      </c>
      <c r="J62" t="s">
        <v>70</v>
      </c>
      <c r="K62" t="s">
        <v>71</v>
      </c>
      <c r="L62" t="s">
        <v>72</v>
      </c>
      <c r="M62" t="s">
        <v>73</v>
      </c>
      <c r="N62" t="s">
        <v>61</v>
      </c>
      <c r="O62" t="s">
        <v>227</v>
      </c>
      <c r="P62" t="s">
        <v>34</v>
      </c>
      <c r="Q62" t="s">
        <v>228</v>
      </c>
      <c r="R62" t="s">
        <v>229</v>
      </c>
      <c r="S62" t="s">
        <v>207</v>
      </c>
      <c r="T62" t="s">
        <v>230</v>
      </c>
      <c r="U62" s="10" t="s">
        <v>1061</v>
      </c>
      <c r="V62" s="10" t="s">
        <v>1074</v>
      </c>
      <c r="W62" s="10" t="s">
        <v>1087</v>
      </c>
      <c r="X62" s="10" t="s">
        <v>1059</v>
      </c>
      <c r="Y62" t="s">
        <v>39</v>
      </c>
      <c r="Z62" t="s">
        <v>62</v>
      </c>
      <c r="AA62" t="s">
        <v>63</v>
      </c>
    </row>
    <row r="63" spans="1:27" x14ac:dyDescent="0.8">
      <c r="A63">
        <v>675</v>
      </c>
      <c r="B63">
        <v>1060</v>
      </c>
      <c r="C63" s="2">
        <v>44385</v>
      </c>
      <c r="D63" t="s">
        <v>133</v>
      </c>
      <c r="E63" t="s">
        <v>25</v>
      </c>
      <c r="F63" t="s">
        <v>26</v>
      </c>
      <c r="G63" t="s">
        <v>45</v>
      </c>
      <c r="H63" t="s">
        <v>68</v>
      </c>
      <c r="I63" t="s">
        <v>69</v>
      </c>
      <c r="J63" t="s">
        <v>70</v>
      </c>
      <c r="K63" t="s">
        <v>71</v>
      </c>
      <c r="L63" t="s">
        <v>72</v>
      </c>
      <c r="M63" t="s">
        <v>73</v>
      </c>
      <c r="N63" t="s">
        <v>61</v>
      </c>
      <c r="O63" t="s">
        <v>227</v>
      </c>
      <c r="P63" t="s">
        <v>34</v>
      </c>
      <c r="Q63" t="s">
        <v>228</v>
      </c>
      <c r="R63" t="s">
        <v>229</v>
      </c>
      <c r="S63" t="s">
        <v>207</v>
      </c>
      <c r="T63" t="s">
        <v>230</v>
      </c>
      <c r="U63" s="10" t="s">
        <v>1061</v>
      </c>
      <c r="V63" s="10" t="s">
        <v>1074</v>
      </c>
      <c r="W63" s="10" t="s">
        <v>1087</v>
      </c>
      <c r="X63" s="10" t="s">
        <v>1059</v>
      </c>
      <c r="Y63" t="s">
        <v>39</v>
      </c>
      <c r="Z63" t="s">
        <v>62</v>
      </c>
      <c r="AA63" t="s">
        <v>63</v>
      </c>
    </row>
    <row r="64" spans="1:27" x14ac:dyDescent="0.8">
      <c r="A64">
        <v>668</v>
      </c>
      <c r="B64">
        <v>295</v>
      </c>
      <c r="C64" s="2">
        <v>44385</v>
      </c>
      <c r="D64" t="s">
        <v>133</v>
      </c>
      <c r="E64" t="s">
        <v>103</v>
      </c>
      <c r="F64" t="s">
        <v>26</v>
      </c>
      <c r="G64" t="s">
        <v>45</v>
      </c>
      <c r="H64" t="s">
        <v>68</v>
      </c>
      <c r="I64" t="s">
        <v>69</v>
      </c>
      <c r="J64" t="s">
        <v>70</v>
      </c>
      <c r="K64" t="s">
        <v>71</v>
      </c>
      <c r="L64" t="s">
        <v>72</v>
      </c>
      <c r="M64" t="s">
        <v>73</v>
      </c>
      <c r="N64" t="s">
        <v>61</v>
      </c>
      <c r="O64" t="s">
        <v>227</v>
      </c>
      <c r="P64" t="s">
        <v>34</v>
      </c>
      <c r="Q64" t="s">
        <v>228</v>
      </c>
      <c r="R64" t="s">
        <v>229</v>
      </c>
      <c r="S64" t="s">
        <v>207</v>
      </c>
      <c r="T64" t="s">
        <v>230</v>
      </c>
      <c r="U64" s="10" t="s">
        <v>1061</v>
      </c>
      <c r="V64" s="10" t="s">
        <v>1074</v>
      </c>
      <c r="W64" s="10" t="s">
        <v>1087</v>
      </c>
      <c r="X64" s="10" t="s">
        <v>1059</v>
      </c>
      <c r="Y64" t="s">
        <v>140</v>
      </c>
      <c r="Z64" t="s">
        <v>40</v>
      </c>
      <c r="AA64" t="s">
        <v>63</v>
      </c>
    </row>
    <row r="65" spans="1:28" x14ac:dyDescent="0.8">
      <c r="A65">
        <v>664</v>
      </c>
      <c r="B65">
        <v>291</v>
      </c>
      <c r="C65" s="2">
        <v>44385</v>
      </c>
      <c r="D65" t="s">
        <v>133</v>
      </c>
      <c r="E65" t="s">
        <v>44</v>
      </c>
      <c r="F65" t="s">
        <v>26</v>
      </c>
      <c r="G65" t="s">
        <v>45</v>
      </c>
      <c r="H65" t="s">
        <v>68</v>
      </c>
      <c r="I65" t="s">
        <v>69</v>
      </c>
      <c r="J65" t="s">
        <v>70</v>
      </c>
      <c r="K65" t="s">
        <v>71</v>
      </c>
      <c r="L65" t="s">
        <v>72</v>
      </c>
      <c r="M65" t="s">
        <v>73</v>
      </c>
      <c r="N65" t="s">
        <v>61</v>
      </c>
      <c r="O65" t="s">
        <v>227</v>
      </c>
      <c r="P65" t="s">
        <v>34</v>
      </c>
      <c r="Q65" t="s">
        <v>228</v>
      </c>
      <c r="R65" t="s">
        <v>229</v>
      </c>
      <c r="S65" t="s">
        <v>207</v>
      </c>
      <c r="T65" t="s">
        <v>230</v>
      </c>
      <c r="U65" s="10" t="s">
        <v>1061</v>
      </c>
      <c r="V65" s="10" t="s">
        <v>1074</v>
      </c>
      <c r="W65" s="10" t="s">
        <v>1087</v>
      </c>
      <c r="X65" s="10" t="s">
        <v>1059</v>
      </c>
      <c r="Y65" t="s">
        <v>140</v>
      </c>
      <c r="Z65" t="s">
        <v>40</v>
      </c>
      <c r="AA65" t="s">
        <v>63</v>
      </c>
    </row>
    <row r="66" spans="1:28" x14ac:dyDescent="0.8">
      <c r="A66">
        <v>662</v>
      </c>
      <c r="B66">
        <v>289</v>
      </c>
      <c r="C66" s="2">
        <v>44385</v>
      </c>
      <c r="D66" t="s">
        <v>133</v>
      </c>
      <c r="E66" t="s">
        <v>103</v>
      </c>
      <c r="F66" t="s">
        <v>26</v>
      </c>
      <c r="G66" t="s">
        <v>45</v>
      </c>
      <c r="H66" t="s">
        <v>68</v>
      </c>
      <c r="I66" t="s">
        <v>69</v>
      </c>
      <c r="J66" t="s">
        <v>70</v>
      </c>
      <c r="K66" t="s">
        <v>71</v>
      </c>
      <c r="L66" t="s">
        <v>72</v>
      </c>
      <c r="M66" t="s">
        <v>73</v>
      </c>
      <c r="N66" t="s">
        <v>61</v>
      </c>
      <c r="O66" t="s">
        <v>227</v>
      </c>
      <c r="P66" t="s">
        <v>34</v>
      </c>
      <c r="Q66" t="s">
        <v>228</v>
      </c>
      <c r="R66" t="s">
        <v>229</v>
      </c>
      <c r="S66" t="s">
        <v>207</v>
      </c>
      <c r="T66" t="s">
        <v>230</v>
      </c>
      <c r="U66" s="10" t="s">
        <v>1061</v>
      </c>
      <c r="V66" s="10" t="s">
        <v>1074</v>
      </c>
      <c r="W66" s="10" t="s">
        <v>1087</v>
      </c>
      <c r="X66" s="10" t="s">
        <v>1059</v>
      </c>
      <c r="Y66" t="s">
        <v>140</v>
      </c>
      <c r="Z66" t="s">
        <v>40</v>
      </c>
      <c r="AA66" t="s">
        <v>63</v>
      </c>
    </row>
    <row r="67" spans="1:28" x14ac:dyDescent="0.8">
      <c r="A67">
        <v>693</v>
      </c>
      <c r="B67">
        <v>1078</v>
      </c>
      <c r="C67" s="2">
        <v>44385</v>
      </c>
      <c r="D67" t="s">
        <v>133</v>
      </c>
      <c r="E67" t="s">
        <v>103</v>
      </c>
      <c r="F67" t="s">
        <v>26</v>
      </c>
      <c r="G67" t="s">
        <v>45</v>
      </c>
      <c r="H67" t="s">
        <v>155</v>
      </c>
      <c r="I67" t="s">
        <v>69</v>
      </c>
      <c r="J67" t="s">
        <v>156</v>
      </c>
      <c r="K67" t="s">
        <v>157</v>
      </c>
      <c r="L67" t="s">
        <v>158</v>
      </c>
      <c r="M67" t="s">
        <v>159</v>
      </c>
      <c r="N67" t="s">
        <v>61</v>
      </c>
      <c r="O67" t="s">
        <v>227</v>
      </c>
      <c r="P67" t="s">
        <v>34</v>
      </c>
      <c r="Q67" t="s">
        <v>228</v>
      </c>
      <c r="R67" t="s">
        <v>229</v>
      </c>
      <c r="S67" t="s">
        <v>207</v>
      </c>
      <c r="T67" t="s">
        <v>230</v>
      </c>
      <c r="U67" s="10" t="s">
        <v>1061</v>
      </c>
      <c r="V67" s="10" t="s">
        <v>1074</v>
      </c>
      <c r="W67" s="10" t="s">
        <v>1087</v>
      </c>
      <c r="X67" s="10" t="s">
        <v>1059</v>
      </c>
      <c r="Y67" t="s">
        <v>39</v>
      </c>
      <c r="Z67" t="s">
        <v>40</v>
      </c>
      <c r="AA67" t="s">
        <v>63</v>
      </c>
    </row>
    <row r="68" spans="1:28" x14ac:dyDescent="0.8">
      <c r="A68">
        <v>302</v>
      </c>
      <c r="B68">
        <v>118</v>
      </c>
      <c r="C68" s="2">
        <v>44385</v>
      </c>
      <c r="D68" t="s">
        <v>213</v>
      </c>
      <c r="E68" t="s">
        <v>25</v>
      </c>
      <c r="F68" t="s">
        <v>26</v>
      </c>
      <c r="G68" t="s">
        <v>45</v>
      </c>
      <c r="H68" t="s">
        <v>68</v>
      </c>
      <c r="I68" t="s">
        <v>69</v>
      </c>
      <c r="J68" t="s">
        <v>70</v>
      </c>
      <c r="K68" t="s">
        <v>71</v>
      </c>
      <c r="L68" t="s">
        <v>72</v>
      </c>
      <c r="M68" t="s">
        <v>73</v>
      </c>
      <c r="N68" t="s">
        <v>61</v>
      </c>
      <c r="O68" t="s">
        <v>227</v>
      </c>
      <c r="P68" t="s">
        <v>34</v>
      </c>
      <c r="Q68" t="s">
        <v>228</v>
      </c>
      <c r="R68" t="s">
        <v>229</v>
      </c>
      <c r="S68" t="s">
        <v>207</v>
      </c>
      <c r="T68" t="s">
        <v>230</v>
      </c>
      <c r="U68" s="10" t="s">
        <v>1061</v>
      </c>
      <c r="V68" s="10" t="s">
        <v>1074</v>
      </c>
      <c r="W68" s="10" t="s">
        <v>1087</v>
      </c>
      <c r="X68" s="10" t="s">
        <v>1059</v>
      </c>
      <c r="Y68" t="s">
        <v>140</v>
      </c>
      <c r="Z68" t="s">
        <v>40</v>
      </c>
      <c r="AA68" t="s">
        <v>53</v>
      </c>
    </row>
    <row r="69" spans="1:28" x14ac:dyDescent="0.8">
      <c r="A69">
        <v>301</v>
      </c>
      <c r="B69">
        <v>117</v>
      </c>
      <c r="C69" s="2">
        <v>44385</v>
      </c>
      <c r="D69" t="s">
        <v>213</v>
      </c>
      <c r="E69" t="s">
        <v>25</v>
      </c>
      <c r="F69" t="s">
        <v>26</v>
      </c>
      <c r="G69" t="s">
        <v>45</v>
      </c>
      <c r="H69" t="s">
        <v>68</v>
      </c>
      <c r="I69" t="s">
        <v>69</v>
      </c>
      <c r="J69" t="s">
        <v>70</v>
      </c>
      <c r="K69" t="s">
        <v>71</v>
      </c>
      <c r="L69" t="s">
        <v>72</v>
      </c>
      <c r="M69" t="s">
        <v>73</v>
      </c>
      <c r="N69" t="s">
        <v>61</v>
      </c>
      <c r="O69" t="s">
        <v>227</v>
      </c>
      <c r="P69" t="s">
        <v>34</v>
      </c>
      <c r="Q69" t="s">
        <v>228</v>
      </c>
      <c r="R69" t="s">
        <v>229</v>
      </c>
      <c r="S69" t="s">
        <v>207</v>
      </c>
      <c r="T69" t="s">
        <v>230</v>
      </c>
      <c r="U69" s="10" t="s">
        <v>1061</v>
      </c>
      <c r="V69" s="10" t="s">
        <v>1074</v>
      </c>
      <c r="W69" s="10" t="s">
        <v>1087</v>
      </c>
      <c r="X69" s="10" t="s">
        <v>1059</v>
      </c>
      <c r="Y69" t="s">
        <v>140</v>
      </c>
      <c r="Z69" t="s">
        <v>40</v>
      </c>
      <c r="AA69" t="s">
        <v>53</v>
      </c>
    </row>
    <row r="70" spans="1:28" x14ac:dyDescent="0.8">
      <c r="A70">
        <v>300</v>
      </c>
      <c r="B70">
        <v>914</v>
      </c>
      <c r="C70" s="2">
        <v>44385</v>
      </c>
      <c r="D70" t="s">
        <v>213</v>
      </c>
      <c r="E70" t="s">
        <v>44</v>
      </c>
      <c r="F70" t="s">
        <v>26</v>
      </c>
      <c r="G70" t="s">
        <v>45</v>
      </c>
      <c r="H70" t="s">
        <v>68</v>
      </c>
      <c r="I70" t="s">
        <v>69</v>
      </c>
      <c r="J70" t="s">
        <v>70</v>
      </c>
      <c r="K70" t="s">
        <v>71</v>
      </c>
      <c r="L70" t="s">
        <v>72</v>
      </c>
      <c r="M70" t="s">
        <v>73</v>
      </c>
      <c r="N70" t="s">
        <v>61</v>
      </c>
      <c r="O70" t="s">
        <v>227</v>
      </c>
      <c r="P70" t="s">
        <v>34</v>
      </c>
      <c r="Q70" t="s">
        <v>228</v>
      </c>
      <c r="R70" t="s">
        <v>229</v>
      </c>
      <c r="S70" t="s">
        <v>207</v>
      </c>
      <c r="T70" t="s">
        <v>230</v>
      </c>
      <c r="U70" s="10" t="s">
        <v>1061</v>
      </c>
      <c r="V70" s="10" t="s">
        <v>1074</v>
      </c>
      <c r="W70" s="10" t="s">
        <v>1087</v>
      </c>
      <c r="X70" s="10" t="s">
        <v>1059</v>
      </c>
      <c r="Y70" t="s">
        <v>140</v>
      </c>
      <c r="Z70" t="s">
        <v>40</v>
      </c>
      <c r="AA70" t="s">
        <v>53</v>
      </c>
    </row>
    <row r="71" spans="1:28" x14ac:dyDescent="0.8">
      <c r="A71">
        <v>298</v>
      </c>
      <c r="B71">
        <v>912</v>
      </c>
      <c r="C71" s="2">
        <v>44385</v>
      </c>
      <c r="D71" t="s">
        <v>213</v>
      </c>
      <c r="E71" t="s">
        <v>103</v>
      </c>
      <c r="F71" t="s">
        <v>26</v>
      </c>
      <c r="G71" t="s">
        <v>45</v>
      </c>
      <c r="H71" t="s">
        <v>68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61</v>
      </c>
      <c r="O71" t="s">
        <v>227</v>
      </c>
      <c r="P71" t="s">
        <v>34</v>
      </c>
      <c r="Q71" t="s">
        <v>228</v>
      </c>
      <c r="R71" t="s">
        <v>229</v>
      </c>
      <c r="S71" t="s">
        <v>207</v>
      </c>
      <c r="T71" t="s">
        <v>230</v>
      </c>
      <c r="U71" s="10" t="s">
        <v>1061</v>
      </c>
      <c r="V71" s="10" t="s">
        <v>1074</v>
      </c>
      <c r="W71" s="10" t="s">
        <v>1087</v>
      </c>
      <c r="X71" s="10" t="s">
        <v>1059</v>
      </c>
      <c r="Y71" t="s">
        <v>140</v>
      </c>
      <c r="Z71" t="s">
        <v>40</v>
      </c>
      <c r="AA71" t="s">
        <v>53</v>
      </c>
    </row>
    <row r="72" spans="1:28" x14ac:dyDescent="0.8">
      <c r="A72">
        <v>296</v>
      </c>
      <c r="B72">
        <v>910</v>
      </c>
      <c r="C72" s="2">
        <v>44385</v>
      </c>
      <c r="D72" t="s">
        <v>213</v>
      </c>
      <c r="E72" t="s">
        <v>25</v>
      </c>
      <c r="F72" t="s">
        <v>26</v>
      </c>
      <c r="G72" t="s">
        <v>45</v>
      </c>
      <c r="H72" t="s">
        <v>155</v>
      </c>
      <c r="I72" t="s">
        <v>69</v>
      </c>
      <c r="J72" t="s">
        <v>156</v>
      </c>
      <c r="K72" t="s">
        <v>157</v>
      </c>
      <c r="L72" t="s">
        <v>158</v>
      </c>
      <c r="M72" t="s">
        <v>159</v>
      </c>
      <c r="N72" t="s">
        <v>61</v>
      </c>
      <c r="O72" t="s">
        <v>227</v>
      </c>
      <c r="P72" t="s">
        <v>34</v>
      </c>
      <c r="Q72" t="s">
        <v>228</v>
      </c>
      <c r="R72" t="s">
        <v>229</v>
      </c>
      <c r="S72" t="s">
        <v>207</v>
      </c>
      <c r="T72" t="s">
        <v>230</v>
      </c>
      <c r="U72" s="10" t="s">
        <v>1061</v>
      </c>
      <c r="V72" s="10" t="s">
        <v>1074</v>
      </c>
      <c r="W72" s="10" t="s">
        <v>1087</v>
      </c>
      <c r="X72" s="10" t="s">
        <v>1059</v>
      </c>
      <c r="Y72" t="s">
        <v>140</v>
      </c>
      <c r="Z72" t="s">
        <v>62</v>
      </c>
      <c r="AA72" t="s">
        <v>53</v>
      </c>
    </row>
    <row r="73" spans="1:28" x14ac:dyDescent="0.8">
      <c r="A73">
        <v>1725</v>
      </c>
      <c r="B73">
        <v>812</v>
      </c>
      <c r="C73" s="2">
        <v>44384</v>
      </c>
      <c r="D73" t="s">
        <v>151</v>
      </c>
      <c r="E73" t="s">
        <v>150</v>
      </c>
      <c r="F73" t="s">
        <v>26</v>
      </c>
      <c r="G73" t="s">
        <v>45</v>
      </c>
      <c r="H73" t="s">
        <v>68</v>
      </c>
      <c r="I73" t="s">
        <v>69</v>
      </c>
      <c r="J73" t="s">
        <v>70</v>
      </c>
      <c r="K73" t="s">
        <v>71</v>
      </c>
      <c r="L73" t="s">
        <v>72</v>
      </c>
      <c r="M73" t="s">
        <v>73</v>
      </c>
      <c r="N73" t="s">
        <v>61</v>
      </c>
      <c r="O73" t="s">
        <v>227</v>
      </c>
      <c r="P73" t="s">
        <v>34</v>
      </c>
      <c r="Q73" t="s">
        <v>228</v>
      </c>
      <c r="R73" t="s">
        <v>229</v>
      </c>
      <c r="S73" t="s">
        <v>207</v>
      </c>
      <c r="T73" t="s">
        <v>230</v>
      </c>
      <c r="U73" s="10" t="s">
        <v>1061</v>
      </c>
      <c r="V73" s="10" t="s">
        <v>1074</v>
      </c>
      <c r="W73" s="10" t="s">
        <v>1087</v>
      </c>
      <c r="X73" s="10" t="s">
        <v>1059</v>
      </c>
      <c r="Y73" t="s">
        <v>39</v>
      </c>
      <c r="Z73" t="s">
        <v>40</v>
      </c>
      <c r="AA73" t="s">
        <v>41</v>
      </c>
      <c r="AB73" t="s">
        <v>154</v>
      </c>
    </row>
    <row r="74" spans="1:28" x14ac:dyDescent="0.8">
      <c r="A74">
        <v>1723</v>
      </c>
      <c r="B74">
        <v>810</v>
      </c>
      <c r="C74" s="2">
        <v>44384</v>
      </c>
      <c r="D74" t="s">
        <v>151</v>
      </c>
      <c r="E74" t="s">
        <v>150</v>
      </c>
      <c r="F74" t="s">
        <v>26</v>
      </c>
      <c r="G74" t="s">
        <v>45</v>
      </c>
      <c r="H74" t="s">
        <v>68</v>
      </c>
      <c r="I74" t="s">
        <v>69</v>
      </c>
      <c r="J74" t="s">
        <v>70</v>
      </c>
      <c r="K74" t="s">
        <v>71</v>
      </c>
      <c r="L74" t="s">
        <v>72</v>
      </c>
      <c r="M74" t="s">
        <v>73</v>
      </c>
      <c r="N74" t="s">
        <v>61</v>
      </c>
      <c r="O74" t="s">
        <v>227</v>
      </c>
      <c r="P74" t="s">
        <v>34</v>
      </c>
      <c r="Q74" t="s">
        <v>228</v>
      </c>
      <c r="R74" t="s">
        <v>229</v>
      </c>
      <c r="S74" t="s">
        <v>207</v>
      </c>
      <c r="T74" t="s">
        <v>230</v>
      </c>
      <c r="U74" s="10" t="s">
        <v>1061</v>
      </c>
      <c r="V74" s="10" t="s">
        <v>1074</v>
      </c>
      <c r="W74" s="10" t="s">
        <v>1087</v>
      </c>
      <c r="X74" s="10" t="s">
        <v>1059</v>
      </c>
      <c r="Y74" t="s">
        <v>39</v>
      </c>
      <c r="Z74" t="s">
        <v>40</v>
      </c>
      <c r="AA74" t="s">
        <v>41</v>
      </c>
      <c r="AB74" t="s">
        <v>154</v>
      </c>
    </row>
    <row r="75" spans="1:28" x14ac:dyDescent="0.8">
      <c r="A75">
        <v>1719</v>
      </c>
      <c r="B75">
        <v>806</v>
      </c>
      <c r="C75" s="2">
        <v>44384</v>
      </c>
      <c r="D75" t="s">
        <v>151</v>
      </c>
      <c r="E75" t="s">
        <v>150</v>
      </c>
      <c r="F75" t="s">
        <v>26</v>
      </c>
      <c r="G75" t="s">
        <v>45</v>
      </c>
      <c r="H75" t="s">
        <v>68</v>
      </c>
      <c r="I75" t="s">
        <v>69</v>
      </c>
      <c r="J75" t="s">
        <v>70</v>
      </c>
      <c r="K75" t="s">
        <v>71</v>
      </c>
      <c r="L75" t="s">
        <v>72</v>
      </c>
      <c r="M75" t="s">
        <v>73</v>
      </c>
      <c r="N75" t="s">
        <v>61</v>
      </c>
      <c r="O75" t="s">
        <v>227</v>
      </c>
      <c r="P75" t="s">
        <v>34</v>
      </c>
      <c r="Q75" t="s">
        <v>228</v>
      </c>
      <c r="R75" t="s">
        <v>229</v>
      </c>
      <c r="S75" t="s">
        <v>207</v>
      </c>
      <c r="T75" t="s">
        <v>230</v>
      </c>
      <c r="U75" s="10" t="s">
        <v>1061</v>
      </c>
      <c r="V75" s="10" t="s">
        <v>1074</v>
      </c>
      <c r="W75" s="10" t="s">
        <v>1087</v>
      </c>
      <c r="X75" s="10" t="s">
        <v>1059</v>
      </c>
      <c r="Y75" t="s">
        <v>39</v>
      </c>
      <c r="Z75" t="s">
        <v>40</v>
      </c>
      <c r="AA75" t="s">
        <v>41</v>
      </c>
      <c r="AB75" t="s">
        <v>154</v>
      </c>
    </row>
    <row r="76" spans="1:28" x14ac:dyDescent="0.8">
      <c r="A76">
        <v>586</v>
      </c>
      <c r="B76">
        <v>685</v>
      </c>
      <c r="C76" s="2">
        <v>44384</v>
      </c>
      <c r="D76" t="s">
        <v>151</v>
      </c>
      <c r="E76" t="s">
        <v>63</v>
      </c>
      <c r="F76" t="s">
        <v>26</v>
      </c>
      <c r="G76" t="s">
        <v>45</v>
      </c>
      <c r="H76" t="s">
        <v>68</v>
      </c>
      <c r="I76" t="s">
        <v>69</v>
      </c>
      <c r="J76" t="s">
        <v>70</v>
      </c>
      <c r="K76" t="s">
        <v>71</v>
      </c>
      <c r="L76" t="s">
        <v>72</v>
      </c>
      <c r="M76" t="s">
        <v>73</v>
      </c>
      <c r="N76" t="s">
        <v>61</v>
      </c>
      <c r="O76" t="s">
        <v>227</v>
      </c>
      <c r="P76" t="s">
        <v>34</v>
      </c>
      <c r="Q76" t="s">
        <v>228</v>
      </c>
      <c r="R76" t="s">
        <v>229</v>
      </c>
      <c r="S76" t="s">
        <v>207</v>
      </c>
      <c r="T76" t="s">
        <v>230</v>
      </c>
      <c r="U76" s="10" t="s">
        <v>1061</v>
      </c>
      <c r="V76" s="10" t="s">
        <v>1074</v>
      </c>
      <c r="W76" s="10" t="s">
        <v>1087</v>
      </c>
      <c r="X76" s="10" t="s">
        <v>1059</v>
      </c>
      <c r="Y76" t="s">
        <v>140</v>
      </c>
      <c r="Z76" t="s">
        <v>40</v>
      </c>
      <c r="AA76" t="s">
        <v>63</v>
      </c>
    </row>
    <row r="77" spans="1:28" x14ac:dyDescent="0.8">
      <c r="A77">
        <v>585</v>
      </c>
      <c r="B77">
        <v>684</v>
      </c>
      <c r="C77" s="2">
        <v>44384</v>
      </c>
      <c r="D77" t="s">
        <v>151</v>
      </c>
      <c r="E77" t="s">
        <v>25</v>
      </c>
      <c r="F77" t="s">
        <v>26</v>
      </c>
      <c r="G77" t="s">
        <v>45</v>
      </c>
      <c r="H77" t="s">
        <v>68</v>
      </c>
      <c r="I77" t="s">
        <v>69</v>
      </c>
      <c r="J77" t="s">
        <v>70</v>
      </c>
      <c r="K77" t="s">
        <v>71</v>
      </c>
      <c r="L77" t="s">
        <v>72</v>
      </c>
      <c r="M77" t="s">
        <v>73</v>
      </c>
      <c r="N77" t="s">
        <v>61</v>
      </c>
      <c r="O77" t="s">
        <v>227</v>
      </c>
      <c r="P77" t="s">
        <v>34</v>
      </c>
      <c r="Q77" t="s">
        <v>228</v>
      </c>
      <c r="R77" t="s">
        <v>229</v>
      </c>
      <c r="S77" t="s">
        <v>207</v>
      </c>
      <c r="T77" t="s">
        <v>230</v>
      </c>
      <c r="U77" s="10" t="s">
        <v>1061</v>
      </c>
      <c r="V77" s="10" t="s">
        <v>1074</v>
      </c>
      <c r="W77" s="10" t="s">
        <v>1087</v>
      </c>
      <c r="X77" s="10" t="s">
        <v>1059</v>
      </c>
      <c r="Y77" t="s">
        <v>140</v>
      </c>
      <c r="Z77" t="s">
        <v>40</v>
      </c>
      <c r="AA77" t="s">
        <v>63</v>
      </c>
    </row>
    <row r="78" spans="1:28" x14ac:dyDescent="0.8">
      <c r="A78">
        <v>584</v>
      </c>
      <c r="B78">
        <v>683</v>
      </c>
      <c r="C78" s="2">
        <v>44384</v>
      </c>
      <c r="D78" t="s">
        <v>151</v>
      </c>
      <c r="E78" t="s">
        <v>25</v>
      </c>
      <c r="F78" t="s">
        <v>26</v>
      </c>
      <c r="G78" t="s">
        <v>45</v>
      </c>
      <c r="H78" t="s">
        <v>68</v>
      </c>
      <c r="I78" t="s">
        <v>69</v>
      </c>
      <c r="J78" t="s">
        <v>70</v>
      </c>
      <c r="K78" t="s">
        <v>71</v>
      </c>
      <c r="L78" t="s">
        <v>72</v>
      </c>
      <c r="M78" t="s">
        <v>73</v>
      </c>
      <c r="N78" t="s">
        <v>61</v>
      </c>
      <c r="O78" t="s">
        <v>227</v>
      </c>
      <c r="P78" t="s">
        <v>34</v>
      </c>
      <c r="Q78" t="s">
        <v>228</v>
      </c>
      <c r="R78" t="s">
        <v>229</v>
      </c>
      <c r="S78" t="s">
        <v>207</v>
      </c>
      <c r="T78" t="s">
        <v>230</v>
      </c>
      <c r="U78" s="10" t="s">
        <v>1061</v>
      </c>
      <c r="V78" s="10" t="s">
        <v>1074</v>
      </c>
      <c r="W78" s="10" t="s">
        <v>1087</v>
      </c>
      <c r="X78" s="10" t="s">
        <v>1059</v>
      </c>
      <c r="Y78" t="s">
        <v>140</v>
      </c>
      <c r="Z78" t="s">
        <v>40</v>
      </c>
      <c r="AA78" t="s">
        <v>63</v>
      </c>
    </row>
    <row r="79" spans="1:28" x14ac:dyDescent="0.8">
      <c r="A79">
        <v>581</v>
      </c>
      <c r="B79">
        <v>680</v>
      </c>
      <c r="C79" s="2">
        <v>44384</v>
      </c>
      <c r="D79" t="s">
        <v>151</v>
      </c>
      <c r="E79" t="s">
        <v>150</v>
      </c>
      <c r="F79" t="s">
        <v>26</v>
      </c>
      <c r="G79" t="s">
        <v>45</v>
      </c>
      <c r="H79" t="s">
        <v>68</v>
      </c>
      <c r="I79" t="s">
        <v>69</v>
      </c>
      <c r="J79" t="s">
        <v>70</v>
      </c>
      <c r="K79" t="s">
        <v>71</v>
      </c>
      <c r="L79" t="s">
        <v>72</v>
      </c>
      <c r="M79" t="s">
        <v>73</v>
      </c>
      <c r="N79" t="s">
        <v>61</v>
      </c>
      <c r="O79" t="s">
        <v>227</v>
      </c>
      <c r="P79" t="s">
        <v>34</v>
      </c>
      <c r="Q79" t="s">
        <v>228</v>
      </c>
      <c r="R79" t="s">
        <v>229</v>
      </c>
      <c r="S79" t="s">
        <v>207</v>
      </c>
      <c r="T79" t="s">
        <v>230</v>
      </c>
      <c r="U79" s="10" t="s">
        <v>1061</v>
      </c>
      <c r="V79" s="10" t="s">
        <v>1074</v>
      </c>
      <c r="W79" s="10" t="s">
        <v>1087</v>
      </c>
      <c r="X79" s="10" t="s">
        <v>1059</v>
      </c>
      <c r="Y79" t="s">
        <v>140</v>
      </c>
      <c r="Z79" t="s">
        <v>40</v>
      </c>
      <c r="AA79" t="s">
        <v>63</v>
      </c>
    </row>
    <row r="80" spans="1:28" x14ac:dyDescent="0.8">
      <c r="A80">
        <v>577</v>
      </c>
      <c r="B80">
        <v>676</v>
      </c>
      <c r="C80" s="2">
        <v>44384</v>
      </c>
      <c r="D80" t="s">
        <v>151</v>
      </c>
      <c r="E80" t="s">
        <v>125</v>
      </c>
      <c r="F80" t="s">
        <v>26</v>
      </c>
      <c r="G80" t="s">
        <v>45</v>
      </c>
      <c r="H80" t="s">
        <v>68</v>
      </c>
      <c r="I80" t="s">
        <v>69</v>
      </c>
      <c r="J80" t="s">
        <v>70</v>
      </c>
      <c r="K80" t="s">
        <v>71</v>
      </c>
      <c r="L80" t="s">
        <v>72</v>
      </c>
      <c r="M80" t="s">
        <v>73</v>
      </c>
      <c r="N80" t="s">
        <v>61</v>
      </c>
      <c r="O80" t="s">
        <v>227</v>
      </c>
      <c r="P80" t="s">
        <v>34</v>
      </c>
      <c r="Q80" t="s">
        <v>228</v>
      </c>
      <c r="R80" t="s">
        <v>229</v>
      </c>
      <c r="S80" t="s">
        <v>207</v>
      </c>
      <c r="T80" t="s">
        <v>230</v>
      </c>
      <c r="U80" s="10" t="s">
        <v>1061</v>
      </c>
      <c r="V80" s="10" t="s">
        <v>1074</v>
      </c>
      <c r="W80" s="10" t="s">
        <v>1087</v>
      </c>
      <c r="X80" s="10" t="s">
        <v>1059</v>
      </c>
      <c r="Y80" t="s">
        <v>140</v>
      </c>
      <c r="Z80" t="s">
        <v>40</v>
      </c>
      <c r="AA80" t="s">
        <v>63</v>
      </c>
    </row>
    <row r="81" spans="1:28" x14ac:dyDescent="0.8">
      <c r="A81">
        <v>235</v>
      </c>
      <c r="B81">
        <v>1210</v>
      </c>
      <c r="C81" s="2">
        <v>44384</v>
      </c>
      <c r="D81" t="s">
        <v>151</v>
      </c>
      <c r="E81" t="s">
        <v>25</v>
      </c>
      <c r="F81" t="s">
        <v>26</v>
      </c>
      <c r="G81" t="s">
        <v>45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  <c r="M81" t="s">
        <v>73</v>
      </c>
      <c r="N81" t="s">
        <v>61</v>
      </c>
      <c r="O81" t="s">
        <v>227</v>
      </c>
      <c r="P81" t="s">
        <v>34</v>
      </c>
      <c r="Q81" t="s">
        <v>228</v>
      </c>
      <c r="R81" t="s">
        <v>229</v>
      </c>
      <c r="S81" t="s">
        <v>207</v>
      </c>
      <c r="T81" t="s">
        <v>230</v>
      </c>
      <c r="U81" s="10" t="s">
        <v>1061</v>
      </c>
      <c r="V81" s="10" t="s">
        <v>1074</v>
      </c>
      <c r="W81" s="10" t="s">
        <v>1087</v>
      </c>
      <c r="X81" s="10" t="s">
        <v>1059</v>
      </c>
      <c r="Y81" t="s">
        <v>39</v>
      </c>
      <c r="Z81" t="s">
        <v>40</v>
      </c>
      <c r="AA81" t="s">
        <v>53</v>
      </c>
    </row>
    <row r="82" spans="1:28" x14ac:dyDescent="0.8">
      <c r="A82">
        <v>1734</v>
      </c>
      <c r="B82">
        <v>821</v>
      </c>
      <c r="C82" s="2">
        <v>44384</v>
      </c>
      <c r="D82" t="s">
        <v>151</v>
      </c>
      <c r="E82" t="s">
        <v>25</v>
      </c>
      <c r="F82" t="s">
        <v>26</v>
      </c>
      <c r="G82" t="s">
        <v>45</v>
      </c>
      <c r="H82" t="s">
        <v>155</v>
      </c>
      <c r="I82" t="s">
        <v>69</v>
      </c>
      <c r="J82" t="s">
        <v>156</v>
      </c>
      <c r="K82" t="s">
        <v>157</v>
      </c>
      <c r="L82" t="s">
        <v>232</v>
      </c>
      <c r="M82" t="s">
        <v>233</v>
      </c>
      <c r="N82" t="s">
        <v>61</v>
      </c>
      <c r="O82" t="s">
        <v>227</v>
      </c>
      <c r="P82" t="s">
        <v>34</v>
      </c>
      <c r="Q82" t="s">
        <v>228</v>
      </c>
      <c r="R82" t="s">
        <v>229</v>
      </c>
      <c r="S82" t="s">
        <v>207</v>
      </c>
      <c r="T82" t="s">
        <v>230</v>
      </c>
      <c r="U82" s="10" t="s">
        <v>1061</v>
      </c>
      <c r="V82" s="10" t="s">
        <v>1074</v>
      </c>
      <c r="W82" s="10" t="s">
        <v>1087</v>
      </c>
      <c r="X82" s="10" t="s">
        <v>1059</v>
      </c>
      <c r="Y82" t="s">
        <v>39</v>
      </c>
      <c r="Z82" t="s">
        <v>40</v>
      </c>
      <c r="AA82" t="s">
        <v>41</v>
      </c>
    </row>
    <row r="83" spans="1:28" x14ac:dyDescent="0.8">
      <c r="A83">
        <v>239</v>
      </c>
      <c r="B83">
        <v>1214</v>
      </c>
      <c r="C83" s="2">
        <v>44384</v>
      </c>
      <c r="D83" t="s">
        <v>151</v>
      </c>
      <c r="E83" t="s">
        <v>25</v>
      </c>
      <c r="F83" t="s">
        <v>26</v>
      </c>
      <c r="G83" t="s">
        <v>45</v>
      </c>
      <c r="H83" t="s">
        <v>155</v>
      </c>
      <c r="I83" t="s">
        <v>69</v>
      </c>
      <c r="J83" t="s">
        <v>156</v>
      </c>
      <c r="K83" t="s">
        <v>157</v>
      </c>
      <c r="L83" t="s">
        <v>232</v>
      </c>
      <c r="M83" t="s">
        <v>233</v>
      </c>
      <c r="N83" t="s">
        <v>61</v>
      </c>
      <c r="O83" t="s">
        <v>227</v>
      </c>
      <c r="P83" t="s">
        <v>34</v>
      </c>
      <c r="Q83" t="s">
        <v>228</v>
      </c>
      <c r="R83" t="s">
        <v>229</v>
      </c>
      <c r="S83" t="s">
        <v>207</v>
      </c>
      <c r="T83" t="s">
        <v>230</v>
      </c>
      <c r="U83" s="10" t="s">
        <v>1061</v>
      </c>
      <c r="V83" s="10" t="s">
        <v>1074</v>
      </c>
      <c r="W83" s="10" t="s">
        <v>1087</v>
      </c>
      <c r="X83" s="10" t="s">
        <v>1059</v>
      </c>
      <c r="Y83" t="s">
        <v>39</v>
      </c>
      <c r="Z83" t="s">
        <v>40</v>
      </c>
      <c r="AA83" t="s">
        <v>53</v>
      </c>
    </row>
    <row r="84" spans="1:28" x14ac:dyDescent="0.8">
      <c r="A84">
        <v>184</v>
      </c>
      <c r="B84">
        <v>1340</v>
      </c>
      <c r="C84" s="2">
        <v>44388</v>
      </c>
      <c r="D84" t="s">
        <v>124</v>
      </c>
      <c r="E84" t="s">
        <v>53</v>
      </c>
      <c r="F84" t="s">
        <v>26</v>
      </c>
      <c r="G84" t="s">
        <v>45</v>
      </c>
      <c r="H84" t="s">
        <v>68</v>
      </c>
      <c r="I84" t="s">
        <v>69</v>
      </c>
      <c r="J84" t="s">
        <v>70</v>
      </c>
      <c r="K84" t="s">
        <v>71</v>
      </c>
      <c r="L84" t="s">
        <v>72</v>
      </c>
      <c r="M84" t="s">
        <v>73</v>
      </c>
      <c r="N84" t="s">
        <v>61</v>
      </c>
      <c r="O84" t="s">
        <v>227</v>
      </c>
      <c r="P84" t="s">
        <v>34</v>
      </c>
      <c r="Q84" t="s">
        <v>228</v>
      </c>
      <c r="R84" t="s">
        <v>229</v>
      </c>
      <c r="S84" t="s">
        <v>207</v>
      </c>
      <c r="T84" t="s">
        <v>230</v>
      </c>
      <c r="U84" s="10" t="s">
        <v>1061</v>
      </c>
      <c r="V84" s="10" t="s">
        <v>1074</v>
      </c>
      <c r="W84" s="10" t="s">
        <v>1087</v>
      </c>
      <c r="X84" s="10" t="s">
        <v>1059</v>
      </c>
      <c r="Y84" t="s">
        <v>140</v>
      </c>
      <c r="Z84" t="s">
        <v>40</v>
      </c>
      <c r="AA84" t="s">
        <v>53</v>
      </c>
      <c r="AB84" t="s">
        <v>241</v>
      </c>
    </row>
    <row r="85" spans="1:28" x14ac:dyDescent="0.8">
      <c r="A85">
        <v>1684</v>
      </c>
      <c r="B85">
        <v>563</v>
      </c>
      <c r="C85" s="2">
        <v>44388</v>
      </c>
      <c r="D85" t="s">
        <v>124</v>
      </c>
      <c r="E85" t="s">
        <v>53</v>
      </c>
      <c r="F85" t="s">
        <v>26</v>
      </c>
      <c r="G85" t="s">
        <v>45</v>
      </c>
      <c r="H85" t="s">
        <v>68</v>
      </c>
      <c r="I85" t="s">
        <v>69</v>
      </c>
      <c r="J85" t="s">
        <v>70</v>
      </c>
      <c r="K85" t="s">
        <v>71</v>
      </c>
      <c r="L85" t="s">
        <v>72</v>
      </c>
      <c r="M85" t="s">
        <v>73</v>
      </c>
      <c r="N85" t="s">
        <v>61</v>
      </c>
      <c r="O85" t="s">
        <v>227</v>
      </c>
      <c r="P85" t="s">
        <v>34</v>
      </c>
      <c r="Q85" t="s">
        <v>228</v>
      </c>
      <c r="R85" t="s">
        <v>229</v>
      </c>
      <c r="S85" t="s">
        <v>207</v>
      </c>
      <c r="T85" t="s">
        <v>230</v>
      </c>
      <c r="U85" s="10" t="s">
        <v>1061</v>
      </c>
      <c r="V85" s="10" t="s">
        <v>1074</v>
      </c>
      <c r="W85" s="10" t="s">
        <v>1087</v>
      </c>
      <c r="X85" s="10" t="s">
        <v>1059</v>
      </c>
      <c r="Y85" t="s">
        <v>39</v>
      </c>
      <c r="Z85" t="s">
        <v>40</v>
      </c>
      <c r="AA85" t="s">
        <v>41</v>
      </c>
    </row>
    <row r="86" spans="1:28" x14ac:dyDescent="0.8">
      <c r="A86">
        <v>1682</v>
      </c>
      <c r="B86">
        <v>455</v>
      </c>
      <c r="C86" s="2">
        <v>44388</v>
      </c>
      <c r="D86" t="s">
        <v>124</v>
      </c>
      <c r="E86" t="s">
        <v>53</v>
      </c>
      <c r="F86" t="s">
        <v>26</v>
      </c>
      <c r="G86" t="s">
        <v>45</v>
      </c>
      <c r="H86" t="s">
        <v>68</v>
      </c>
      <c r="I86" t="s">
        <v>69</v>
      </c>
      <c r="J86" t="s">
        <v>70</v>
      </c>
      <c r="K86" t="s">
        <v>71</v>
      </c>
      <c r="L86" t="s">
        <v>72</v>
      </c>
      <c r="M86" t="s">
        <v>73</v>
      </c>
      <c r="N86" t="s">
        <v>61</v>
      </c>
      <c r="O86" t="s">
        <v>227</v>
      </c>
      <c r="P86" t="s">
        <v>34</v>
      </c>
      <c r="Q86" t="s">
        <v>228</v>
      </c>
      <c r="R86" t="s">
        <v>229</v>
      </c>
      <c r="S86" t="s">
        <v>207</v>
      </c>
      <c r="T86" t="s">
        <v>230</v>
      </c>
      <c r="U86" s="10" t="s">
        <v>1061</v>
      </c>
      <c r="V86" s="10" t="s">
        <v>1074</v>
      </c>
      <c r="W86" s="10" t="s">
        <v>1087</v>
      </c>
      <c r="X86" s="10" t="s">
        <v>1059</v>
      </c>
      <c r="Y86" t="s">
        <v>39</v>
      </c>
      <c r="Z86" t="s">
        <v>40</v>
      </c>
      <c r="AA86" t="s">
        <v>41</v>
      </c>
    </row>
    <row r="87" spans="1:28" x14ac:dyDescent="0.8">
      <c r="A87">
        <v>1680</v>
      </c>
      <c r="B87">
        <v>453</v>
      </c>
      <c r="C87" s="2">
        <v>44388</v>
      </c>
      <c r="D87" t="s">
        <v>124</v>
      </c>
      <c r="E87" t="s">
        <v>63</v>
      </c>
      <c r="F87" t="s">
        <v>26</v>
      </c>
      <c r="G87" t="s">
        <v>45</v>
      </c>
      <c r="H87" t="s">
        <v>68</v>
      </c>
      <c r="I87" t="s">
        <v>69</v>
      </c>
      <c r="J87" t="s">
        <v>70</v>
      </c>
      <c r="K87" t="s">
        <v>71</v>
      </c>
      <c r="L87" t="s">
        <v>72</v>
      </c>
      <c r="M87" t="s">
        <v>73</v>
      </c>
      <c r="N87" t="s">
        <v>61</v>
      </c>
      <c r="O87" t="s">
        <v>227</v>
      </c>
      <c r="P87" t="s">
        <v>34</v>
      </c>
      <c r="Q87" t="s">
        <v>228</v>
      </c>
      <c r="R87" t="s">
        <v>229</v>
      </c>
      <c r="S87" t="s">
        <v>207</v>
      </c>
      <c r="T87" t="s">
        <v>230</v>
      </c>
      <c r="U87" s="10" t="s">
        <v>1061</v>
      </c>
      <c r="V87" s="10" t="s">
        <v>1074</v>
      </c>
      <c r="W87" s="10" t="s">
        <v>1087</v>
      </c>
      <c r="X87" s="10" t="s">
        <v>1059</v>
      </c>
      <c r="Y87" t="s">
        <v>39</v>
      </c>
      <c r="Z87" t="s">
        <v>40</v>
      </c>
      <c r="AA87" t="s">
        <v>41</v>
      </c>
    </row>
    <row r="88" spans="1:28" x14ac:dyDescent="0.8">
      <c r="A88">
        <v>1668</v>
      </c>
      <c r="B88">
        <v>441</v>
      </c>
      <c r="C88" s="2">
        <v>44388</v>
      </c>
      <c r="D88" t="s">
        <v>124</v>
      </c>
      <c r="E88" t="s">
        <v>25</v>
      </c>
      <c r="F88" t="s">
        <v>26</v>
      </c>
      <c r="G88" t="s">
        <v>45</v>
      </c>
      <c r="H88" t="s">
        <v>68</v>
      </c>
      <c r="I88" t="s">
        <v>69</v>
      </c>
      <c r="J88" t="s">
        <v>70</v>
      </c>
      <c r="K88" t="s">
        <v>71</v>
      </c>
      <c r="L88" t="s">
        <v>72</v>
      </c>
      <c r="M88" t="s">
        <v>73</v>
      </c>
      <c r="N88" t="s">
        <v>61</v>
      </c>
      <c r="O88" t="s">
        <v>227</v>
      </c>
      <c r="P88" t="s">
        <v>34</v>
      </c>
      <c r="Q88" t="s">
        <v>228</v>
      </c>
      <c r="R88" t="s">
        <v>229</v>
      </c>
      <c r="S88" t="s">
        <v>207</v>
      </c>
      <c r="T88" t="s">
        <v>230</v>
      </c>
      <c r="U88" s="10" t="s">
        <v>1061</v>
      </c>
      <c r="V88" s="10" t="s">
        <v>1074</v>
      </c>
      <c r="W88" s="10" t="s">
        <v>1087</v>
      </c>
      <c r="X88" s="10" t="s">
        <v>1059</v>
      </c>
      <c r="Y88" t="s">
        <v>39</v>
      </c>
      <c r="Z88" t="s">
        <v>40</v>
      </c>
      <c r="AA88" t="s">
        <v>41</v>
      </c>
    </row>
    <row r="89" spans="1:28" x14ac:dyDescent="0.8">
      <c r="A89">
        <v>1591</v>
      </c>
      <c r="B89">
        <v>578</v>
      </c>
      <c r="C89" s="2">
        <v>44388</v>
      </c>
      <c r="D89" t="s">
        <v>124</v>
      </c>
      <c r="E89" t="s">
        <v>53</v>
      </c>
      <c r="F89" t="s">
        <v>26</v>
      </c>
      <c r="G89" t="s">
        <v>45</v>
      </c>
      <c r="H89" t="s">
        <v>68</v>
      </c>
      <c r="I89" t="s">
        <v>69</v>
      </c>
      <c r="J89" t="s">
        <v>70</v>
      </c>
      <c r="K89" t="s">
        <v>71</v>
      </c>
      <c r="L89" t="s">
        <v>72</v>
      </c>
      <c r="M89" t="s">
        <v>73</v>
      </c>
      <c r="N89" t="s">
        <v>61</v>
      </c>
      <c r="O89" t="s">
        <v>227</v>
      </c>
      <c r="P89" t="s">
        <v>34</v>
      </c>
      <c r="Q89" t="s">
        <v>228</v>
      </c>
      <c r="R89" t="s">
        <v>229</v>
      </c>
      <c r="S89" t="s">
        <v>207</v>
      </c>
      <c r="T89" t="s">
        <v>230</v>
      </c>
      <c r="U89" s="10" t="s">
        <v>1061</v>
      </c>
      <c r="V89" s="10" t="s">
        <v>1074</v>
      </c>
      <c r="W89" s="10" t="s">
        <v>1087</v>
      </c>
      <c r="X89" s="10" t="s">
        <v>1059</v>
      </c>
      <c r="Y89" t="s">
        <v>39</v>
      </c>
      <c r="Z89" t="s">
        <v>40</v>
      </c>
      <c r="AA89" t="s">
        <v>125</v>
      </c>
    </row>
    <row r="90" spans="1:28" x14ac:dyDescent="0.8">
      <c r="A90">
        <v>555</v>
      </c>
      <c r="B90">
        <v>186</v>
      </c>
      <c r="C90" s="2">
        <v>44388</v>
      </c>
      <c r="D90" t="s">
        <v>124</v>
      </c>
      <c r="E90" t="s">
        <v>125</v>
      </c>
      <c r="F90" t="s">
        <v>26</v>
      </c>
      <c r="G90" t="s">
        <v>45</v>
      </c>
      <c r="H90" t="s">
        <v>68</v>
      </c>
      <c r="I90" t="s">
        <v>69</v>
      </c>
      <c r="J90" t="s">
        <v>70</v>
      </c>
      <c r="K90" t="s">
        <v>71</v>
      </c>
      <c r="L90" t="s">
        <v>72</v>
      </c>
      <c r="M90" t="s">
        <v>73</v>
      </c>
      <c r="N90" t="s">
        <v>61</v>
      </c>
      <c r="O90" t="s">
        <v>227</v>
      </c>
      <c r="P90" t="s">
        <v>34</v>
      </c>
      <c r="Q90" t="s">
        <v>228</v>
      </c>
      <c r="R90" t="s">
        <v>229</v>
      </c>
      <c r="S90" t="s">
        <v>207</v>
      </c>
      <c r="T90" t="s">
        <v>230</v>
      </c>
      <c r="U90" s="10" t="s">
        <v>1061</v>
      </c>
      <c r="V90" s="10" t="s">
        <v>1074</v>
      </c>
      <c r="W90" s="10" t="s">
        <v>1087</v>
      </c>
      <c r="X90" s="10" t="s">
        <v>1059</v>
      </c>
      <c r="Y90" t="s">
        <v>39</v>
      </c>
      <c r="Z90" t="s">
        <v>40</v>
      </c>
      <c r="AA90" t="s">
        <v>63</v>
      </c>
    </row>
    <row r="91" spans="1:28" x14ac:dyDescent="0.8">
      <c r="A91">
        <v>545</v>
      </c>
      <c r="B91">
        <v>176</v>
      </c>
      <c r="C91" s="2">
        <v>44388</v>
      </c>
      <c r="D91" t="s">
        <v>124</v>
      </c>
      <c r="E91" t="s">
        <v>63</v>
      </c>
      <c r="F91" t="s">
        <v>26</v>
      </c>
      <c r="G91" t="s">
        <v>45</v>
      </c>
      <c r="H91" t="s">
        <v>68</v>
      </c>
      <c r="I91" t="s">
        <v>69</v>
      </c>
      <c r="J91" t="s">
        <v>70</v>
      </c>
      <c r="K91" t="s">
        <v>71</v>
      </c>
      <c r="L91" t="s">
        <v>72</v>
      </c>
      <c r="M91" t="s">
        <v>73</v>
      </c>
      <c r="N91" t="s">
        <v>61</v>
      </c>
      <c r="O91" t="s">
        <v>227</v>
      </c>
      <c r="P91" t="s">
        <v>34</v>
      </c>
      <c r="Q91" t="s">
        <v>228</v>
      </c>
      <c r="R91" t="s">
        <v>229</v>
      </c>
      <c r="S91" t="s">
        <v>207</v>
      </c>
      <c r="T91" t="s">
        <v>230</v>
      </c>
      <c r="U91" s="10" t="s">
        <v>1061</v>
      </c>
      <c r="V91" s="10" t="s">
        <v>1074</v>
      </c>
      <c r="W91" s="10" t="s">
        <v>1087</v>
      </c>
      <c r="X91" s="10" t="s">
        <v>1059</v>
      </c>
      <c r="Y91" t="s">
        <v>39</v>
      </c>
      <c r="Z91" t="s">
        <v>40</v>
      </c>
      <c r="AA91" t="s">
        <v>63</v>
      </c>
    </row>
    <row r="92" spans="1:28" x14ac:dyDescent="0.8">
      <c r="A92">
        <v>203</v>
      </c>
      <c r="B92">
        <v>1429</v>
      </c>
      <c r="C92" s="2">
        <v>44388</v>
      </c>
      <c r="D92" t="s">
        <v>124</v>
      </c>
      <c r="E92" t="s">
        <v>25</v>
      </c>
      <c r="F92" t="s">
        <v>26</v>
      </c>
      <c r="G92" t="s">
        <v>45</v>
      </c>
      <c r="H92" t="s">
        <v>68</v>
      </c>
      <c r="I92" t="s">
        <v>69</v>
      </c>
      <c r="J92" t="s">
        <v>70</v>
      </c>
      <c r="K92" t="s">
        <v>71</v>
      </c>
      <c r="L92" t="s">
        <v>72</v>
      </c>
      <c r="M92" t="s">
        <v>73</v>
      </c>
      <c r="N92" t="s">
        <v>61</v>
      </c>
      <c r="O92" t="s">
        <v>227</v>
      </c>
      <c r="P92" t="s">
        <v>34</v>
      </c>
      <c r="Q92" t="s">
        <v>228</v>
      </c>
      <c r="R92" t="s">
        <v>229</v>
      </c>
      <c r="S92" t="s">
        <v>207</v>
      </c>
      <c r="T92" t="s">
        <v>230</v>
      </c>
      <c r="U92" s="10" t="s">
        <v>1061</v>
      </c>
      <c r="V92" s="10" t="s">
        <v>1074</v>
      </c>
      <c r="W92" s="10" t="s">
        <v>1087</v>
      </c>
      <c r="X92" s="10" t="s">
        <v>1059</v>
      </c>
      <c r="Y92" t="s">
        <v>39</v>
      </c>
      <c r="Z92" t="s">
        <v>40</v>
      </c>
      <c r="AA92" t="s">
        <v>53</v>
      </c>
    </row>
    <row r="93" spans="1:28" x14ac:dyDescent="0.8">
      <c r="A93">
        <v>189</v>
      </c>
      <c r="B93">
        <v>1345</v>
      </c>
      <c r="C93" s="2">
        <v>44388</v>
      </c>
      <c r="D93" t="s">
        <v>124</v>
      </c>
      <c r="E93" t="s">
        <v>125</v>
      </c>
      <c r="F93" t="s">
        <v>26</v>
      </c>
      <c r="G93" t="s">
        <v>45</v>
      </c>
      <c r="H93" t="s">
        <v>68</v>
      </c>
      <c r="I93" t="s">
        <v>69</v>
      </c>
      <c r="J93" t="s">
        <v>70</v>
      </c>
      <c r="K93" t="s">
        <v>71</v>
      </c>
      <c r="L93" t="s">
        <v>72</v>
      </c>
      <c r="M93" t="s">
        <v>73</v>
      </c>
      <c r="N93" t="s">
        <v>61</v>
      </c>
      <c r="O93" t="s">
        <v>227</v>
      </c>
      <c r="P93" t="s">
        <v>34</v>
      </c>
      <c r="Q93" t="s">
        <v>228</v>
      </c>
      <c r="R93" t="s">
        <v>229</v>
      </c>
      <c r="S93" t="s">
        <v>207</v>
      </c>
      <c r="T93" t="s">
        <v>230</v>
      </c>
      <c r="U93" s="10" t="s">
        <v>1061</v>
      </c>
      <c r="V93" s="10" t="s">
        <v>1074</v>
      </c>
      <c r="W93" s="10" t="s">
        <v>1087</v>
      </c>
      <c r="X93" s="10" t="s">
        <v>1059</v>
      </c>
      <c r="Y93" t="s">
        <v>140</v>
      </c>
      <c r="Z93" t="s">
        <v>40</v>
      </c>
      <c r="AA93" t="s">
        <v>53</v>
      </c>
    </row>
    <row r="94" spans="1:28" x14ac:dyDescent="0.8">
      <c r="A94">
        <v>187</v>
      </c>
      <c r="B94">
        <v>1343</v>
      </c>
      <c r="C94" s="2">
        <v>44388</v>
      </c>
      <c r="D94" t="s">
        <v>124</v>
      </c>
      <c r="E94" t="s">
        <v>63</v>
      </c>
      <c r="F94" t="s">
        <v>26</v>
      </c>
      <c r="G94" t="s">
        <v>45</v>
      </c>
      <c r="H94" t="s">
        <v>68</v>
      </c>
      <c r="I94" t="s">
        <v>69</v>
      </c>
      <c r="J94" t="s">
        <v>70</v>
      </c>
      <c r="K94" t="s">
        <v>71</v>
      </c>
      <c r="L94" t="s">
        <v>72</v>
      </c>
      <c r="M94" t="s">
        <v>73</v>
      </c>
      <c r="N94" t="s">
        <v>61</v>
      </c>
      <c r="O94" t="s">
        <v>227</v>
      </c>
      <c r="P94" t="s">
        <v>34</v>
      </c>
      <c r="Q94" t="s">
        <v>228</v>
      </c>
      <c r="R94" t="s">
        <v>229</v>
      </c>
      <c r="S94" t="s">
        <v>207</v>
      </c>
      <c r="T94" t="s">
        <v>230</v>
      </c>
      <c r="U94" s="10" t="s">
        <v>1061</v>
      </c>
      <c r="V94" s="10" t="s">
        <v>1074</v>
      </c>
      <c r="W94" s="10" t="s">
        <v>1087</v>
      </c>
      <c r="X94" s="10" t="s">
        <v>1059</v>
      </c>
      <c r="Y94" t="s">
        <v>140</v>
      </c>
      <c r="Z94" t="s">
        <v>40</v>
      </c>
      <c r="AA94" t="s">
        <v>53</v>
      </c>
    </row>
    <row r="95" spans="1:28" x14ac:dyDescent="0.8">
      <c r="A95">
        <v>949</v>
      </c>
      <c r="B95">
        <v>1125</v>
      </c>
      <c r="C95" s="2">
        <v>44384</v>
      </c>
      <c r="D95" t="s">
        <v>242</v>
      </c>
      <c r="E95" t="s">
        <v>63</v>
      </c>
      <c r="F95" t="s">
        <v>26</v>
      </c>
      <c r="G95" t="s">
        <v>45</v>
      </c>
      <c r="H95" t="s">
        <v>68</v>
      </c>
      <c r="I95" t="s">
        <v>69</v>
      </c>
      <c r="J95" t="s">
        <v>70</v>
      </c>
      <c r="K95" t="s">
        <v>71</v>
      </c>
      <c r="L95" t="s">
        <v>72</v>
      </c>
      <c r="M95" t="s">
        <v>73</v>
      </c>
      <c r="N95" t="s">
        <v>61</v>
      </c>
      <c r="O95" t="s">
        <v>227</v>
      </c>
      <c r="P95" t="s">
        <v>34</v>
      </c>
      <c r="Q95" t="s">
        <v>228</v>
      </c>
      <c r="R95" t="s">
        <v>229</v>
      </c>
      <c r="S95" t="s">
        <v>207</v>
      </c>
      <c r="T95" t="s">
        <v>230</v>
      </c>
      <c r="U95" s="10" t="s">
        <v>1061</v>
      </c>
      <c r="V95" s="10" t="s">
        <v>1074</v>
      </c>
      <c r="W95" s="10" t="s">
        <v>1087</v>
      </c>
      <c r="X95" s="10" t="s">
        <v>1059</v>
      </c>
      <c r="Y95" t="s">
        <v>39</v>
      </c>
      <c r="Z95" t="s">
        <v>40</v>
      </c>
      <c r="AA95" t="s">
        <v>63</v>
      </c>
    </row>
    <row r="96" spans="1:28" x14ac:dyDescent="0.8">
      <c r="A96">
        <v>1380</v>
      </c>
      <c r="B96">
        <v>2077</v>
      </c>
      <c r="C96" s="2">
        <v>44386</v>
      </c>
      <c r="D96" t="s">
        <v>67</v>
      </c>
      <c r="E96" t="s">
        <v>25</v>
      </c>
      <c r="F96" t="s">
        <v>26</v>
      </c>
      <c r="G96" t="s">
        <v>45</v>
      </c>
      <c r="H96" t="s">
        <v>55</v>
      </c>
      <c r="I96" t="s">
        <v>69</v>
      </c>
      <c r="J96" t="s">
        <v>284</v>
      </c>
      <c r="K96" t="s">
        <v>285</v>
      </c>
      <c r="L96" t="s">
        <v>290</v>
      </c>
      <c r="M96" t="s">
        <v>291</v>
      </c>
      <c r="N96" t="s">
        <v>61</v>
      </c>
      <c r="O96" t="s">
        <v>310</v>
      </c>
      <c r="P96" t="s">
        <v>34</v>
      </c>
      <c r="Q96" t="s">
        <v>35</v>
      </c>
      <c r="R96" t="s">
        <v>311</v>
      </c>
      <c r="S96" t="s">
        <v>312</v>
      </c>
      <c r="T96" t="s">
        <v>313</v>
      </c>
      <c r="U96" s="10" t="s">
        <v>1061</v>
      </c>
      <c r="V96" s="10" t="s">
        <v>1074</v>
      </c>
      <c r="W96" s="10" t="s">
        <v>1087</v>
      </c>
      <c r="X96" s="10" t="s">
        <v>1059</v>
      </c>
      <c r="Y96" t="s">
        <v>39</v>
      </c>
      <c r="Z96" t="s">
        <v>40</v>
      </c>
      <c r="AA96" t="s">
        <v>63</v>
      </c>
      <c r="AB96" t="s">
        <v>314</v>
      </c>
    </row>
    <row r="97" spans="1:28" x14ac:dyDescent="0.8">
      <c r="A97">
        <v>1383</v>
      </c>
      <c r="B97">
        <v>2080</v>
      </c>
      <c r="C97" s="2">
        <v>44386</v>
      </c>
      <c r="D97" t="s">
        <v>67</v>
      </c>
      <c r="E97" t="s">
        <v>25</v>
      </c>
      <c r="F97" t="s">
        <v>26</v>
      </c>
      <c r="G97" t="s">
        <v>45</v>
      </c>
      <c r="H97" t="s">
        <v>46</v>
      </c>
      <c r="I97" t="s">
        <v>47</v>
      </c>
      <c r="J97" t="s">
        <v>48</v>
      </c>
      <c r="K97" t="s">
        <v>49</v>
      </c>
      <c r="L97" t="s">
        <v>91</v>
      </c>
      <c r="M97" t="s">
        <v>92</v>
      </c>
      <c r="N97" t="s">
        <v>61</v>
      </c>
      <c r="O97" t="s">
        <v>310</v>
      </c>
      <c r="P97" t="s">
        <v>34</v>
      </c>
      <c r="Q97" t="s">
        <v>35</v>
      </c>
      <c r="R97" t="s">
        <v>311</v>
      </c>
      <c r="S97" t="s">
        <v>312</v>
      </c>
      <c r="T97" t="s">
        <v>313</v>
      </c>
      <c r="U97" s="10" t="s">
        <v>1061</v>
      </c>
      <c r="V97" s="10" t="s">
        <v>1074</v>
      </c>
      <c r="W97" s="10" t="s">
        <v>1087</v>
      </c>
      <c r="X97" s="10" t="s">
        <v>1059</v>
      </c>
      <c r="Y97" t="s">
        <v>39</v>
      </c>
      <c r="Z97" t="s">
        <v>40</v>
      </c>
      <c r="AA97" t="s">
        <v>63</v>
      </c>
      <c r="AB97" t="s">
        <v>315</v>
      </c>
    </row>
    <row r="98" spans="1:28" x14ac:dyDescent="0.8">
      <c r="A98">
        <v>1382</v>
      </c>
      <c r="B98">
        <v>2079</v>
      </c>
      <c r="C98" s="2">
        <v>44386</v>
      </c>
      <c r="D98" t="s">
        <v>67</v>
      </c>
      <c r="E98" t="s">
        <v>25</v>
      </c>
      <c r="F98" t="s">
        <v>26</v>
      </c>
      <c r="G98" t="s">
        <v>45</v>
      </c>
      <c r="H98" t="s">
        <v>46</v>
      </c>
      <c r="I98" t="s">
        <v>47</v>
      </c>
      <c r="J98" t="s">
        <v>48</v>
      </c>
      <c r="K98" t="s">
        <v>49</v>
      </c>
      <c r="L98" t="s">
        <v>91</v>
      </c>
      <c r="M98" t="s">
        <v>92</v>
      </c>
      <c r="N98" t="s">
        <v>61</v>
      </c>
      <c r="O98" t="s">
        <v>310</v>
      </c>
      <c r="P98" t="s">
        <v>34</v>
      </c>
      <c r="Q98" t="s">
        <v>35</v>
      </c>
      <c r="R98" t="s">
        <v>311</v>
      </c>
      <c r="S98" t="s">
        <v>312</v>
      </c>
      <c r="T98" t="s">
        <v>313</v>
      </c>
      <c r="U98" s="10" t="s">
        <v>1061</v>
      </c>
      <c r="V98" s="10" t="s">
        <v>1074</v>
      </c>
      <c r="W98" s="10" t="s">
        <v>1087</v>
      </c>
      <c r="X98" s="10" t="s">
        <v>1059</v>
      </c>
      <c r="Y98" t="s">
        <v>39</v>
      </c>
      <c r="Z98" t="s">
        <v>40</v>
      </c>
      <c r="AA98" t="s">
        <v>63</v>
      </c>
      <c r="AB98" t="s">
        <v>315</v>
      </c>
    </row>
    <row r="99" spans="1:28" x14ac:dyDescent="0.8">
      <c r="A99">
        <v>1426</v>
      </c>
      <c r="B99">
        <v>2173</v>
      </c>
      <c r="C99" s="2">
        <v>44387</v>
      </c>
      <c r="D99" t="s">
        <v>173</v>
      </c>
      <c r="E99" t="s">
        <v>25</v>
      </c>
      <c r="F99" t="s">
        <v>26</v>
      </c>
      <c r="G99" t="s">
        <v>27</v>
      </c>
      <c r="H99" t="s">
        <v>28</v>
      </c>
      <c r="I99" t="s">
        <v>109</v>
      </c>
      <c r="J99" t="s">
        <v>110</v>
      </c>
      <c r="K99" t="s">
        <v>111</v>
      </c>
      <c r="L99" t="s">
        <v>112</v>
      </c>
      <c r="M99" t="s">
        <v>113</v>
      </c>
      <c r="N99" t="s">
        <v>61</v>
      </c>
      <c r="O99" t="s">
        <v>310</v>
      </c>
      <c r="P99" t="s">
        <v>34</v>
      </c>
      <c r="Q99" t="s">
        <v>35</v>
      </c>
      <c r="R99" t="s">
        <v>311</v>
      </c>
      <c r="S99" t="s">
        <v>312</v>
      </c>
      <c r="T99" t="s">
        <v>313</v>
      </c>
      <c r="U99" s="10" t="s">
        <v>1061</v>
      </c>
      <c r="V99" s="10" t="s">
        <v>1074</v>
      </c>
      <c r="W99" s="10" t="s">
        <v>1087</v>
      </c>
      <c r="X99" s="10" t="s">
        <v>1059</v>
      </c>
      <c r="Y99" t="s">
        <v>39</v>
      </c>
      <c r="Z99" t="s">
        <v>40</v>
      </c>
      <c r="AA99" t="s">
        <v>63</v>
      </c>
    </row>
    <row r="100" spans="1:28" x14ac:dyDescent="0.8">
      <c r="A100">
        <v>1781</v>
      </c>
      <c r="B100">
        <v>1499</v>
      </c>
      <c r="C100" s="2">
        <v>44387</v>
      </c>
      <c r="D100" t="s">
        <v>173</v>
      </c>
      <c r="E100" t="s">
        <v>25</v>
      </c>
      <c r="F100" t="s">
        <v>26</v>
      </c>
      <c r="G100" t="s">
        <v>27</v>
      </c>
      <c r="H100" t="s">
        <v>114</v>
      </c>
      <c r="I100" t="s">
        <v>115</v>
      </c>
      <c r="J100" t="s">
        <v>120</v>
      </c>
      <c r="K100" t="s">
        <v>121</v>
      </c>
      <c r="L100" t="s">
        <v>122</v>
      </c>
      <c r="M100" t="s">
        <v>123</v>
      </c>
      <c r="O100" t="s">
        <v>310</v>
      </c>
      <c r="P100" t="s">
        <v>34</v>
      </c>
      <c r="Q100" t="s">
        <v>35</v>
      </c>
      <c r="R100" t="s">
        <v>311</v>
      </c>
      <c r="S100" t="s">
        <v>312</v>
      </c>
      <c r="T100" t="s">
        <v>313</v>
      </c>
      <c r="U100" s="10" t="s">
        <v>1061</v>
      </c>
      <c r="V100" s="10" t="s">
        <v>1074</v>
      </c>
      <c r="W100" s="10" t="s">
        <v>1087</v>
      </c>
      <c r="X100" s="10" t="s">
        <v>1059</v>
      </c>
      <c r="Y100" t="s">
        <v>39</v>
      </c>
      <c r="Z100" t="s">
        <v>202</v>
      </c>
      <c r="AA100" t="s">
        <v>41</v>
      </c>
      <c r="AB100" t="s">
        <v>316</v>
      </c>
    </row>
    <row r="101" spans="1:28" x14ac:dyDescent="0.8">
      <c r="A101">
        <v>1423</v>
      </c>
      <c r="B101">
        <v>2170</v>
      </c>
      <c r="C101" s="2">
        <v>44387</v>
      </c>
      <c r="D101" t="s">
        <v>173</v>
      </c>
      <c r="E101" t="s">
        <v>25</v>
      </c>
      <c r="F101" t="s">
        <v>26</v>
      </c>
      <c r="G101" t="s">
        <v>45</v>
      </c>
      <c r="H101" t="s">
        <v>55</v>
      </c>
      <c r="I101" t="s">
        <v>249</v>
      </c>
      <c r="J101" t="s">
        <v>250</v>
      </c>
      <c r="K101" t="s">
        <v>251</v>
      </c>
      <c r="L101" t="s">
        <v>112</v>
      </c>
      <c r="M101" t="s">
        <v>317</v>
      </c>
      <c r="N101" t="s">
        <v>61</v>
      </c>
      <c r="O101" t="s">
        <v>310</v>
      </c>
      <c r="P101" t="s">
        <v>34</v>
      </c>
      <c r="Q101" t="s">
        <v>35</v>
      </c>
      <c r="R101" t="s">
        <v>311</v>
      </c>
      <c r="S101" t="s">
        <v>312</v>
      </c>
      <c r="T101" t="s">
        <v>313</v>
      </c>
      <c r="U101" s="10" t="s">
        <v>1061</v>
      </c>
      <c r="V101" s="10" t="s">
        <v>1074</v>
      </c>
      <c r="W101" s="10" t="s">
        <v>1087</v>
      </c>
      <c r="X101" s="10" t="s">
        <v>1059</v>
      </c>
      <c r="Y101" t="s">
        <v>39</v>
      </c>
      <c r="Z101" t="s">
        <v>62</v>
      </c>
      <c r="AA101" t="s">
        <v>63</v>
      </c>
    </row>
    <row r="102" spans="1:28" x14ac:dyDescent="0.8">
      <c r="A102">
        <v>1437</v>
      </c>
      <c r="B102">
        <v>2234</v>
      </c>
      <c r="C102" s="2">
        <v>44387</v>
      </c>
      <c r="D102" t="s">
        <v>173</v>
      </c>
      <c r="E102" t="s">
        <v>63</v>
      </c>
      <c r="F102" t="s">
        <v>26</v>
      </c>
      <c r="G102" t="s">
        <v>45</v>
      </c>
      <c r="H102" t="s">
        <v>68</v>
      </c>
      <c r="I102" t="s">
        <v>69</v>
      </c>
      <c r="J102" t="s">
        <v>70</v>
      </c>
      <c r="K102" t="s">
        <v>71</v>
      </c>
      <c r="L102" t="s">
        <v>72</v>
      </c>
      <c r="M102" t="s">
        <v>73</v>
      </c>
      <c r="N102" t="s">
        <v>61</v>
      </c>
      <c r="O102" t="s">
        <v>318</v>
      </c>
      <c r="P102" t="s">
        <v>34</v>
      </c>
      <c r="Q102" t="s">
        <v>35</v>
      </c>
      <c r="R102" t="s">
        <v>311</v>
      </c>
      <c r="S102" t="s">
        <v>131</v>
      </c>
      <c r="T102" t="s">
        <v>313</v>
      </c>
      <c r="U102" s="10" t="s">
        <v>1061</v>
      </c>
      <c r="V102" s="10" t="s">
        <v>1074</v>
      </c>
      <c r="W102" s="10" t="s">
        <v>1087</v>
      </c>
      <c r="X102" s="10" t="s">
        <v>1059</v>
      </c>
      <c r="Y102" t="s">
        <v>39</v>
      </c>
      <c r="Z102" t="s">
        <v>40</v>
      </c>
      <c r="AA102" t="s">
        <v>63</v>
      </c>
    </row>
    <row r="103" spans="1:28" x14ac:dyDescent="0.8">
      <c r="A103">
        <v>1398</v>
      </c>
      <c r="B103">
        <v>2145</v>
      </c>
      <c r="C103" s="2">
        <v>44387</v>
      </c>
      <c r="D103" t="s">
        <v>173</v>
      </c>
      <c r="E103" t="s">
        <v>63</v>
      </c>
      <c r="F103" t="s">
        <v>26</v>
      </c>
      <c r="G103" t="s">
        <v>45</v>
      </c>
      <c r="H103" t="s">
        <v>68</v>
      </c>
      <c r="I103" t="s">
        <v>69</v>
      </c>
      <c r="J103" t="s">
        <v>70</v>
      </c>
      <c r="K103" t="s">
        <v>71</v>
      </c>
      <c r="L103" t="s">
        <v>72</v>
      </c>
      <c r="M103" t="s">
        <v>73</v>
      </c>
      <c r="N103" t="s">
        <v>61</v>
      </c>
      <c r="O103" t="s">
        <v>318</v>
      </c>
      <c r="P103" t="s">
        <v>34</v>
      </c>
      <c r="Q103" t="s">
        <v>35</v>
      </c>
      <c r="R103" t="s">
        <v>311</v>
      </c>
      <c r="S103" t="s">
        <v>131</v>
      </c>
      <c r="T103" t="s">
        <v>313</v>
      </c>
      <c r="U103" s="10" t="s">
        <v>1061</v>
      </c>
      <c r="V103" s="10" t="s">
        <v>1074</v>
      </c>
      <c r="W103" s="10" t="s">
        <v>1087</v>
      </c>
      <c r="X103" s="10" t="s">
        <v>1059</v>
      </c>
      <c r="Y103" t="s">
        <v>140</v>
      </c>
      <c r="Z103" t="s">
        <v>40</v>
      </c>
      <c r="AA103" t="s">
        <v>63</v>
      </c>
    </row>
    <row r="104" spans="1:28" x14ac:dyDescent="0.8">
      <c r="A104">
        <v>1463</v>
      </c>
      <c r="B104">
        <v>2260</v>
      </c>
      <c r="C104" s="2">
        <v>44388</v>
      </c>
      <c r="D104" t="s">
        <v>134</v>
      </c>
      <c r="E104" t="s">
        <v>25</v>
      </c>
      <c r="F104" t="s">
        <v>26</v>
      </c>
      <c r="G104" t="s">
        <v>45</v>
      </c>
      <c r="H104" t="s">
        <v>68</v>
      </c>
      <c r="I104" t="s">
        <v>69</v>
      </c>
      <c r="J104" t="s">
        <v>70</v>
      </c>
      <c r="K104" t="s">
        <v>71</v>
      </c>
      <c r="L104" t="s">
        <v>72</v>
      </c>
      <c r="M104" t="s">
        <v>73</v>
      </c>
      <c r="N104" t="s">
        <v>61</v>
      </c>
      <c r="O104" t="s">
        <v>318</v>
      </c>
      <c r="P104" t="s">
        <v>34</v>
      </c>
      <c r="Q104" t="s">
        <v>35</v>
      </c>
      <c r="R104" t="s">
        <v>311</v>
      </c>
      <c r="S104" t="s">
        <v>131</v>
      </c>
      <c r="T104" t="s">
        <v>313</v>
      </c>
      <c r="U104" s="10" t="s">
        <v>1061</v>
      </c>
      <c r="V104" s="10" t="s">
        <v>1074</v>
      </c>
      <c r="W104" s="10" t="s">
        <v>1087</v>
      </c>
      <c r="X104" s="10" t="s">
        <v>1059</v>
      </c>
      <c r="Y104" t="s">
        <v>39</v>
      </c>
      <c r="Z104" t="s">
        <v>62</v>
      </c>
      <c r="AA104" t="s">
        <v>63</v>
      </c>
    </row>
    <row r="105" spans="1:28" x14ac:dyDescent="0.8">
      <c r="A105">
        <v>1492</v>
      </c>
      <c r="B105">
        <v>2339</v>
      </c>
      <c r="C105" s="2">
        <v>44388</v>
      </c>
      <c r="D105" t="s">
        <v>134</v>
      </c>
      <c r="E105" t="s">
        <v>25</v>
      </c>
      <c r="F105" t="s">
        <v>26</v>
      </c>
      <c r="G105" t="s">
        <v>45</v>
      </c>
      <c r="H105" t="s">
        <v>55</v>
      </c>
      <c r="I105" t="s">
        <v>69</v>
      </c>
      <c r="J105" t="s">
        <v>319</v>
      </c>
      <c r="K105" t="s">
        <v>320</v>
      </c>
      <c r="L105" t="s">
        <v>321</v>
      </c>
      <c r="M105" t="s">
        <v>322</v>
      </c>
      <c r="N105" t="s">
        <v>52</v>
      </c>
      <c r="O105" t="s">
        <v>318</v>
      </c>
      <c r="P105" t="s">
        <v>34</v>
      </c>
      <c r="Q105" t="s">
        <v>35</v>
      </c>
      <c r="R105" t="s">
        <v>311</v>
      </c>
      <c r="S105" t="s">
        <v>131</v>
      </c>
      <c r="T105" t="s">
        <v>313</v>
      </c>
      <c r="U105" s="10" t="s">
        <v>1061</v>
      </c>
      <c r="V105" s="10" t="s">
        <v>1074</v>
      </c>
      <c r="W105" s="10" t="s">
        <v>1087</v>
      </c>
      <c r="X105" s="10" t="s">
        <v>1059</v>
      </c>
      <c r="Y105" t="s">
        <v>39</v>
      </c>
      <c r="Z105" t="s">
        <v>62</v>
      </c>
      <c r="AA105" t="s">
        <v>63</v>
      </c>
    </row>
    <row r="106" spans="1:28" x14ac:dyDescent="0.8">
      <c r="A106">
        <v>1488</v>
      </c>
      <c r="B106">
        <v>2335</v>
      </c>
      <c r="C106" s="2">
        <v>44388</v>
      </c>
      <c r="D106" t="s">
        <v>134</v>
      </c>
      <c r="E106" t="s">
        <v>25</v>
      </c>
      <c r="F106" t="s">
        <v>26</v>
      </c>
      <c r="G106" t="s">
        <v>45</v>
      </c>
      <c r="H106" t="s">
        <v>55</v>
      </c>
      <c r="I106" t="s">
        <v>69</v>
      </c>
      <c r="J106" t="s">
        <v>319</v>
      </c>
      <c r="K106" t="s">
        <v>320</v>
      </c>
      <c r="L106" t="s">
        <v>321</v>
      </c>
      <c r="M106" t="s">
        <v>322</v>
      </c>
      <c r="N106" t="s">
        <v>52</v>
      </c>
      <c r="O106" t="s">
        <v>318</v>
      </c>
      <c r="P106" t="s">
        <v>34</v>
      </c>
      <c r="Q106" t="s">
        <v>35</v>
      </c>
      <c r="R106" t="s">
        <v>311</v>
      </c>
      <c r="S106" t="s">
        <v>131</v>
      </c>
      <c r="T106" t="s">
        <v>313</v>
      </c>
      <c r="U106" s="10" t="s">
        <v>1061</v>
      </c>
      <c r="V106" s="10" t="s">
        <v>1074</v>
      </c>
      <c r="W106" s="10" t="s">
        <v>1087</v>
      </c>
      <c r="X106" s="10" t="s">
        <v>1059</v>
      </c>
      <c r="Y106" t="s">
        <v>39</v>
      </c>
      <c r="Z106" t="s">
        <v>40</v>
      </c>
      <c r="AA106" t="s">
        <v>63</v>
      </c>
    </row>
    <row r="107" spans="1:28" x14ac:dyDescent="0.8">
      <c r="A107">
        <v>831</v>
      </c>
      <c r="B107">
        <v>1408</v>
      </c>
      <c r="C107" s="2">
        <v>44387</v>
      </c>
      <c r="D107" t="s">
        <v>149</v>
      </c>
      <c r="E107" t="s">
        <v>25</v>
      </c>
      <c r="F107" t="s">
        <v>26</v>
      </c>
      <c r="G107" t="s">
        <v>45</v>
      </c>
      <c r="H107" t="s">
        <v>68</v>
      </c>
      <c r="I107" t="s">
        <v>69</v>
      </c>
      <c r="J107" t="s">
        <v>70</v>
      </c>
      <c r="K107" t="s">
        <v>71</v>
      </c>
      <c r="L107" t="s">
        <v>72</v>
      </c>
      <c r="M107" t="s">
        <v>73</v>
      </c>
      <c r="N107" t="s">
        <v>61</v>
      </c>
      <c r="O107" t="s">
        <v>310</v>
      </c>
      <c r="P107" t="s">
        <v>34</v>
      </c>
      <c r="Q107" t="s">
        <v>35</v>
      </c>
      <c r="R107" t="s">
        <v>311</v>
      </c>
      <c r="S107" t="s">
        <v>312</v>
      </c>
      <c r="T107" t="s">
        <v>313</v>
      </c>
      <c r="U107" s="10" t="s">
        <v>1061</v>
      </c>
      <c r="V107" s="10" t="s">
        <v>1074</v>
      </c>
      <c r="W107" s="10" t="s">
        <v>1087</v>
      </c>
      <c r="X107" s="10" t="s">
        <v>1059</v>
      </c>
      <c r="Y107" t="s">
        <v>39</v>
      </c>
      <c r="Z107" t="s">
        <v>40</v>
      </c>
      <c r="AA107" t="s">
        <v>63</v>
      </c>
    </row>
    <row r="108" spans="1:28" x14ac:dyDescent="0.8">
      <c r="A108">
        <v>807</v>
      </c>
      <c r="B108">
        <v>794</v>
      </c>
      <c r="C108" s="2">
        <v>44387</v>
      </c>
      <c r="D108" t="s">
        <v>149</v>
      </c>
      <c r="E108" t="s">
        <v>103</v>
      </c>
      <c r="F108" t="s">
        <v>26</v>
      </c>
      <c r="G108" t="s">
        <v>45</v>
      </c>
      <c r="H108" t="s">
        <v>68</v>
      </c>
      <c r="I108" t="s">
        <v>69</v>
      </c>
      <c r="J108" t="s">
        <v>70</v>
      </c>
      <c r="K108" t="s">
        <v>71</v>
      </c>
      <c r="L108" t="s">
        <v>72</v>
      </c>
      <c r="M108" t="s">
        <v>73</v>
      </c>
      <c r="N108" t="s">
        <v>61</v>
      </c>
      <c r="O108" t="s">
        <v>310</v>
      </c>
      <c r="P108" t="s">
        <v>34</v>
      </c>
      <c r="Q108" t="s">
        <v>35</v>
      </c>
      <c r="R108" t="s">
        <v>311</v>
      </c>
      <c r="S108" t="s">
        <v>312</v>
      </c>
      <c r="T108" t="s">
        <v>313</v>
      </c>
      <c r="U108" s="10" t="s">
        <v>1061</v>
      </c>
      <c r="V108" s="10" t="s">
        <v>1074</v>
      </c>
      <c r="W108" s="10" t="s">
        <v>1087</v>
      </c>
      <c r="X108" s="10" t="s">
        <v>1059</v>
      </c>
      <c r="Y108" t="s">
        <v>39</v>
      </c>
      <c r="Z108" t="s">
        <v>40</v>
      </c>
      <c r="AA108" t="s">
        <v>63</v>
      </c>
    </row>
    <row r="109" spans="1:28" x14ac:dyDescent="0.8">
      <c r="A109">
        <v>803</v>
      </c>
      <c r="B109">
        <v>1332</v>
      </c>
      <c r="C109" s="2">
        <v>44387</v>
      </c>
      <c r="D109" t="s">
        <v>149</v>
      </c>
      <c r="E109" t="s">
        <v>63</v>
      </c>
      <c r="F109" t="s">
        <v>26</v>
      </c>
      <c r="G109" t="s">
        <v>45</v>
      </c>
      <c r="H109" t="s">
        <v>68</v>
      </c>
      <c r="I109" t="s">
        <v>69</v>
      </c>
      <c r="J109" t="s">
        <v>70</v>
      </c>
      <c r="K109" t="s">
        <v>71</v>
      </c>
      <c r="L109" t="s">
        <v>72</v>
      </c>
      <c r="M109" t="s">
        <v>73</v>
      </c>
      <c r="N109" t="s">
        <v>61</v>
      </c>
      <c r="O109" t="s">
        <v>310</v>
      </c>
      <c r="P109" t="s">
        <v>34</v>
      </c>
      <c r="Q109" t="s">
        <v>35</v>
      </c>
      <c r="R109" t="s">
        <v>311</v>
      </c>
      <c r="S109" t="s">
        <v>312</v>
      </c>
      <c r="T109" t="s">
        <v>313</v>
      </c>
      <c r="U109" s="10" t="s">
        <v>1061</v>
      </c>
      <c r="V109" s="10" t="s">
        <v>1074</v>
      </c>
      <c r="W109" s="10" t="s">
        <v>1087</v>
      </c>
      <c r="X109" s="10" t="s">
        <v>1059</v>
      </c>
      <c r="Y109" t="s">
        <v>39</v>
      </c>
      <c r="Z109" t="s">
        <v>40</v>
      </c>
      <c r="AA109" t="s">
        <v>63</v>
      </c>
    </row>
    <row r="110" spans="1:28" x14ac:dyDescent="0.8">
      <c r="A110">
        <v>801</v>
      </c>
      <c r="B110">
        <v>1330</v>
      </c>
      <c r="C110" s="2">
        <v>44387</v>
      </c>
      <c r="D110" t="s">
        <v>149</v>
      </c>
      <c r="E110" t="s">
        <v>103</v>
      </c>
      <c r="F110" t="s">
        <v>26</v>
      </c>
      <c r="G110" t="s">
        <v>45</v>
      </c>
      <c r="H110" t="s">
        <v>68</v>
      </c>
      <c r="I110" t="s">
        <v>69</v>
      </c>
      <c r="J110" t="s">
        <v>70</v>
      </c>
      <c r="K110" t="s">
        <v>71</v>
      </c>
      <c r="L110" t="s">
        <v>72</v>
      </c>
      <c r="M110" t="s">
        <v>73</v>
      </c>
      <c r="N110" t="s">
        <v>61</v>
      </c>
      <c r="O110" t="s">
        <v>310</v>
      </c>
      <c r="P110" t="s">
        <v>34</v>
      </c>
      <c r="Q110" t="s">
        <v>35</v>
      </c>
      <c r="R110" t="s">
        <v>311</v>
      </c>
      <c r="S110" t="s">
        <v>312</v>
      </c>
      <c r="T110" t="s">
        <v>313</v>
      </c>
      <c r="U110" s="10" t="s">
        <v>1061</v>
      </c>
      <c r="V110" s="10" t="s">
        <v>1074</v>
      </c>
      <c r="W110" s="10" t="s">
        <v>1087</v>
      </c>
      <c r="X110" s="10" t="s">
        <v>1059</v>
      </c>
      <c r="Y110" t="s">
        <v>39</v>
      </c>
      <c r="Z110" t="s">
        <v>40</v>
      </c>
      <c r="AA110" t="s">
        <v>63</v>
      </c>
    </row>
    <row r="111" spans="1:28" x14ac:dyDescent="0.8">
      <c r="A111">
        <v>1260</v>
      </c>
      <c r="B111">
        <v>1907</v>
      </c>
      <c r="C111" s="2">
        <v>44387</v>
      </c>
      <c r="D111" t="s">
        <v>102</v>
      </c>
      <c r="E111" t="s">
        <v>63</v>
      </c>
      <c r="F111" t="s">
        <v>26</v>
      </c>
      <c r="G111" t="s">
        <v>45</v>
      </c>
      <c r="H111" t="s">
        <v>68</v>
      </c>
      <c r="I111" t="s">
        <v>69</v>
      </c>
      <c r="J111" t="s">
        <v>70</v>
      </c>
      <c r="K111" t="s">
        <v>71</v>
      </c>
      <c r="L111" t="s">
        <v>72</v>
      </c>
      <c r="M111" t="s">
        <v>73</v>
      </c>
      <c r="N111" t="s">
        <v>61</v>
      </c>
      <c r="O111" t="s">
        <v>310</v>
      </c>
      <c r="P111" t="s">
        <v>34</v>
      </c>
      <c r="Q111" t="s">
        <v>35</v>
      </c>
      <c r="R111" t="s">
        <v>311</v>
      </c>
      <c r="S111" t="s">
        <v>312</v>
      </c>
      <c r="T111" t="s">
        <v>313</v>
      </c>
      <c r="U111" s="10" t="s">
        <v>1061</v>
      </c>
      <c r="V111" s="10" t="s">
        <v>1074</v>
      </c>
      <c r="W111" s="10" t="s">
        <v>1087</v>
      </c>
      <c r="X111" s="10" t="s">
        <v>1059</v>
      </c>
      <c r="Y111" t="s">
        <v>39</v>
      </c>
      <c r="Z111" t="s">
        <v>40</v>
      </c>
      <c r="AA111" t="s">
        <v>63</v>
      </c>
    </row>
    <row r="112" spans="1:28" x14ac:dyDescent="0.8">
      <c r="A112">
        <v>1251</v>
      </c>
      <c r="B112">
        <v>1848</v>
      </c>
      <c r="C112" s="2">
        <v>44387</v>
      </c>
      <c r="D112" t="s">
        <v>102</v>
      </c>
      <c r="E112" t="s">
        <v>63</v>
      </c>
      <c r="F112" t="s">
        <v>26</v>
      </c>
      <c r="G112" t="s">
        <v>45</v>
      </c>
      <c r="H112" t="s">
        <v>46</v>
      </c>
      <c r="I112" t="s">
        <v>47</v>
      </c>
      <c r="J112" t="s">
        <v>48</v>
      </c>
      <c r="K112" t="s">
        <v>141</v>
      </c>
      <c r="L112" t="s">
        <v>142</v>
      </c>
      <c r="M112" t="s">
        <v>143</v>
      </c>
      <c r="N112" t="s">
        <v>61</v>
      </c>
      <c r="O112" t="s">
        <v>318</v>
      </c>
      <c r="P112" t="s">
        <v>34</v>
      </c>
      <c r="Q112" t="s">
        <v>35</v>
      </c>
      <c r="R112" t="s">
        <v>311</v>
      </c>
      <c r="S112" t="s">
        <v>131</v>
      </c>
      <c r="T112" t="s">
        <v>313</v>
      </c>
      <c r="U112" s="10" t="s">
        <v>1061</v>
      </c>
      <c r="V112" s="10" t="s">
        <v>1074</v>
      </c>
      <c r="W112" s="10" t="s">
        <v>1087</v>
      </c>
      <c r="X112" s="10" t="s">
        <v>1059</v>
      </c>
      <c r="Y112" t="s">
        <v>39</v>
      </c>
      <c r="Z112" t="s">
        <v>40</v>
      </c>
      <c r="AA112" t="s">
        <v>63</v>
      </c>
    </row>
    <row r="113" spans="1:27" x14ac:dyDescent="0.8">
      <c r="A113">
        <v>715</v>
      </c>
      <c r="B113">
        <v>1148</v>
      </c>
      <c r="C113" s="2">
        <v>44385</v>
      </c>
      <c r="D113" t="s">
        <v>133</v>
      </c>
      <c r="E113" t="s">
        <v>25</v>
      </c>
      <c r="F113" t="s">
        <v>26</v>
      </c>
      <c r="G113" t="s">
        <v>45</v>
      </c>
      <c r="H113" t="s">
        <v>68</v>
      </c>
      <c r="I113" t="s">
        <v>69</v>
      </c>
      <c r="J113" t="s">
        <v>70</v>
      </c>
      <c r="K113" t="s">
        <v>71</v>
      </c>
      <c r="L113" t="s">
        <v>72</v>
      </c>
      <c r="M113" t="s">
        <v>73</v>
      </c>
      <c r="N113" t="s">
        <v>61</v>
      </c>
      <c r="O113" t="s">
        <v>310</v>
      </c>
      <c r="P113" t="s">
        <v>34</v>
      </c>
      <c r="Q113" t="s">
        <v>35</v>
      </c>
      <c r="R113" t="s">
        <v>311</v>
      </c>
      <c r="S113" t="s">
        <v>312</v>
      </c>
      <c r="T113" t="s">
        <v>313</v>
      </c>
      <c r="U113" s="10" t="s">
        <v>1061</v>
      </c>
      <c r="V113" s="10" t="s">
        <v>1074</v>
      </c>
      <c r="W113" s="10" t="s">
        <v>1087</v>
      </c>
      <c r="X113" s="10" t="s">
        <v>1059</v>
      </c>
      <c r="Y113" t="s">
        <v>39</v>
      </c>
      <c r="Z113" t="s">
        <v>62</v>
      </c>
      <c r="AA113" t="s">
        <v>63</v>
      </c>
    </row>
    <row r="114" spans="1:27" x14ac:dyDescent="0.8">
      <c r="A114">
        <v>695</v>
      </c>
      <c r="B114">
        <v>1080</v>
      </c>
      <c r="C114" s="2">
        <v>44385</v>
      </c>
      <c r="D114" t="s">
        <v>133</v>
      </c>
      <c r="E114" t="s">
        <v>103</v>
      </c>
      <c r="F114" t="s">
        <v>26</v>
      </c>
      <c r="G114" t="s">
        <v>45</v>
      </c>
      <c r="H114" t="s">
        <v>68</v>
      </c>
      <c r="I114" t="s">
        <v>69</v>
      </c>
      <c r="J114" t="s">
        <v>70</v>
      </c>
      <c r="K114" t="s">
        <v>71</v>
      </c>
      <c r="L114" t="s">
        <v>72</v>
      </c>
      <c r="M114" t="s">
        <v>73</v>
      </c>
      <c r="N114" t="s">
        <v>61</v>
      </c>
      <c r="O114" t="s">
        <v>310</v>
      </c>
      <c r="P114" t="s">
        <v>34</v>
      </c>
      <c r="Q114" t="s">
        <v>35</v>
      </c>
      <c r="R114" t="s">
        <v>311</v>
      </c>
      <c r="S114" t="s">
        <v>312</v>
      </c>
      <c r="T114" t="s">
        <v>313</v>
      </c>
      <c r="U114" s="10" t="s">
        <v>1061</v>
      </c>
      <c r="V114" s="10" t="s">
        <v>1074</v>
      </c>
      <c r="W114" s="10" t="s">
        <v>1087</v>
      </c>
      <c r="X114" s="10" t="s">
        <v>1059</v>
      </c>
      <c r="Y114" t="s">
        <v>39</v>
      </c>
      <c r="Z114" t="s">
        <v>40</v>
      </c>
      <c r="AA114" t="s">
        <v>63</v>
      </c>
    </row>
    <row r="115" spans="1:27" x14ac:dyDescent="0.8">
      <c r="A115">
        <v>687</v>
      </c>
      <c r="B115">
        <v>1072</v>
      </c>
      <c r="C115" s="2">
        <v>44385</v>
      </c>
      <c r="D115" t="s">
        <v>133</v>
      </c>
      <c r="E115" t="s">
        <v>25</v>
      </c>
      <c r="F115" t="s">
        <v>26</v>
      </c>
      <c r="G115" t="s">
        <v>45</v>
      </c>
      <c r="H115" t="s">
        <v>68</v>
      </c>
      <c r="I115" t="s">
        <v>69</v>
      </c>
      <c r="J115" t="s">
        <v>70</v>
      </c>
      <c r="K115" t="s">
        <v>71</v>
      </c>
      <c r="L115" t="s">
        <v>72</v>
      </c>
      <c r="M115" t="s">
        <v>73</v>
      </c>
      <c r="N115" t="s">
        <v>61</v>
      </c>
      <c r="O115" t="s">
        <v>310</v>
      </c>
      <c r="P115" t="s">
        <v>34</v>
      </c>
      <c r="Q115" t="s">
        <v>35</v>
      </c>
      <c r="R115" t="s">
        <v>311</v>
      </c>
      <c r="S115" t="s">
        <v>312</v>
      </c>
      <c r="T115" t="s">
        <v>313</v>
      </c>
      <c r="U115" s="10" t="s">
        <v>1061</v>
      </c>
      <c r="V115" s="10" t="s">
        <v>1074</v>
      </c>
      <c r="W115" s="10" t="s">
        <v>1087</v>
      </c>
      <c r="X115" s="10" t="s">
        <v>1059</v>
      </c>
      <c r="Y115" t="s">
        <v>39</v>
      </c>
      <c r="Z115" t="s">
        <v>62</v>
      </c>
      <c r="AA115" t="s">
        <v>63</v>
      </c>
    </row>
    <row r="116" spans="1:27" x14ac:dyDescent="0.8">
      <c r="A116">
        <v>684</v>
      </c>
      <c r="B116">
        <v>1069</v>
      </c>
      <c r="C116" s="2">
        <v>44385</v>
      </c>
      <c r="D116" t="s">
        <v>133</v>
      </c>
      <c r="E116" t="s">
        <v>25</v>
      </c>
      <c r="F116" t="s">
        <v>26</v>
      </c>
      <c r="G116" t="s">
        <v>45</v>
      </c>
      <c r="H116" t="s">
        <v>68</v>
      </c>
      <c r="I116" t="s">
        <v>69</v>
      </c>
      <c r="J116" t="s">
        <v>70</v>
      </c>
      <c r="K116" t="s">
        <v>71</v>
      </c>
      <c r="L116" t="s">
        <v>72</v>
      </c>
      <c r="M116" t="s">
        <v>73</v>
      </c>
      <c r="N116" t="s">
        <v>61</v>
      </c>
      <c r="O116" t="s">
        <v>310</v>
      </c>
      <c r="P116" t="s">
        <v>34</v>
      </c>
      <c r="Q116" t="s">
        <v>35</v>
      </c>
      <c r="R116" t="s">
        <v>311</v>
      </c>
      <c r="S116" t="s">
        <v>312</v>
      </c>
      <c r="T116" t="s">
        <v>313</v>
      </c>
      <c r="U116" s="10" t="s">
        <v>1061</v>
      </c>
      <c r="V116" s="10" t="s">
        <v>1074</v>
      </c>
      <c r="W116" s="10" t="s">
        <v>1087</v>
      </c>
      <c r="X116" s="10" t="s">
        <v>1059</v>
      </c>
      <c r="Y116" t="s">
        <v>39</v>
      </c>
      <c r="Z116" t="s">
        <v>62</v>
      </c>
      <c r="AA116" t="s">
        <v>63</v>
      </c>
    </row>
    <row r="117" spans="1:27" x14ac:dyDescent="0.8">
      <c r="A117">
        <v>677</v>
      </c>
      <c r="B117">
        <v>1062</v>
      </c>
      <c r="C117" s="2">
        <v>44385</v>
      </c>
      <c r="D117" t="s">
        <v>133</v>
      </c>
      <c r="E117" t="s">
        <v>44</v>
      </c>
      <c r="F117" t="s">
        <v>26</v>
      </c>
      <c r="G117" t="s">
        <v>45</v>
      </c>
      <c r="H117" t="s">
        <v>68</v>
      </c>
      <c r="I117" t="s">
        <v>69</v>
      </c>
      <c r="J117" t="s">
        <v>70</v>
      </c>
      <c r="K117" t="s">
        <v>71</v>
      </c>
      <c r="L117" t="s">
        <v>72</v>
      </c>
      <c r="M117" t="s">
        <v>73</v>
      </c>
      <c r="N117" t="s">
        <v>61</v>
      </c>
      <c r="O117" t="s">
        <v>310</v>
      </c>
      <c r="P117" t="s">
        <v>34</v>
      </c>
      <c r="Q117" t="s">
        <v>35</v>
      </c>
      <c r="R117" t="s">
        <v>311</v>
      </c>
      <c r="S117" t="s">
        <v>312</v>
      </c>
      <c r="T117" t="s">
        <v>313</v>
      </c>
      <c r="U117" s="10" t="s">
        <v>1061</v>
      </c>
      <c r="V117" s="10" t="s">
        <v>1074</v>
      </c>
      <c r="W117" s="10" t="s">
        <v>1087</v>
      </c>
      <c r="X117" s="10" t="s">
        <v>1059</v>
      </c>
      <c r="Y117" t="s">
        <v>39</v>
      </c>
      <c r="Z117" t="s">
        <v>40</v>
      </c>
      <c r="AA117" t="s">
        <v>63</v>
      </c>
    </row>
    <row r="118" spans="1:27" x14ac:dyDescent="0.8">
      <c r="A118">
        <v>669</v>
      </c>
      <c r="B118">
        <v>1054</v>
      </c>
      <c r="C118" s="2">
        <v>44385</v>
      </c>
      <c r="D118" t="s">
        <v>133</v>
      </c>
      <c r="E118" t="s">
        <v>25</v>
      </c>
      <c r="F118" t="s">
        <v>26</v>
      </c>
      <c r="G118" t="s">
        <v>45</v>
      </c>
      <c r="H118" t="s">
        <v>68</v>
      </c>
      <c r="I118" t="s">
        <v>69</v>
      </c>
      <c r="J118" t="s">
        <v>70</v>
      </c>
      <c r="K118" t="s">
        <v>71</v>
      </c>
      <c r="L118" t="s">
        <v>72</v>
      </c>
      <c r="M118" t="s">
        <v>73</v>
      </c>
      <c r="N118" t="s">
        <v>61</v>
      </c>
      <c r="O118" t="s">
        <v>310</v>
      </c>
      <c r="P118" t="s">
        <v>34</v>
      </c>
      <c r="Q118" t="s">
        <v>35</v>
      </c>
      <c r="R118" t="s">
        <v>311</v>
      </c>
      <c r="S118" t="s">
        <v>312</v>
      </c>
      <c r="T118" t="s">
        <v>313</v>
      </c>
      <c r="U118" s="10" t="s">
        <v>1061</v>
      </c>
      <c r="V118" s="10" t="s">
        <v>1074</v>
      </c>
      <c r="W118" s="10" t="s">
        <v>1087</v>
      </c>
      <c r="X118" s="10" t="s">
        <v>1059</v>
      </c>
      <c r="Y118" t="s">
        <v>140</v>
      </c>
      <c r="Z118" t="s">
        <v>62</v>
      </c>
      <c r="AA118" t="s">
        <v>63</v>
      </c>
    </row>
    <row r="119" spans="1:27" x14ac:dyDescent="0.8">
      <c r="A119">
        <v>663</v>
      </c>
      <c r="B119">
        <v>290</v>
      </c>
      <c r="C119" s="2">
        <v>44385</v>
      </c>
      <c r="D119" t="s">
        <v>133</v>
      </c>
      <c r="E119" t="s">
        <v>25</v>
      </c>
      <c r="F119" t="s">
        <v>26</v>
      </c>
      <c r="G119" t="s">
        <v>45</v>
      </c>
      <c r="H119" t="s">
        <v>68</v>
      </c>
      <c r="I119" t="s">
        <v>69</v>
      </c>
      <c r="J119" t="s">
        <v>70</v>
      </c>
      <c r="K119" t="s">
        <v>71</v>
      </c>
      <c r="L119" t="s">
        <v>72</v>
      </c>
      <c r="M119" t="s">
        <v>73</v>
      </c>
      <c r="N119" t="s">
        <v>61</v>
      </c>
      <c r="O119" t="s">
        <v>310</v>
      </c>
      <c r="P119" t="s">
        <v>34</v>
      </c>
      <c r="Q119" t="s">
        <v>35</v>
      </c>
      <c r="R119" t="s">
        <v>311</v>
      </c>
      <c r="S119" t="s">
        <v>312</v>
      </c>
      <c r="T119" t="s">
        <v>313</v>
      </c>
      <c r="U119" s="10" t="s">
        <v>1061</v>
      </c>
      <c r="V119" s="10" t="s">
        <v>1074</v>
      </c>
      <c r="W119" s="10" t="s">
        <v>1087</v>
      </c>
      <c r="X119" s="10" t="s">
        <v>1059</v>
      </c>
      <c r="Y119" t="s">
        <v>140</v>
      </c>
      <c r="Z119" t="s">
        <v>62</v>
      </c>
      <c r="AA119" t="s">
        <v>63</v>
      </c>
    </row>
    <row r="120" spans="1:27" x14ac:dyDescent="0.8">
      <c r="A120">
        <v>661</v>
      </c>
      <c r="B120">
        <v>998</v>
      </c>
      <c r="C120" s="2">
        <v>44385</v>
      </c>
      <c r="D120" t="s">
        <v>133</v>
      </c>
      <c r="E120" t="s">
        <v>25</v>
      </c>
      <c r="F120" t="s">
        <v>26</v>
      </c>
      <c r="G120" t="s">
        <v>45</v>
      </c>
      <c r="H120" t="s">
        <v>68</v>
      </c>
      <c r="I120" t="s">
        <v>69</v>
      </c>
      <c r="J120" t="s">
        <v>70</v>
      </c>
      <c r="K120" t="s">
        <v>71</v>
      </c>
      <c r="L120" t="s">
        <v>72</v>
      </c>
      <c r="M120" t="s">
        <v>73</v>
      </c>
      <c r="N120" t="s">
        <v>61</v>
      </c>
      <c r="O120" t="s">
        <v>310</v>
      </c>
      <c r="P120" t="s">
        <v>34</v>
      </c>
      <c r="Q120" t="s">
        <v>35</v>
      </c>
      <c r="R120" t="s">
        <v>311</v>
      </c>
      <c r="S120" t="s">
        <v>312</v>
      </c>
      <c r="T120" t="s">
        <v>313</v>
      </c>
      <c r="U120" s="10" t="s">
        <v>1061</v>
      </c>
      <c r="V120" s="10" t="s">
        <v>1074</v>
      </c>
      <c r="W120" s="10" t="s">
        <v>1087</v>
      </c>
      <c r="X120" s="10" t="s">
        <v>1059</v>
      </c>
      <c r="Y120" t="s">
        <v>140</v>
      </c>
      <c r="Z120" t="s">
        <v>40</v>
      </c>
      <c r="AA120" t="s">
        <v>63</v>
      </c>
    </row>
    <row r="121" spans="1:27" x14ac:dyDescent="0.8">
      <c r="A121">
        <v>660</v>
      </c>
      <c r="B121">
        <v>997</v>
      </c>
      <c r="C121" s="2">
        <v>44385</v>
      </c>
      <c r="D121" t="s">
        <v>133</v>
      </c>
      <c r="E121" t="s">
        <v>25</v>
      </c>
      <c r="F121" t="s">
        <v>26</v>
      </c>
      <c r="G121" t="s">
        <v>45</v>
      </c>
      <c r="H121" t="s">
        <v>68</v>
      </c>
      <c r="I121" t="s">
        <v>69</v>
      </c>
      <c r="J121" t="s">
        <v>70</v>
      </c>
      <c r="K121" t="s">
        <v>71</v>
      </c>
      <c r="L121" t="s">
        <v>72</v>
      </c>
      <c r="M121" t="s">
        <v>73</v>
      </c>
      <c r="N121" t="s">
        <v>61</v>
      </c>
      <c r="O121" t="s">
        <v>310</v>
      </c>
      <c r="P121" t="s">
        <v>34</v>
      </c>
      <c r="Q121" t="s">
        <v>35</v>
      </c>
      <c r="R121" t="s">
        <v>311</v>
      </c>
      <c r="S121" t="s">
        <v>312</v>
      </c>
      <c r="T121" t="s">
        <v>313</v>
      </c>
      <c r="U121" s="10" t="s">
        <v>1061</v>
      </c>
      <c r="V121" s="10" t="s">
        <v>1074</v>
      </c>
      <c r="W121" s="10" t="s">
        <v>1087</v>
      </c>
      <c r="X121" s="10" t="s">
        <v>1059</v>
      </c>
      <c r="Y121" t="s">
        <v>140</v>
      </c>
      <c r="Z121" t="s">
        <v>62</v>
      </c>
      <c r="AA121" t="s">
        <v>63</v>
      </c>
    </row>
    <row r="122" spans="1:27" x14ac:dyDescent="0.8">
      <c r="A122">
        <v>689</v>
      </c>
      <c r="B122">
        <v>1074</v>
      </c>
      <c r="C122" s="2">
        <v>44385</v>
      </c>
      <c r="D122" t="s">
        <v>133</v>
      </c>
      <c r="E122" t="s">
        <v>103</v>
      </c>
      <c r="F122" t="s">
        <v>26</v>
      </c>
      <c r="G122" t="s">
        <v>45</v>
      </c>
      <c r="H122" t="s">
        <v>68</v>
      </c>
      <c r="I122" t="s">
        <v>69</v>
      </c>
      <c r="J122" t="s">
        <v>70</v>
      </c>
      <c r="K122" t="s">
        <v>71</v>
      </c>
      <c r="L122" t="s">
        <v>72</v>
      </c>
      <c r="M122" t="s">
        <v>73</v>
      </c>
      <c r="N122" t="s">
        <v>61</v>
      </c>
      <c r="O122" t="s">
        <v>310</v>
      </c>
      <c r="P122" t="s">
        <v>34</v>
      </c>
      <c r="Q122" t="s">
        <v>35</v>
      </c>
      <c r="R122" t="s">
        <v>311</v>
      </c>
      <c r="S122" t="s">
        <v>312</v>
      </c>
      <c r="T122" t="s">
        <v>313</v>
      </c>
      <c r="U122" s="10" t="s">
        <v>1061</v>
      </c>
      <c r="V122" s="10" t="s">
        <v>1074</v>
      </c>
      <c r="W122" s="10" t="s">
        <v>1087</v>
      </c>
      <c r="X122" s="10" t="s">
        <v>1059</v>
      </c>
      <c r="Y122" t="s">
        <v>39</v>
      </c>
      <c r="Z122" t="s">
        <v>40</v>
      </c>
      <c r="AA122" t="s">
        <v>63</v>
      </c>
    </row>
    <row r="123" spans="1:27" x14ac:dyDescent="0.8">
      <c r="A123">
        <v>702</v>
      </c>
      <c r="B123">
        <v>419</v>
      </c>
      <c r="C123" s="2">
        <v>44385</v>
      </c>
      <c r="D123" t="s">
        <v>133</v>
      </c>
      <c r="E123" t="s">
        <v>25</v>
      </c>
      <c r="F123" t="s">
        <v>26</v>
      </c>
      <c r="G123" t="s">
        <v>45</v>
      </c>
      <c r="H123" t="s">
        <v>155</v>
      </c>
      <c r="I123" t="s">
        <v>69</v>
      </c>
      <c r="J123" t="s">
        <v>156</v>
      </c>
      <c r="K123" t="s">
        <v>157</v>
      </c>
      <c r="L123" t="s">
        <v>158</v>
      </c>
      <c r="M123" t="s">
        <v>159</v>
      </c>
      <c r="N123" t="s">
        <v>61</v>
      </c>
      <c r="O123" t="s">
        <v>310</v>
      </c>
      <c r="P123" t="s">
        <v>34</v>
      </c>
      <c r="Q123" t="s">
        <v>35</v>
      </c>
      <c r="R123" t="s">
        <v>311</v>
      </c>
      <c r="S123" t="s">
        <v>312</v>
      </c>
      <c r="T123" t="s">
        <v>313</v>
      </c>
      <c r="U123" s="10" t="s">
        <v>1061</v>
      </c>
      <c r="V123" s="10" t="s">
        <v>1074</v>
      </c>
      <c r="W123" s="10" t="s">
        <v>1087</v>
      </c>
      <c r="X123" s="10" t="s">
        <v>1059</v>
      </c>
      <c r="Y123" t="s">
        <v>39</v>
      </c>
      <c r="Z123" t="s">
        <v>40</v>
      </c>
      <c r="AA123" t="s">
        <v>63</v>
      </c>
    </row>
    <row r="124" spans="1:27" x14ac:dyDescent="0.8">
      <c r="A124">
        <v>666</v>
      </c>
      <c r="B124">
        <v>293</v>
      </c>
      <c r="C124" s="2">
        <v>44385</v>
      </c>
      <c r="D124" t="s">
        <v>133</v>
      </c>
      <c r="E124" t="s">
        <v>25</v>
      </c>
      <c r="F124" t="s">
        <v>26</v>
      </c>
      <c r="G124" t="s">
        <v>45</v>
      </c>
      <c r="H124" t="s">
        <v>46</v>
      </c>
      <c r="I124" t="s">
        <v>47</v>
      </c>
      <c r="J124" t="s">
        <v>48</v>
      </c>
      <c r="K124" t="s">
        <v>49</v>
      </c>
      <c r="L124" t="s">
        <v>91</v>
      </c>
      <c r="M124" t="s">
        <v>92</v>
      </c>
      <c r="N124" t="s">
        <v>61</v>
      </c>
      <c r="O124" t="s">
        <v>310</v>
      </c>
      <c r="P124" t="s">
        <v>34</v>
      </c>
      <c r="Q124" t="s">
        <v>35</v>
      </c>
      <c r="R124" t="s">
        <v>311</v>
      </c>
      <c r="S124" t="s">
        <v>312</v>
      </c>
      <c r="T124" t="s">
        <v>313</v>
      </c>
      <c r="U124" s="10" t="s">
        <v>1061</v>
      </c>
      <c r="V124" s="10" t="s">
        <v>1074</v>
      </c>
      <c r="W124" s="10" t="s">
        <v>1087</v>
      </c>
      <c r="X124" s="10" t="s">
        <v>1059</v>
      </c>
      <c r="Y124" t="s">
        <v>140</v>
      </c>
      <c r="Z124" t="s">
        <v>62</v>
      </c>
      <c r="AA124" t="s">
        <v>63</v>
      </c>
    </row>
    <row r="125" spans="1:27" x14ac:dyDescent="0.8">
      <c r="A125">
        <v>665</v>
      </c>
      <c r="B125">
        <v>292</v>
      </c>
      <c r="C125" s="2">
        <v>44385</v>
      </c>
      <c r="D125" t="s">
        <v>133</v>
      </c>
      <c r="E125" t="s">
        <v>63</v>
      </c>
      <c r="F125" t="s">
        <v>26</v>
      </c>
      <c r="G125" t="s">
        <v>45</v>
      </c>
      <c r="H125" t="s">
        <v>68</v>
      </c>
      <c r="I125" t="s">
        <v>69</v>
      </c>
      <c r="J125" t="s">
        <v>70</v>
      </c>
      <c r="K125" t="s">
        <v>71</v>
      </c>
      <c r="L125" t="s">
        <v>72</v>
      </c>
      <c r="M125" t="s">
        <v>73</v>
      </c>
      <c r="N125" t="s">
        <v>61</v>
      </c>
      <c r="O125" t="s">
        <v>318</v>
      </c>
      <c r="P125" t="s">
        <v>34</v>
      </c>
      <c r="Q125" t="s">
        <v>35</v>
      </c>
      <c r="R125" t="s">
        <v>311</v>
      </c>
      <c r="S125" t="s">
        <v>131</v>
      </c>
      <c r="T125" t="s">
        <v>313</v>
      </c>
      <c r="U125" s="10" t="s">
        <v>1061</v>
      </c>
      <c r="V125" s="10" t="s">
        <v>1074</v>
      </c>
      <c r="W125" s="10" t="s">
        <v>1087</v>
      </c>
      <c r="X125" s="10" t="s">
        <v>1059</v>
      </c>
      <c r="Y125" t="s">
        <v>140</v>
      </c>
      <c r="Z125" t="s">
        <v>40</v>
      </c>
      <c r="AA125" t="s">
        <v>63</v>
      </c>
    </row>
    <row r="126" spans="1:27" x14ac:dyDescent="0.8">
      <c r="A126">
        <v>1713</v>
      </c>
      <c r="B126">
        <v>800</v>
      </c>
      <c r="C126" s="2">
        <v>44384</v>
      </c>
      <c r="D126" t="s">
        <v>151</v>
      </c>
      <c r="E126" t="s">
        <v>25</v>
      </c>
      <c r="F126" t="s">
        <v>26</v>
      </c>
      <c r="G126" t="s">
        <v>45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61</v>
      </c>
      <c r="O126" t="s">
        <v>310</v>
      </c>
      <c r="P126" t="s">
        <v>34</v>
      </c>
      <c r="Q126" t="s">
        <v>35</v>
      </c>
      <c r="R126" t="s">
        <v>311</v>
      </c>
      <c r="S126" t="s">
        <v>312</v>
      </c>
      <c r="T126" t="s">
        <v>313</v>
      </c>
      <c r="U126" s="10" t="s">
        <v>1061</v>
      </c>
      <c r="V126" s="10" t="s">
        <v>1074</v>
      </c>
      <c r="W126" s="10" t="s">
        <v>1087</v>
      </c>
      <c r="X126" s="10" t="s">
        <v>1059</v>
      </c>
      <c r="Y126" t="s">
        <v>39</v>
      </c>
      <c r="Z126" t="s">
        <v>40</v>
      </c>
      <c r="AA126" t="s">
        <v>41</v>
      </c>
    </row>
    <row r="127" spans="1:27" x14ac:dyDescent="0.8">
      <c r="A127">
        <v>227</v>
      </c>
      <c r="B127">
        <v>1127</v>
      </c>
      <c r="C127" s="2">
        <v>44384</v>
      </c>
      <c r="D127" t="s">
        <v>151</v>
      </c>
      <c r="E127" t="s">
        <v>25</v>
      </c>
      <c r="F127" t="s">
        <v>26</v>
      </c>
      <c r="G127" t="s">
        <v>45</v>
      </c>
      <c r="H127" t="s">
        <v>68</v>
      </c>
      <c r="I127" t="s">
        <v>69</v>
      </c>
      <c r="J127" t="s">
        <v>70</v>
      </c>
      <c r="K127" t="s">
        <v>71</v>
      </c>
      <c r="L127" t="s">
        <v>72</v>
      </c>
      <c r="M127" t="s">
        <v>73</v>
      </c>
      <c r="N127" t="s">
        <v>61</v>
      </c>
      <c r="O127" t="s">
        <v>310</v>
      </c>
      <c r="P127" t="s">
        <v>34</v>
      </c>
      <c r="Q127" t="s">
        <v>35</v>
      </c>
      <c r="R127" t="s">
        <v>311</v>
      </c>
      <c r="S127" t="s">
        <v>312</v>
      </c>
      <c r="T127" t="s">
        <v>313</v>
      </c>
      <c r="U127" s="10" t="s">
        <v>1061</v>
      </c>
      <c r="V127" s="10" t="s">
        <v>1074</v>
      </c>
      <c r="W127" s="10" t="s">
        <v>1087</v>
      </c>
      <c r="X127" s="10" t="s">
        <v>1059</v>
      </c>
      <c r="Y127" t="s">
        <v>39</v>
      </c>
      <c r="Z127" t="s">
        <v>40</v>
      </c>
      <c r="AA127" t="s">
        <v>53</v>
      </c>
    </row>
    <row r="128" spans="1:27" x14ac:dyDescent="0.8">
      <c r="A128">
        <v>204</v>
      </c>
      <c r="B128">
        <v>1430</v>
      </c>
      <c r="C128" s="2">
        <v>44388</v>
      </c>
      <c r="D128" t="s">
        <v>124</v>
      </c>
      <c r="E128" t="s">
        <v>25</v>
      </c>
      <c r="F128" t="s">
        <v>26</v>
      </c>
      <c r="G128" t="s">
        <v>45</v>
      </c>
      <c r="H128" t="s">
        <v>68</v>
      </c>
      <c r="I128" t="s">
        <v>69</v>
      </c>
      <c r="J128" t="s">
        <v>70</v>
      </c>
      <c r="K128" t="s">
        <v>71</v>
      </c>
      <c r="L128" t="s">
        <v>72</v>
      </c>
      <c r="M128" t="s">
        <v>73</v>
      </c>
      <c r="N128" t="s">
        <v>61</v>
      </c>
      <c r="O128" t="s">
        <v>310</v>
      </c>
      <c r="P128" t="s">
        <v>34</v>
      </c>
      <c r="Q128" t="s">
        <v>35</v>
      </c>
      <c r="R128" t="s">
        <v>311</v>
      </c>
      <c r="S128" t="s">
        <v>312</v>
      </c>
      <c r="T128" t="s">
        <v>313</v>
      </c>
      <c r="U128" s="10" t="s">
        <v>1061</v>
      </c>
      <c r="V128" s="10" t="s">
        <v>1074</v>
      </c>
      <c r="W128" s="10" t="s">
        <v>1087</v>
      </c>
      <c r="X128" s="10" t="s">
        <v>1059</v>
      </c>
      <c r="Y128" t="s">
        <v>39</v>
      </c>
      <c r="Z128" t="s">
        <v>40</v>
      </c>
      <c r="AA128" t="s">
        <v>53</v>
      </c>
    </row>
    <row r="129" spans="1:27" x14ac:dyDescent="0.8">
      <c r="A129">
        <v>255</v>
      </c>
      <c r="B129">
        <v>1381</v>
      </c>
      <c r="C129" s="2">
        <v>44384</v>
      </c>
      <c r="D129" t="s">
        <v>24</v>
      </c>
      <c r="E129" t="s">
        <v>25</v>
      </c>
      <c r="F129" t="s">
        <v>26</v>
      </c>
      <c r="G129" t="s">
        <v>45</v>
      </c>
      <c r="H129" t="s">
        <v>68</v>
      </c>
      <c r="I129" t="s">
        <v>69</v>
      </c>
      <c r="J129" t="s">
        <v>70</v>
      </c>
      <c r="K129" t="s">
        <v>71</v>
      </c>
      <c r="L129" t="s">
        <v>72</v>
      </c>
      <c r="M129" t="s">
        <v>73</v>
      </c>
      <c r="N129" t="s">
        <v>61</v>
      </c>
      <c r="O129" t="s">
        <v>928</v>
      </c>
      <c r="P129" t="s">
        <v>85</v>
      </c>
      <c r="Q129" t="s">
        <v>359</v>
      </c>
      <c r="R129" t="s">
        <v>911</v>
      </c>
      <c r="S129" s="3" t="s">
        <v>207</v>
      </c>
      <c r="T129" t="s">
        <v>929</v>
      </c>
      <c r="U129" s="10" t="s">
        <v>1061</v>
      </c>
      <c r="V129" s="10" t="s">
        <v>1074</v>
      </c>
      <c r="W129" s="10" t="s">
        <v>1065</v>
      </c>
      <c r="X129" s="10" t="s">
        <v>1080</v>
      </c>
      <c r="Y129" t="s">
        <v>39</v>
      </c>
      <c r="Z129" t="s">
        <v>40</v>
      </c>
      <c r="AA129" t="s">
        <v>53</v>
      </c>
    </row>
    <row r="130" spans="1:27" x14ac:dyDescent="0.8">
      <c r="A130">
        <v>1753</v>
      </c>
      <c r="B130">
        <v>91</v>
      </c>
      <c r="C130" s="2">
        <v>44384</v>
      </c>
      <c r="D130" t="s">
        <v>24</v>
      </c>
      <c r="E130" t="s">
        <v>125</v>
      </c>
      <c r="F130" t="s">
        <v>26</v>
      </c>
      <c r="G130" t="s">
        <v>45</v>
      </c>
      <c r="H130" t="s">
        <v>155</v>
      </c>
      <c r="I130" t="s">
        <v>69</v>
      </c>
      <c r="J130" t="s">
        <v>156</v>
      </c>
      <c r="K130" t="s">
        <v>157</v>
      </c>
      <c r="L130" t="s">
        <v>158</v>
      </c>
      <c r="M130" t="s">
        <v>159</v>
      </c>
      <c r="N130" t="s">
        <v>52</v>
      </c>
      <c r="O130" t="s">
        <v>930</v>
      </c>
      <c r="P130" t="s">
        <v>85</v>
      </c>
      <c r="Q130" t="s">
        <v>359</v>
      </c>
      <c r="R130" t="s">
        <v>911</v>
      </c>
      <c r="S130" t="s">
        <v>207</v>
      </c>
      <c r="T130" t="s">
        <v>929</v>
      </c>
      <c r="U130" s="10" t="s">
        <v>1061</v>
      </c>
      <c r="V130" s="10" t="s">
        <v>1074</v>
      </c>
      <c r="W130" s="10" t="s">
        <v>1065</v>
      </c>
      <c r="X130" s="10" t="s">
        <v>1080</v>
      </c>
      <c r="Y130" t="s">
        <v>39</v>
      </c>
      <c r="Z130" t="s">
        <v>40</v>
      </c>
      <c r="AA130" t="s">
        <v>41</v>
      </c>
    </row>
    <row r="131" spans="1:27" x14ac:dyDescent="0.8">
      <c r="A131">
        <v>2</v>
      </c>
      <c r="B131">
        <v>2</v>
      </c>
      <c r="C131" s="2">
        <v>44384</v>
      </c>
      <c r="D131" t="s">
        <v>24</v>
      </c>
      <c r="E131" t="s">
        <v>63</v>
      </c>
      <c r="F131" t="s">
        <v>26</v>
      </c>
      <c r="G131" t="s">
        <v>45</v>
      </c>
      <c r="H131" t="s">
        <v>46</v>
      </c>
      <c r="I131" t="s">
        <v>47</v>
      </c>
      <c r="J131" t="s">
        <v>48</v>
      </c>
      <c r="K131" t="s">
        <v>49</v>
      </c>
      <c r="L131" t="s">
        <v>91</v>
      </c>
      <c r="M131" t="s">
        <v>92</v>
      </c>
      <c r="N131" t="s">
        <v>61</v>
      </c>
      <c r="O131" t="s">
        <v>928</v>
      </c>
      <c r="P131" t="s">
        <v>85</v>
      </c>
      <c r="Q131" t="s">
        <v>359</v>
      </c>
      <c r="R131" t="s">
        <v>911</v>
      </c>
      <c r="S131" s="3" t="s">
        <v>207</v>
      </c>
      <c r="T131" t="s">
        <v>929</v>
      </c>
      <c r="U131" s="10" t="s">
        <v>1061</v>
      </c>
      <c r="V131" s="10" t="s">
        <v>1074</v>
      </c>
      <c r="W131" s="10" t="s">
        <v>1065</v>
      </c>
      <c r="X131" s="10" t="s">
        <v>1080</v>
      </c>
      <c r="Y131" t="s">
        <v>140</v>
      </c>
      <c r="Z131" t="s">
        <v>40</v>
      </c>
      <c r="AA131" t="s">
        <v>25</v>
      </c>
    </row>
    <row r="132" spans="1:27" x14ac:dyDescent="0.8">
      <c r="A132">
        <v>895</v>
      </c>
      <c r="B132">
        <v>1023</v>
      </c>
      <c r="C132" s="2">
        <v>44388</v>
      </c>
      <c r="D132" t="s">
        <v>189</v>
      </c>
      <c r="E132" t="s">
        <v>125</v>
      </c>
      <c r="F132" t="s">
        <v>26</v>
      </c>
      <c r="G132" t="s">
        <v>45</v>
      </c>
      <c r="H132" t="s">
        <v>68</v>
      </c>
      <c r="I132" t="s">
        <v>69</v>
      </c>
      <c r="J132" t="s">
        <v>70</v>
      </c>
      <c r="K132" t="s">
        <v>71</v>
      </c>
      <c r="L132" t="s">
        <v>72</v>
      </c>
      <c r="M132" t="s">
        <v>73</v>
      </c>
      <c r="N132" t="s">
        <v>61</v>
      </c>
      <c r="O132" t="s">
        <v>928</v>
      </c>
      <c r="P132" t="s">
        <v>85</v>
      </c>
      <c r="Q132" t="s">
        <v>359</v>
      </c>
      <c r="R132" t="s">
        <v>911</v>
      </c>
      <c r="S132" s="3" t="s">
        <v>207</v>
      </c>
      <c r="T132" t="s">
        <v>929</v>
      </c>
      <c r="U132" s="10" t="s">
        <v>1061</v>
      </c>
      <c r="V132" s="10" t="s">
        <v>1074</v>
      </c>
      <c r="W132" s="10" t="s">
        <v>1065</v>
      </c>
      <c r="X132" s="10" t="s">
        <v>1080</v>
      </c>
      <c r="Y132" t="s">
        <v>39</v>
      </c>
      <c r="Z132" t="s">
        <v>40</v>
      </c>
      <c r="AA132" t="s">
        <v>63</v>
      </c>
    </row>
    <row r="133" spans="1:27" x14ac:dyDescent="0.8">
      <c r="A133">
        <v>906</v>
      </c>
      <c r="B133">
        <v>1034</v>
      </c>
      <c r="C133" s="2">
        <v>44388</v>
      </c>
      <c r="D133" t="s">
        <v>189</v>
      </c>
      <c r="E133" t="s">
        <v>53</v>
      </c>
      <c r="F133" t="s">
        <v>26</v>
      </c>
      <c r="G133" t="s">
        <v>45</v>
      </c>
      <c r="H133" t="s">
        <v>155</v>
      </c>
      <c r="I133" t="s">
        <v>69</v>
      </c>
      <c r="J133" t="s">
        <v>156</v>
      </c>
      <c r="K133" t="s">
        <v>157</v>
      </c>
      <c r="L133" t="s">
        <v>158</v>
      </c>
      <c r="M133" t="s">
        <v>159</v>
      </c>
      <c r="N133" t="s">
        <v>52</v>
      </c>
      <c r="O133" t="s">
        <v>928</v>
      </c>
      <c r="P133" t="s">
        <v>85</v>
      </c>
      <c r="Q133" t="s">
        <v>359</v>
      </c>
      <c r="R133" t="s">
        <v>911</v>
      </c>
      <c r="S133" s="3" t="s">
        <v>207</v>
      </c>
      <c r="T133" t="s">
        <v>929</v>
      </c>
      <c r="U133" s="10" t="s">
        <v>1061</v>
      </c>
      <c r="V133" s="10" t="s">
        <v>1074</v>
      </c>
      <c r="W133" s="10" t="s">
        <v>1065</v>
      </c>
      <c r="X133" s="10" t="s">
        <v>1080</v>
      </c>
      <c r="Y133" t="s">
        <v>39</v>
      </c>
      <c r="Z133" t="s">
        <v>40</v>
      </c>
      <c r="AA133" t="s">
        <v>63</v>
      </c>
    </row>
    <row r="134" spans="1:27" x14ac:dyDescent="0.8">
      <c r="A134">
        <v>905</v>
      </c>
      <c r="B134">
        <v>1033</v>
      </c>
      <c r="C134" s="2">
        <v>44388</v>
      </c>
      <c r="D134" t="s">
        <v>189</v>
      </c>
      <c r="E134" t="s">
        <v>125</v>
      </c>
      <c r="F134" t="s">
        <v>26</v>
      </c>
      <c r="G134" t="s">
        <v>45</v>
      </c>
      <c r="H134" t="s">
        <v>155</v>
      </c>
      <c r="I134" t="s">
        <v>69</v>
      </c>
      <c r="J134" t="s">
        <v>156</v>
      </c>
      <c r="K134" t="s">
        <v>157</v>
      </c>
      <c r="L134" t="s">
        <v>158</v>
      </c>
      <c r="M134" t="s">
        <v>159</v>
      </c>
      <c r="N134" t="s">
        <v>52</v>
      </c>
      <c r="O134" t="s">
        <v>928</v>
      </c>
      <c r="P134" t="s">
        <v>85</v>
      </c>
      <c r="Q134" t="s">
        <v>359</v>
      </c>
      <c r="R134" t="s">
        <v>911</v>
      </c>
      <c r="S134" s="3" t="s">
        <v>207</v>
      </c>
      <c r="T134" t="s">
        <v>929</v>
      </c>
      <c r="U134" s="10" t="s">
        <v>1061</v>
      </c>
      <c r="V134" s="10" t="s">
        <v>1074</v>
      </c>
      <c r="W134" s="10" t="s">
        <v>1065</v>
      </c>
      <c r="X134" s="10" t="s">
        <v>1080</v>
      </c>
      <c r="Y134" t="s">
        <v>39</v>
      </c>
      <c r="Z134" t="s">
        <v>40</v>
      </c>
      <c r="AA134" t="s">
        <v>63</v>
      </c>
    </row>
    <row r="135" spans="1:27" x14ac:dyDescent="0.8">
      <c r="A135">
        <v>891</v>
      </c>
      <c r="B135">
        <v>1019</v>
      </c>
      <c r="C135" s="2">
        <v>44388</v>
      </c>
      <c r="D135" t="s">
        <v>189</v>
      </c>
      <c r="E135" t="s">
        <v>53</v>
      </c>
      <c r="F135" t="s">
        <v>26</v>
      </c>
      <c r="G135" t="s">
        <v>45</v>
      </c>
      <c r="H135" t="s">
        <v>155</v>
      </c>
      <c r="I135" t="s">
        <v>69</v>
      </c>
      <c r="J135" t="s">
        <v>156</v>
      </c>
      <c r="K135" t="s">
        <v>157</v>
      </c>
      <c r="L135" t="s">
        <v>158</v>
      </c>
      <c r="M135" t="s">
        <v>159</v>
      </c>
      <c r="N135" t="s">
        <v>52</v>
      </c>
      <c r="O135" t="s">
        <v>928</v>
      </c>
      <c r="P135" t="s">
        <v>85</v>
      </c>
      <c r="Q135" t="s">
        <v>359</v>
      </c>
      <c r="R135" t="s">
        <v>911</v>
      </c>
      <c r="S135" s="3" t="s">
        <v>207</v>
      </c>
      <c r="T135" t="s">
        <v>929</v>
      </c>
      <c r="U135" s="10" t="s">
        <v>1061</v>
      </c>
      <c r="V135" s="10" t="s">
        <v>1074</v>
      </c>
      <c r="W135" s="10" t="s">
        <v>1065</v>
      </c>
      <c r="X135" s="10" t="s">
        <v>1080</v>
      </c>
      <c r="Y135" t="s">
        <v>39</v>
      </c>
      <c r="Z135" t="s">
        <v>40</v>
      </c>
      <c r="AA135" t="s">
        <v>63</v>
      </c>
    </row>
    <row r="136" spans="1:27" x14ac:dyDescent="0.8">
      <c r="A136">
        <v>879</v>
      </c>
      <c r="B136">
        <v>207</v>
      </c>
      <c r="C136" s="2">
        <v>44388</v>
      </c>
      <c r="D136" t="s">
        <v>189</v>
      </c>
      <c r="E136" t="s">
        <v>25</v>
      </c>
      <c r="F136" t="s">
        <v>26</v>
      </c>
      <c r="G136" t="s">
        <v>45</v>
      </c>
      <c r="H136" t="s">
        <v>155</v>
      </c>
      <c r="I136" t="s">
        <v>69</v>
      </c>
      <c r="J136" t="s">
        <v>156</v>
      </c>
      <c r="K136" t="s">
        <v>157</v>
      </c>
      <c r="L136" t="s">
        <v>158</v>
      </c>
      <c r="M136" t="s">
        <v>159</v>
      </c>
      <c r="N136" t="s">
        <v>52</v>
      </c>
      <c r="O136" t="s">
        <v>928</v>
      </c>
      <c r="P136" t="s">
        <v>85</v>
      </c>
      <c r="Q136" t="s">
        <v>359</v>
      </c>
      <c r="R136" t="s">
        <v>911</v>
      </c>
      <c r="S136" s="3" t="s">
        <v>207</v>
      </c>
      <c r="T136" t="s">
        <v>929</v>
      </c>
      <c r="U136" s="10" t="s">
        <v>1061</v>
      </c>
      <c r="V136" s="10" t="s">
        <v>1074</v>
      </c>
      <c r="W136" s="10" t="s">
        <v>1065</v>
      </c>
      <c r="X136" s="10" t="s">
        <v>1080</v>
      </c>
      <c r="Y136" t="s">
        <v>39</v>
      </c>
      <c r="Z136" t="s">
        <v>40</v>
      </c>
      <c r="AA136" t="s">
        <v>63</v>
      </c>
    </row>
    <row r="137" spans="1:27" x14ac:dyDescent="0.8">
      <c r="A137">
        <v>869</v>
      </c>
      <c r="B137">
        <v>949</v>
      </c>
      <c r="C137" s="2">
        <v>44388</v>
      </c>
      <c r="D137" t="s">
        <v>189</v>
      </c>
      <c r="E137" t="s">
        <v>63</v>
      </c>
      <c r="F137" t="s">
        <v>26</v>
      </c>
      <c r="G137" t="s">
        <v>45</v>
      </c>
      <c r="H137" t="s">
        <v>155</v>
      </c>
      <c r="I137" t="s">
        <v>69</v>
      </c>
      <c r="J137" t="s">
        <v>156</v>
      </c>
      <c r="K137" t="s">
        <v>157</v>
      </c>
      <c r="L137" t="s">
        <v>158</v>
      </c>
      <c r="M137" t="s">
        <v>159</v>
      </c>
      <c r="N137" t="s">
        <v>52</v>
      </c>
      <c r="O137" t="s">
        <v>928</v>
      </c>
      <c r="P137" t="s">
        <v>85</v>
      </c>
      <c r="Q137" t="s">
        <v>359</v>
      </c>
      <c r="R137" t="s">
        <v>911</v>
      </c>
      <c r="S137" s="3" t="s">
        <v>207</v>
      </c>
      <c r="T137" t="s">
        <v>929</v>
      </c>
      <c r="U137" s="10" t="s">
        <v>1061</v>
      </c>
      <c r="V137" s="10" t="s">
        <v>1074</v>
      </c>
      <c r="W137" s="10" t="s">
        <v>1065</v>
      </c>
      <c r="X137" s="10" t="s">
        <v>1080</v>
      </c>
      <c r="Y137" t="s">
        <v>39</v>
      </c>
      <c r="Z137" t="s">
        <v>40</v>
      </c>
      <c r="AA137" t="s">
        <v>63</v>
      </c>
    </row>
    <row r="138" spans="1:27" x14ac:dyDescent="0.8">
      <c r="A138">
        <v>863</v>
      </c>
      <c r="B138">
        <v>943</v>
      </c>
      <c r="C138" s="2">
        <v>44388</v>
      </c>
      <c r="D138" t="s">
        <v>189</v>
      </c>
      <c r="E138" t="s">
        <v>25</v>
      </c>
      <c r="F138" t="s">
        <v>26</v>
      </c>
      <c r="G138" t="s">
        <v>45</v>
      </c>
      <c r="H138" t="s">
        <v>155</v>
      </c>
      <c r="I138" t="s">
        <v>69</v>
      </c>
      <c r="J138" t="s">
        <v>156</v>
      </c>
      <c r="K138" t="s">
        <v>157</v>
      </c>
      <c r="L138" t="s">
        <v>158</v>
      </c>
      <c r="M138" t="s">
        <v>159</v>
      </c>
      <c r="N138" t="s">
        <v>52</v>
      </c>
      <c r="O138" t="s">
        <v>928</v>
      </c>
      <c r="P138" t="s">
        <v>85</v>
      </c>
      <c r="Q138" t="s">
        <v>359</v>
      </c>
      <c r="R138" t="s">
        <v>911</v>
      </c>
      <c r="S138" s="3" t="s">
        <v>207</v>
      </c>
      <c r="T138" t="s">
        <v>929</v>
      </c>
      <c r="U138" s="10" t="s">
        <v>1061</v>
      </c>
      <c r="V138" s="10" t="s">
        <v>1074</v>
      </c>
      <c r="W138" s="10" t="s">
        <v>1065</v>
      </c>
      <c r="X138" s="10" t="s">
        <v>1080</v>
      </c>
      <c r="Y138" t="s">
        <v>39</v>
      </c>
      <c r="Z138" t="s">
        <v>40</v>
      </c>
      <c r="AA138" t="s">
        <v>63</v>
      </c>
    </row>
    <row r="139" spans="1:27" x14ac:dyDescent="0.8">
      <c r="A139">
        <v>854</v>
      </c>
      <c r="B139">
        <v>934</v>
      </c>
      <c r="C139" s="2">
        <v>44388</v>
      </c>
      <c r="D139" t="s">
        <v>189</v>
      </c>
      <c r="E139" t="s">
        <v>125</v>
      </c>
      <c r="F139" t="s">
        <v>26</v>
      </c>
      <c r="G139" t="s">
        <v>45</v>
      </c>
      <c r="H139" t="s">
        <v>155</v>
      </c>
      <c r="I139" t="s">
        <v>69</v>
      </c>
      <c r="J139" t="s">
        <v>156</v>
      </c>
      <c r="K139" t="s">
        <v>157</v>
      </c>
      <c r="L139" t="s">
        <v>158</v>
      </c>
      <c r="M139" t="s">
        <v>159</v>
      </c>
      <c r="N139" t="s">
        <v>52</v>
      </c>
      <c r="O139" t="s">
        <v>928</v>
      </c>
      <c r="P139" t="s">
        <v>85</v>
      </c>
      <c r="Q139" t="s">
        <v>359</v>
      </c>
      <c r="R139" t="s">
        <v>911</v>
      </c>
      <c r="S139" s="3" t="s">
        <v>207</v>
      </c>
      <c r="T139" t="s">
        <v>929</v>
      </c>
      <c r="U139" s="10" t="s">
        <v>1061</v>
      </c>
      <c r="V139" s="10" t="s">
        <v>1074</v>
      </c>
      <c r="W139" s="10" t="s">
        <v>1065</v>
      </c>
      <c r="X139" s="10" t="s">
        <v>1080</v>
      </c>
      <c r="Y139" t="s">
        <v>140</v>
      </c>
      <c r="Z139" t="s">
        <v>40</v>
      </c>
      <c r="AA139" t="s">
        <v>63</v>
      </c>
    </row>
    <row r="140" spans="1:27" x14ac:dyDescent="0.8">
      <c r="A140">
        <v>871</v>
      </c>
      <c r="B140">
        <v>951</v>
      </c>
      <c r="C140" s="2">
        <v>44388</v>
      </c>
      <c r="D140" t="s">
        <v>189</v>
      </c>
      <c r="E140" t="s">
        <v>63</v>
      </c>
      <c r="F140" t="s">
        <v>26</v>
      </c>
      <c r="G140" t="s">
        <v>45</v>
      </c>
      <c r="H140" t="s">
        <v>79</v>
      </c>
      <c r="I140" t="s">
        <v>69</v>
      </c>
      <c r="J140" t="s">
        <v>80</v>
      </c>
      <c r="K140" t="s">
        <v>81</v>
      </c>
      <c r="L140" t="s">
        <v>638</v>
      </c>
      <c r="M140" t="s">
        <v>639</v>
      </c>
      <c r="N140" t="s">
        <v>61</v>
      </c>
      <c r="O140" t="s">
        <v>928</v>
      </c>
      <c r="P140" t="s">
        <v>85</v>
      </c>
      <c r="Q140" t="s">
        <v>359</v>
      </c>
      <c r="R140" t="s">
        <v>911</v>
      </c>
      <c r="S140" s="3" t="s">
        <v>207</v>
      </c>
      <c r="T140" t="s">
        <v>929</v>
      </c>
      <c r="U140" s="10" t="s">
        <v>1061</v>
      </c>
      <c r="V140" s="10" t="s">
        <v>1074</v>
      </c>
      <c r="W140" s="10" t="s">
        <v>1065</v>
      </c>
      <c r="X140" s="10" t="s">
        <v>1080</v>
      </c>
      <c r="Y140" t="s">
        <v>39</v>
      </c>
      <c r="Z140" t="s">
        <v>40</v>
      </c>
      <c r="AA140" t="s">
        <v>63</v>
      </c>
    </row>
    <row r="141" spans="1:27" x14ac:dyDescent="0.8">
      <c r="A141">
        <v>140</v>
      </c>
      <c r="B141">
        <v>1086</v>
      </c>
      <c r="C141" s="2">
        <v>44386</v>
      </c>
      <c r="D141" t="s">
        <v>93</v>
      </c>
      <c r="E141" t="s">
        <v>63</v>
      </c>
      <c r="F141" t="s">
        <v>26</v>
      </c>
      <c r="G141" t="s">
        <v>45</v>
      </c>
      <c r="H141" t="s">
        <v>68</v>
      </c>
      <c r="I141" t="s">
        <v>69</v>
      </c>
      <c r="J141" t="s">
        <v>70</v>
      </c>
      <c r="K141" t="s">
        <v>71</v>
      </c>
      <c r="L141" t="s">
        <v>72</v>
      </c>
      <c r="M141" t="s">
        <v>73</v>
      </c>
      <c r="N141" t="s">
        <v>61</v>
      </c>
      <c r="O141" t="s">
        <v>928</v>
      </c>
      <c r="P141" t="s">
        <v>85</v>
      </c>
      <c r="Q141" t="s">
        <v>359</v>
      </c>
      <c r="R141" t="s">
        <v>911</v>
      </c>
      <c r="S141" s="3" t="s">
        <v>207</v>
      </c>
      <c r="T141" t="s">
        <v>929</v>
      </c>
      <c r="U141" s="10" t="s">
        <v>1061</v>
      </c>
      <c r="V141" s="10" t="s">
        <v>1074</v>
      </c>
      <c r="W141" s="10" t="s">
        <v>1065</v>
      </c>
      <c r="X141" s="10" t="s">
        <v>1080</v>
      </c>
      <c r="Y141" t="s">
        <v>39</v>
      </c>
      <c r="Z141" t="s">
        <v>40</v>
      </c>
      <c r="AA141" t="s">
        <v>53</v>
      </c>
    </row>
    <row r="142" spans="1:27" x14ac:dyDescent="0.8">
      <c r="A142">
        <v>501</v>
      </c>
      <c r="B142">
        <v>790</v>
      </c>
      <c r="C142" s="2">
        <v>44386</v>
      </c>
      <c r="D142" t="s">
        <v>93</v>
      </c>
      <c r="E142" t="s">
        <v>63</v>
      </c>
      <c r="F142" t="s">
        <v>26</v>
      </c>
      <c r="G142" t="s">
        <v>45</v>
      </c>
      <c r="H142" t="s">
        <v>79</v>
      </c>
      <c r="I142" t="s">
        <v>69</v>
      </c>
      <c r="J142" t="s">
        <v>80</v>
      </c>
      <c r="K142" t="s">
        <v>81</v>
      </c>
      <c r="L142" t="s">
        <v>638</v>
      </c>
      <c r="M142" t="s">
        <v>639</v>
      </c>
      <c r="N142" t="s">
        <v>61</v>
      </c>
      <c r="O142" t="s">
        <v>928</v>
      </c>
      <c r="P142" t="s">
        <v>85</v>
      </c>
      <c r="Q142" t="s">
        <v>359</v>
      </c>
      <c r="R142" t="s">
        <v>911</v>
      </c>
      <c r="S142" s="3" t="s">
        <v>207</v>
      </c>
      <c r="T142" t="s">
        <v>929</v>
      </c>
      <c r="U142" s="10" t="s">
        <v>1061</v>
      </c>
      <c r="V142" s="10" t="s">
        <v>1074</v>
      </c>
      <c r="W142" s="10" t="s">
        <v>1065</v>
      </c>
      <c r="X142" s="10" t="s">
        <v>1080</v>
      </c>
      <c r="Y142" t="s">
        <v>39</v>
      </c>
      <c r="Z142" t="s">
        <v>40</v>
      </c>
      <c r="AA142" t="s">
        <v>63</v>
      </c>
    </row>
    <row r="143" spans="1:27" x14ac:dyDescent="0.8">
      <c r="A143">
        <v>1462</v>
      </c>
      <c r="B143">
        <v>2259</v>
      </c>
      <c r="C143" s="2">
        <v>44388</v>
      </c>
      <c r="D143" t="s">
        <v>134</v>
      </c>
      <c r="E143" t="s">
        <v>63</v>
      </c>
      <c r="F143" t="s">
        <v>26</v>
      </c>
      <c r="G143" t="s">
        <v>45</v>
      </c>
      <c r="H143" t="s">
        <v>155</v>
      </c>
      <c r="I143" t="s">
        <v>69</v>
      </c>
      <c r="J143" t="s">
        <v>156</v>
      </c>
      <c r="K143" t="s">
        <v>157</v>
      </c>
      <c r="L143" t="s">
        <v>500</v>
      </c>
      <c r="M143" t="s">
        <v>501</v>
      </c>
      <c r="N143" t="s">
        <v>61</v>
      </c>
      <c r="O143" t="s">
        <v>928</v>
      </c>
      <c r="P143" t="s">
        <v>85</v>
      </c>
      <c r="Q143" t="s">
        <v>359</v>
      </c>
      <c r="R143" t="s">
        <v>911</v>
      </c>
      <c r="S143" s="3" t="s">
        <v>207</v>
      </c>
      <c r="T143" t="s">
        <v>929</v>
      </c>
      <c r="U143" s="10" t="s">
        <v>1061</v>
      </c>
      <c r="V143" s="10" t="s">
        <v>1074</v>
      </c>
      <c r="W143" s="10" t="s">
        <v>1065</v>
      </c>
      <c r="X143" s="10" t="s">
        <v>1080</v>
      </c>
      <c r="Y143" t="s">
        <v>39</v>
      </c>
      <c r="Z143" t="s">
        <v>40</v>
      </c>
      <c r="AA143" t="s">
        <v>63</v>
      </c>
    </row>
    <row r="144" spans="1:27" x14ac:dyDescent="0.8">
      <c r="A144">
        <v>1507</v>
      </c>
      <c r="B144">
        <v>2404</v>
      </c>
      <c r="C144" s="2">
        <v>44388</v>
      </c>
      <c r="D144" t="s">
        <v>134</v>
      </c>
      <c r="E144" t="s">
        <v>125</v>
      </c>
      <c r="F144" t="s">
        <v>26</v>
      </c>
      <c r="G144" t="s">
        <v>45</v>
      </c>
      <c r="H144" t="s">
        <v>155</v>
      </c>
      <c r="I144" t="s">
        <v>69</v>
      </c>
      <c r="J144" t="s">
        <v>156</v>
      </c>
      <c r="K144" t="s">
        <v>157</v>
      </c>
      <c r="L144" t="s">
        <v>158</v>
      </c>
      <c r="M144" t="s">
        <v>159</v>
      </c>
      <c r="N144" t="s">
        <v>61</v>
      </c>
      <c r="O144" t="s">
        <v>928</v>
      </c>
      <c r="P144" t="s">
        <v>85</v>
      </c>
      <c r="Q144" t="s">
        <v>359</v>
      </c>
      <c r="R144" t="s">
        <v>911</v>
      </c>
      <c r="S144" s="3" t="s">
        <v>207</v>
      </c>
      <c r="T144" t="s">
        <v>929</v>
      </c>
      <c r="U144" s="10" t="s">
        <v>1061</v>
      </c>
      <c r="V144" s="10" t="s">
        <v>1074</v>
      </c>
      <c r="W144" s="10" t="s">
        <v>1065</v>
      </c>
      <c r="X144" s="10" t="s">
        <v>1080</v>
      </c>
      <c r="Y144" t="s">
        <v>39</v>
      </c>
      <c r="Z144" t="s">
        <v>40</v>
      </c>
      <c r="AA144" t="s">
        <v>63</v>
      </c>
    </row>
    <row r="145" spans="1:27" x14ac:dyDescent="0.8">
      <c r="A145">
        <v>1662</v>
      </c>
      <c r="B145">
        <v>433</v>
      </c>
      <c r="C145" s="2">
        <v>44388</v>
      </c>
      <c r="D145" t="s">
        <v>235</v>
      </c>
      <c r="E145" t="s">
        <v>63</v>
      </c>
      <c r="F145" t="s">
        <v>26</v>
      </c>
      <c r="G145" t="s">
        <v>45</v>
      </c>
      <c r="H145" t="s">
        <v>68</v>
      </c>
      <c r="I145" t="s">
        <v>69</v>
      </c>
      <c r="J145" t="s">
        <v>70</v>
      </c>
      <c r="K145" t="s">
        <v>71</v>
      </c>
      <c r="L145" t="s">
        <v>72</v>
      </c>
      <c r="M145" t="s">
        <v>73</v>
      </c>
      <c r="N145" t="s">
        <v>61</v>
      </c>
      <c r="O145" t="s">
        <v>928</v>
      </c>
      <c r="P145" t="s">
        <v>85</v>
      </c>
      <c r="Q145" t="s">
        <v>359</v>
      </c>
      <c r="R145" t="s">
        <v>911</v>
      </c>
      <c r="S145" s="3" t="s">
        <v>207</v>
      </c>
      <c r="T145" t="s">
        <v>929</v>
      </c>
      <c r="U145" s="10" t="s">
        <v>1061</v>
      </c>
      <c r="V145" s="10" t="s">
        <v>1074</v>
      </c>
      <c r="W145" s="10" t="s">
        <v>1065</v>
      </c>
      <c r="X145" s="10" t="s">
        <v>1080</v>
      </c>
      <c r="Y145" t="s">
        <v>39</v>
      </c>
      <c r="Z145" t="s">
        <v>40</v>
      </c>
      <c r="AA145" t="s">
        <v>41</v>
      </c>
    </row>
    <row r="146" spans="1:27" x14ac:dyDescent="0.8">
      <c r="A146">
        <v>521</v>
      </c>
      <c r="B146">
        <v>61</v>
      </c>
      <c r="C146" s="2">
        <v>44388</v>
      </c>
      <c r="D146" t="s">
        <v>235</v>
      </c>
      <c r="E146" t="s">
        <v>25</v>
      </c>
      <c r="F146" t="s">
        <v>26</v>
      </c>
      <c r="G146" t="s">
        <v>45</v>
      </c>
      <c r="H146" t="s">
        <v>68</v>
      </c>
      <c r="I146" t="s">
        <v>69</v>
      </c>
      <c r="J146" t="s">
        <v>70</v>
      </c>
      <c r="K146" t="s">
        <v>71</v>
      </c>
      <c r="L146" t="s">
        <v>72</v>
      </c>
      <c r="M146" t="s">
        <v>73</v>
      </c>
      <c r="N146" t="s">
        <v>61</v>
      </c>
      <c r="O146" t="s">
        <v>928</v>
      </c>
      <c r="P146" t="s">
        <v>85</v>
      </c>
      <c r="Q146" t="s">
        <v>359</v>
      </c>
      <c r="R146" t="s">
        <v>911</v>
      </c>
      <c r="S146" s="3" t="s">
        <v>207</v>
      </c>
      <c r="T146" t="s">
        <v>929</v>
      </c>
      <c r="U146" s="10" t="s">
        <v>1061</v>
      </c>
      <c r="V146" s="10" t="s">
        <v>1074</v>
      </c>
      <c r="W146" s="10" t="s">
        <v>1065</v>
      </c>
      <c r="X146" s="10" t="s">
        <v>1080</v>
      </c>
      <c r="Y146" t="s">
        <v>39</v>
      </c>
      <c r="Z146" t="s">
        <v>62</v>
      </c>
      <c r="AA146" t="s">
        <v>63</v>
      </c>
    </row>
    <row r="147" spans="1:27" x14ac:dyDescent="0.8">
      <c r="A147">
        <v>621</v>
      </c>
      <c r="B147">
        <v>218</v>
      </c>
      <c r="C147" s="2">
        <v>44386</v>
      </c>
      <c r="D147" t="s">
        <v>43</v>
      </c>
      <c r="E147" t="s">
        <v>63</v>
      </c>
      <c r="F147" t="s">
        <v>26</v>
      </c>
      <c r="G147" t="s">
        <v>45</v>
      </c>
      <c r="H147" t="s">
        <v>55</v>
      </c>
      <c r="I147" t="s">
        <v>69</v>
      </c>
      <c r="J147" t="s">
        <v>680</v>
      </c>
      <c r="K147" t="s">
        <v>681</v>
      </c>
      <c r="L147" t="s">
        <v>931</v>
      </c>
      <c r="M147" t="s">
        <v>932</v>
      </c>
      <c r="N147" t="s">
        <v>61</v>
      </c>
      <c r="O147" t="s">
        <v>928</v>
      </c>
      <c r="P147" t="s">
        <v>85</v>
      </c>
      <c r="Q147" t="s">
        <v>359</v>
      </c>
      <c r="R147" t="s">
        <v>911</v>
      </c>
      <c r="S147" s="3" t="s">
        <v>207</v>
      </c>
      <c r="T147" t="s">
        <v>929</v>
      </c>
      <c r="U147" s="10" t="s">
        <v>1061</v>
      </c>
      <c r="V147" s="10" t="s">
        <v>1074</v>
      </c>
      <c r="W147" s="10" t="s">
        <v>1065</v>
      </c>
      <c r="X147" s="10" t="s">
        <v>1080</v>
      </c>
      <c r="Y147" t="s">
        <v>140</v>
      </c>
      <c r="Z147" t="s">
        <v>40</v>
      </c>
      <c r="AA147" t="s">
        <v>63</v>
      </c>
    </row>
    <row r="148" spans="1:27" x14ac:dyDescent="0.8">
      <c r="A148">
        <v>292</v>
      </c>
      <c r="B148">
        <v>906</v>
      </c>
      <c r="C148" s="2">
        <v>44386</v>
      </c>
      <c r="D148" t="s">
        <v>43</v>
      </c>
      <c r="E148" t="s">
        <v>63</v>
      </c>
      <c r="F148" t="s">
        <v>26</v>
      </c>
      <c r="G148" t="s">
        <v>94</v>
      </c>
      <c r="H148" t="s">
        <v>95</v>
      </c>
      <c r="I148" t="s">
        <v>236</v>
      </c>
      <c r="J148" t="s">
        <v>237</v>
      </c>
      <c r="K148" t="s">
        <v>238</v>
      </c>
      <c r="L148" t="s">
        <v>239</v>
      </c>
      <c r="M148" t="s">
        <v>240</v>
      </c>
      <c r="N148" t="s">
        <v>101</v>
      </c>
      <c r="O148" t="s">
        <v>928</v>
      </c>
      <c r="P148" t="s">
        <v>85</v>
      </c>
      <c r="Q148" t="s">
        <v>359</v>
      </c>
      <c r="R148" t="s">
        <v>911</v>
      </c>
      <c r="S148" s="3" t="s">
        <v>207</v>
      </c>
      <c r="T148" t="s">
        <v>929</v>
      </c>
      <c r="U148" s="10" t="s">
        <v>1061</v>
      </c>
      <c r="V148" s="10" t="s">
        <v>1074</v>
      </c>
      <c r="W148" s="10" t="s">
        <v>1065</v>
      </c>
      <c r="X148" s="10" t="s">
        <v>1080</v>
      </c>
      <c r="Y148" t="s">
        <v>39</v>
      </c>
      <c r="Z148" t="s">
        <v>40</v>
      </c>
      <c r="AA148" t="s">
        <v>53</v>
      </c>
    </row>
    <row r="149" spans="1:27" x14ac:dyDescent="0.8">
      <c r="A149">
        <v>837</v>
      </c>
      <c r="B149">
        <v>1414</v>
      </c>
      <c r="C149" s="2">
        <v>44387</v>
      </c>
      <c r="D149" t="s">
        <v>149</v>
      </c>
      <c r="E149" t="s">
        <v>150</v>
      </c>
      <c r="F149" t="s">
        <v>26</v>
      </c>
      <c r="G149" t="s">
        <v>45</v>
      </c>
      <c r="H149" t="s">
        <v>68</v>
      </c>
      <c r="I149" t="s">
        <v>69</v>
      </c>
      <c r="J149" t="s">
        <v>70</v>
      </c>
      <c r="K149" t="s">
        <v>71</v>
      </c>
      <c r="L149" t="s">
        <v>72</v>
      </c>
      <c r="M149" t="s">
        <v>73</v>
      </c>
      <c r="N149" t="s">
        <v>61</v>
      </c>
      <c r="O149" t="s">
        <v>928</v>
      </c>
      <c r="P149" t="s">
        <v>85</v>
      </c>
      <c r="Q149" t="s">
        <v>359</v>
      </c>
      <c r="R149" t="s">
        <v>911</v>
      </c>
      <c r="S149" s="3" t="s">
        <v>207</v>
      </c>
      <c r="T149" t="s">
        <v>929</v>
      </c>
      <c r="U149" s="10" t="s">
        <v>1061</v>
      </c>
      <c r="V149" s="10" t="s">
        <v>1074</v>
      </c>
      <c r="W149" s="10" t="s">
        <v>1065</v>
      </c>
      <c r="X149" s="10" t="s">
        <v>1080</v>
      </c>
      <c r="Y149" t="s">
        <v>39</v>
      </c>
      <c r="Z149" t="s">
        <v>40</v>
      </c>
      <c r="AA149" t="s">
        <v>63</v>
      </c>
    </row>
    <row r="150" spans="1:27" x14ac:dyDescent="0.8">
      <c r="A150">
        <v>822</v>
      </c>
      <c r="B150">
        <v>1399</v>
      </c>
      <c r="C150" s="2">
        <v>44387</v>
      </c>
      <c r="D150" t="s">
        <v>149</v>
      </c>
      <c r="E150" t="s">
        <v>25</v>
      </c>
      <c r="F150" t="s">
        <v>26</v>
      </c>
      <c r="G150" t="s">
        <v>45</v>
      </c>
      <c r="H150" t="s">
        <v>155</v>
      </c>
      <c r="I150" t="s">
        <v>69</v>
      </c>
      <c r="J150" t="s">
        <v>156</v>
      </c>
      <c r="K150" t="s">
        <v>157</v>
      </c>
      <c r="L150" t="s">
        <v>158</v>
      </c>
      <c r="M150" t="s">
        <v>159</v>
      </c>
      <c r="N150" t="s">
        <v>52</v>
      </c>
      <c r="O150" t="s">
        <v>928</v>
      </c>
      <c r="P150" t="s">
        <v>85</v>
      </c>
      <c r="Q150" t="s">
        <v>359</v>
      </c>
      <c r="R150" t="s">
        <v>911</v>
      </c>
      <c r="S150" s="3" t="s">
        <v>207</v>
      </c>
      <c r="T150" t="s">
        <v>929</v>
      </c>
      <c r="U150" s="10" t="s">
        <v>1061</v>
      </c>
      <c r="V150" s="10" t="s">
        <v>1074</v>
      </c>
      <c r="W150" s="10" t="s">
        <v>1065</v>
      </c>
      <c r="X150" s="10" t="s">
        <v>1080</v>
      </c>
      <c r="Y150" t="s">
        <v>39</v>
      </c>
      <c r="Z150" t="s">
        <v>40</v>
      </c>
      <c r="AA150" t="s">
        <v>63</v>
      </c>
    </row>
    <row r="151" spans="1:27" x14ac:dyDescent="0.8">
      <c r="A151">
        <v>819</v>
      </c>
      <c r="B151">
        <v>1396</v>
      </c>
      <c r="C151" s="2">
        <v>44387</v>
      </c>
      <c r="D151" t="s">
        <v>149</v>
      </c>
      <c r="E151" t="s">
        <v>150</v>
      </c>
      <c r="F151" t="s">
        <v>26</v>
      </c>
      <c r="G151" t="s">
        <v>45</v>
      </c>
      <c r="H151" t="s">
        <v>155</v>
      </c>
      <c r="I151" t="s">
        <v>69</v>
      </c>
      <c r="J151" t="s">
        <v>156</v>
      </c>
      <c r="K151" t="s">
        <v>157</v>
      </c>
      <c r="L151" t="s">
        <v>158</v>
      </c>
      <c r="M151" t="s">
        <v>159</v>
      </c>
      <c r="N151" t="s">
        <v>52</v>
      </c>
      <c r="O151" t="s">
        <v>928</v>
      </c>
      <c r="P151" t="s">
        <v>85</v>
      </c>
      <c r="Q151" t="s">
        <v>359</v>
      </c>
      <c r="R151" t="s">
        <v>911</v>
      </c>
      <c r="S151" s="3" t="s">
        <v>207</v>
      </c>
      <c r="T151" t="s">
        <v>929</v>
      </c>
      <c r="U151" s="10" t="s">
        <v>1061</v>
      </c>
      <c r="V151" s="10" t="s">
        <v>1074</v>
      </c>
      <c r="W151" s="10" t="s">
        <v>1065</v>
      </c>
      <c r="X151" s="10" t="s">
        <v>1080</v>
      </c>
      <c r="Y151" t="s">
        <v>39</v>
      </c>
      <c r="Z151" t="s">
        <v>40</v>
      </c>
      <c r="AA151" t="s">
        <v>63</v>
      </c>
    </row>
    <row r="152" spans="1:27" x14ac:dyDescent="0.8">
      <c r="A152">
        <v>1074</v>
      </c>
      <c r="B152">
        <v>377</v>
      </c>
      <c r="C152" s="2">
        <v>44387</v>
      </c>
      <c r="D152" t="s">
        <v>54</v>
      </c>
      <c r="E152" t="s">
        <v>150</v>
      </c>
      <c r="F152" t="s">
        <v>26</v>
      </c>
      <c r="G152" t="s">
        <v>45</v>
      </c>
      <c r="H152" t="s">
        <v>68</v>
      </c>
      <c r="I152" t="s">
        <v>69</v>
      </c>
      <c r="J152" t="s">
        <v>70</v>
      </c>
      <c r="K152" t="s">
        <v>71</v>
      </c>
      <c r="L152" t="s">
        <v>72</v>
      </c>
      <c r="M152" t="s">
        <v>73</v>
      </c>
      <c r="N152" t="s">
        <v>61</v>
      </c>
      <c r="O152" t="s">
        <v>928</v>
      </c>
      <c r="P152" t="s">
        <v>85</v>
      </c>
      <c r="Q152" t="s">
        <v>359</v>
      </c>
      <c r="R152" t="s">
        <v>911</v>
      </c>
      <c r="S152" s="3" t="s">
        <v>207</v>
      </c>
      <c r="T152" t="s">
        <v>929</v>
      </c>
      <c r="U152" s="10" t="s">
        <v>1061</v>
      </c>
      <c r="V152" s="10" t="s">
        <v>1074</v>
      </c>
      <c r="W152" s="10" t="s">
        <v>1065</v>
      </c>
      <c r="X152" s="10" t="s">
        <v>1080</v>
      </c>
      <c r="Y152" t="s">
        <v>39</v>
      </c>
      <c r="Z152" t="s">
        <v>40</v>
      </c>
      <c r="AA152" t="s">
        <v>63</v>
      </c>
    </row>
    <row r="153" spans="1:27" x14ac:dyDescent="0.8">
      <c r="A153">
        <v>988</v>
      </c>
      <c r="B153">
        <v>712</v>
      </c>
      <c r="C153" s="2">
        <v>44385</v>
      </c>
      <c r="D153" t="s">
        <v>203</v>
      </c>
      <c r="E153" t="s">
        <v>25</v>
      </c>
      <c r="F153" t="s">
        <v>26</v>
      </c>
      <c r="G153" t="s">
        <v>45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61</v>
      </c>
      <c r="O153" t="s">
        <v>928</v>
      </c>
      <c r="P153" t="s">
        <v>85</v>
      </c>
      <c r="Q153" t="s">
        <v>359</v>
      </c>
      <c r="R153" t="s">
        <v>911</v>
      </c>
      <c r="S153" s="3" t="s">
        <v>207</v>
      </c>
      <c r="T153" t="s">
        <v>929</v>
      </c>
      <c r="U153" s="10" t="s">
        <v>1061</v>
      </c>
      <c r="V153" s="10" t="s">
        <v>1074</v>
      </c>
      <c r="W153" s="10" t="s">
        <v>1065</v>
      </c>
      <c r="X153" s="10" t="s">
        <v>1080</v>
      </c>
      <c r="Y153" t="s">
        <v>39</v>
      </c>
      <c r="Z153" t="s">
        <v>40</v>
      </c>
      <c r="AA153" t="s">
        <v>63</v>
      </c>
    </row>
    <row r="154" spans="1:27" x14ac:dyDescent="0.8">
      <c r="A154">
        <v>1027</v>
      </c>
      <c r="B154">
        <v>841</v>
      </c>
      <c r="C154" s="2">
        <v>44385</v>
      </c>
      <c r="D154" t="s">
        <v>203</v>
      </c>
      <c r="E154" t="s">
        <v>63</v>
      </c>
      <c r="F154" t="s">
        <v>26</v>
      </c>
      <c r="G154" t="s">
        <v>45</v>
      </c>
      <c r="H154" t="s">
        <v>155</v>
      </c>
      <c r="I154" t="s">
        <v>69</v>
      </c>
      <c r="J154" t="s">
        <v>156</v>
      </c>
      <c r="K154" t="s">
        <v>157</v>
      </c>
      <c r="L154" t="s">
        <v>158</v>
      </c>
      <c r="M154" t="s">
        <v>159</v>
      </c>
      <c r="N154" t="s">
        <v>52</v>
      </c>
      <c r="O154" t="s">
        <v>928</v>
      </c>
      <c r="P154" t="s">
        <v>85</v>
      </c>
      <c r="Q154" t="s">
        <v>359</v>
      </c>
      <c r="R154" t="s">
        <v>911</v>
      </c>
      <c r="S154" s="3" t="s">
        <v>207</v>
      </c>
      <c r="T154" t="s">
        <v>929</v>
      </c>
      <c r="U154" s="10" t="s">
        <v>1061</v>
      </c>
      <c r="V154" s="10" t="s">
        <v>1074</v>
      </c>
      <c r="W154" s="10" t="s">
        <v>1065</v>
      </c>
      <c r="X154" s="10" t="s">
        <v>1080</v>
      </c>
      <c r="Y154" t="s">
        <v>39</v>
      </c>
      <c r="Z154" t="s">
        <v>40</v>
      </c>
      <c r="AA154" t="s">
        <v>63</v>
      </c>
    </row>
    <row r="155" spans="1:27" x14ac:dyDescent="0.8">
      <c r="A155">
        <v>1002</v>
      </c>
      <c r="B155">
        <v>1358</v>
      </c>
      <c r="C155" s="2">
        <v>44385</v>
      </c>
      <c r="D155" t="s">
        <v>203</v>
      </c>
      <c r="E155" t="s">
        <v>63</v>
      </c>
      <c r="F155" t="s">
        <v>26</v>
      </c>
      <c r="G155" t="s">
        <v>45</v>
      </c>
      <c r="H155" t="s">
        <v>155</v>
      </c>
      <c r="I155" t="s">
        <v>69</v>
      </c>
      <c r="J155" t="s">
        <v>156</v>
      </c>
      <c r="K155" t="s">
        <v>157</v>
      </c>
      <c r="L155" t="s">
        <v>158</v>
      </c>
      <c r="M155" t="s">
        <v>159</v>
      </c>
      <c r="N155" t="s">
        <v>52</v>
      </c>
      <c r="O155" t="s">
        <v>928</v>
      </c>
      <c r="P155" t="s">
        <v>85</v>
      </c>
      <c r="Q155" t="s">
        <v>359</v>
      </c>
      <c r="R155" t="s">
        <v>911</v>
      </c>
      <c r="S155" s="3" t="s">
        <v>207</v>
      </c>
      <c r="T155" t="s">
        <v>929</v>
      </c>
      <c r="U155" s="10" t="s">
        <v>1061</v>
      </c>
      <c r="V155" s="10" t="s">
        <v>1074</v>
      </c>
      <c r="W155" s="10" t="s">
        <v>1065</v>
      </c>
      <c r="X155" s="10" t="s">
        <v>1080</v>
      </c>
      <c r="Y155" t="s">
        <v>39</v>
      </c>
      <c r="Z155" t="s">
        <v>40</v>
      </c>
      <c r="AA155" t="s">
        <v>63</v>
      </c>
    </row>
    <row r="156" spans="1:27" x14ac:dyDescent="0.8">
      <c r="A156">
        <v>425</v>
      </c>
      <c r="B156">
        <v>1478</v>
      </c>
      <c r="C156" s="2">
        <v>44384</v>
      </c>
      <c r="D156" t="s">
        <v>384</v>
      </c>
      <c r="E156" t="s">
        <v>63</v>
      </c>
      <c r="F156" t="s">
        <v>26</v>
      </c>
      <c r="G156" t="s">
        <v>45</v>
      </c>
      <c r="H156" t="s">
        <v>55</v>
      </c>
      <c r="I156" t="s">
        <v>69</v>
      </c>
      <c r="J156" t="s">
        <v>680</v>
      </c>
      <c r="K156" t="s">
        <v>681</v>
      </c>
      <c r="L156" t="s">
        <v>112</v>
      </c>
      <c r="M156" t="s">
        <v>682</v>
      </c>
      <c r="N156" t="s">
        <v>61</v>
      </c>
      <c r="O156" t="s">
        <v>928</v>
      </c>
      <c r="P156" t="s">
        <v>85</v>
      </c>
      <c r="Q156" t="s">
        <v>359</v>
      </c>
      <c r="R156" t="s">
        <v>911</v>
      </c>
      <c r="S156" s="3" t="s">
        <v>207</v>
      </c>
      <c r="T156" t="s">
        <v>929</v>
      </c>
      <c r="U156" s="10" t="s">
        <v>1061</v>
      </c>
      <c r="V156" s="10" t="s">
        <v>1074</v>
      </c>
      <c r="W156" s="10" t="s">
        <v>1065</v>
      </c>
      <c r="X156" s="10" t="s">
        <v>1080</v>
      </c>
      <c r="Y156" t="s">
        <v>39</v>
      </c>
      <c r="Z156" t="s">
        <v>40</v>
      </c>
      <c r="AA156" t="s">
        <v>53</v>
      </c>
    </row>
    <row r="157" spans="1:27" x14ac:dyDescent="0.8">
      <c r="A157">
        <v>1127</v>
      </c>
      <c r="B157">
        <v>1574</v>
      </c>
      <c r="C157" s="2">
        <v>44384</v>
      </c>
      <c r="D157" t="s">
        <v>384</v>
      </c>
      <c r="E157" t="s">
        <v>25</v>
      </c>
      <c r="F157" t="s">
        <v>26</v>
      </c>
      <c r="G157" t="s">
        <v>45</v>
      </c>
      <c r="H157" t="s">
        <v>68</v>
      </c>
      <c r="I157" t="s">
        <v>69</v>
      </c>
      <c r="J157" t="s">
        <v>70</v>
      </c>
      <c r="K157" t="s">
        <v>71</v>
      </c>
      <c r="L157" t="s">
        <v>72</v>
      </c>
      <c r="M157" t="s">
        <v>73</v>
      </c>
      <c r="N157" t="s">
        <v>61</v>
      </c>
      <c r="O157" t="s">
        <v>928</v>
      </c>
      <c r="P157" t="s">
        <v>85</v>
      </c>
      <c r="Q157" t="s">
        <v>359</v>
      </c>
      <c r="R157" t="s">
        <v>911</v>
      </c>
      <c r="S157" s="3" t="s">
        <v>207</v>
      </c>
      <c r="T157" t="s">
        <v>929</v>
      </c>
      <c r="U157" s="10" t="s">
        <v>1061</v>
      </c>
      <c r="V157" s="10" t="s">
        <v>1074</v>
      </c>
      <c r="W157" s="10" t="s">
        <v>1065</v>
      </c>
      <c r="X157" s="10" t="s">
        <v>1080</v>
      </c>
      <c r="Y157" t="s">
        <v>39</v>
      </c>
      <c r="Z157" t="s">
        <v>40</v>
      </c>
      <c r="AA157" t="s">
        <v>63</v>
      </c>
    </row>
    <row r="158" spans="1:27" x14ac:dyDescent="0.8">
      <c r="A158">
        <v>419</v>
      </c>
      <c r="B158">
        <v>1472</v>
      </c>
      <c r="C158" s="2">
        <v>44384</v>
      </c>
      <c r="D158" t="s">
        <v>384</v>
      </c>
      <c r="E158" t="s">
        <v>63</v>
      </c>
      <c r="F158" t="s">
        <v>26</v>
      </c>
      <c r="G158" t="s">
        <v>45</v>
      </c>
      <c r="H158" t="s">
        <v>155</v>
      </c>
      <c r="I158" t="s">
        <v>69</v>
      </c>
      <c r="J158" t="s">
        <v>156</v>
      </c>
      <c r="K158" t="s">
        <v>157</v>
      </c>
      <c r="L158" t="s">
        <v>158</v>
      </c>
      <c r="M158" t="s">
        <v>159</v>
      </c>
      <c r="N158" t="s">
        <v>52</v>
      </c>
      <c r="O158" t="s">
        <v>928</v>
      </c>
      <c r="P158" t="s">
        <v>85</v>
      </c>
      <c r="Q158" t="s">
        <v>359</v>
      </c>
      <c r="R158" t="s">
        <v>911</v>
      </c>
      <c r="S158" s="3" t="s">
        <v>207</v>
      </c>
      <c r="T158" t="s">
        <v>929</v>
      </c>
      <c r="U158" s="10" t="s">
        <v>1061</v>
      </c>
      <c r="V158" s="10" t="s">
        <v>1074</v>
      </c>
      <c r="W158" s="10" t="s">
        <v>1065</v>
      </c>
      <c r="X158" s="10" t="s">
        <v>1080</v>
      </c>
      <c r="Y158" t="s">
        <v>39</v>
      </c>
      <c r="Z158" t="s">
        <v>40</v>
      </c>
      <c r="AA158" t="s">
        <v>53</v>
      </c>
    </row>
    <row r="159" spans="1:27" x14ac:dyDescent="0.8">
      <c r="A159">
        <v>299</v>
      </c>
      <c r="B159">
        <v>913</v>
      </c>
      <c r="C159" s="2">
        <v>44385</v>
      </c>
      <c r="D159" t="s">
        <v>213</v>
      </c>
      <c r="E159" t="s">
        <v>63</v>
      </c>
      <c r="F159" t="s">
        <v>26</v>
      </c>
      <c r="G159" t="s">
        <v>45</v>
      </c>
      <c r="H159" t="s">
        <v>68</v>
      </c>
      <c r="I159" t="s">
        <v>69</v>
      </c>
      <c r="J159" t="s">
        <v>70</v>
      </c>
      <c r="K159" t="s">
        <v>71</v>
      </c>
      <c r="L159" t="s">
        <v>72</v>
      </c>
      <c r="M159" t="s">
        <v>73</v>
      </c>
      <c r="N159" t="s">
        <v>61</v>
      </c>
      <c r="O159" t="s">
        <v>928</v>
      </c>
      <c r="P159" t="s">
        <v>85</v>
      </c>
      <c r="Q159" t="s">
        <v>359</v>
      </c>
      <c r="R159" t="s">
        <v>911</v>
      </c>
      <c r="S159" s="3" t="s">
        <v>207</v>
      </c>
      <c r="T159" t="s">
        <v>929</v>
      </c>
      <c r="U159" s="10" t="s">
        <v>1061</v>
      </c>
      <c r="V159" s="10" t="s">
        <v>1074</v>
      </c>
      <c r="W159" s="10" t="s">
        <v>1065</v>
      </c>
      <c r="X159" s="10" t="s">
        <v>1080</v>
      </c>
      <c r="Y159" t="s">
        <v>140</v>
      </c>
      <c r="Z159" t="s">
        <v>40</v>
      </c>
      <c r="AA159" t="s">
        <v>53</v>
      </c>
    </row>
    <row r="160" spans="1:27" x14ac:dyDescent="0.8">
      <c r="A160">
        <v>297</v>
      </c>
      <c r="B160">
        <v>911</v>
      </c>
      <c r="C160" s="2">
        <v>44385</v>
      </c>
      <c r="D160" t="s">
        <v>213</v>
      </c>
      <c r="E160" t="s">
        <v>63</v>
      </c>
      <c r="F160" t="s">
        <v>26</v>
      </c>
      <c r="G160" t="s">
        <v>45</v>
      </c>
      <c r="H160" t="s">
        <v>68</v>
      </c>
      <c r="I160" t="s">
        <v>69</v>
      </c>
      <c r="J160" t="s">
        <v>70</v>
      </c>
      <c r="K160" t="s">
        <v>71</v>
      </c>
      <c r="L160" t="s">
        <v>72</v>
      </c>
      <c r="M160" t="s">
        <v>73</v>
      </c>
      <c r="N160" t="s">
        <v>61</v>
      </c>
      <c r="O160" t="s">
        <v>928</v>
      </c>
      <c r="P160" t="s">
        <v>85</v>
      </c>
      <c r="Q160" t="s">
        <v>359</v>
      </c>
      <c r="R160" t="s">
        <v>911</v>
      </c>
      <c r="S160" s="3" t="s">
        <v>207</v>
      </c>
      <c r="T160" t="s">
        <v>929</v>
      </c>
      <c r="U160" s="10" t="s">
        <v>1061</v>
      </c>
      <c r="V160" s="10" t="s">
        <v>1074</v>
      </c>
      <c r="W160" s="10" t="s">
        <v>1065</v>
      </c>
      <c r="X160" s="10" t="s">
        <v>1080</v>
      </c>
      <c r="Y160" t="s">
        <v>140</v>
      </c>
      <c r="Z160" t="s">
        <v>40</v>
      </c>
      <c r="AA160" t="s">
        <v>53</v>
      </c>
    </row>
    <row r="161" spans="1:28" x14ac:dyDescent="0.8">
      <c r="A161">
        <v>542</v>
      </c>
      <c r="B161">
        <v>173</v>
      </c>
      <c r="C161" s="2">
        <v>44388</v>
      </c>
      <c r="D161" t="s">
        <v>124</v>
      </c>
      <c r="E161" t="s">
        <v>63</v>
      </c>
      <c r="F161" t="s">
        <v>26</v>
      </c>
      <c r="G161" t="s">
        <v>45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  <c r="M161" t="s">
        <v>73</v>
      </c>
      <c r="N161" t="s">
        <v>61</v>
      </c>
      <c r="O161" t="s">
        <v>928</v>
      </c>
      <c r="P161" t="s">
        <v>85</v>
      </c>
      <c r="Q161" t="s">
        <v>359</v>
      </c>
      <c r="R161" t="s">
        <v>911</v>
      </c>
      <c r="S161" s="3" t="s">
        <v>207</v>
      </c>
      <c r="T161" t="s">
        <v>929</v>
      </c>
      <c r="U161" s="10" t="s">
        <v>1061</v>
      </c>
      <c r="V161" s="10" t="s">
        <v>1074</v>
      </c>
      <c r="W161" s="10" t="s">
        <v>1065</v>
      </c>
      <c r="X161" s="10" t="s">
        <v>1080</v>
      </c>
      <c r="Y161" t="s">
        <v>39</v>
      </c>
      <c r="Z161" t="s">
        <v>40</v>
      </c>
      <c r="AA161" t="s">
        <v>63</v>
      </c>
      <c r="AB161" t="s">
        <v>933</v>
      </c>
    </row>
    <row r="162" spans="1:28" x14ac:dyDescent="0.8">
      <c r="A162">
        <v>552</v>
      </c>
      <c r="B162">
        <v>183</v>
      </c>
      <c r="C162" s="2">
        <v>44388</v>
      </c>
      <c r="D162" t="s">
        <v>124</v>
      </c>
      <c r="E162" t="s">
        <v>63</v>
      </c>
      <c r="F162" t="s">
        <v>26</v>
      </c>
      <c r="G162" t="s">
        <v>45</v>
      </c>
      <c r="H162" t="s">
        <v>68</v>
      </c>
      <c r="I162" t="s">
        <v>69</v>
      </c>
      <c r="J162" t="s">
        <v>70</v>
      </c>
      <c r="K162" t="s">
        <v>71</v>
      </c>
      <c r="L162" t="s">
        <v>72</v>
      </c>
      <c r="M162" t="s">
        <v>73</v>
      </c>
      <c r="N162" t="s">
        <v>61</v>
      </c>
      <c r="O162" t="s">
        <v>928</v>
      </c>
      <c r="P162" t="s">
        <v>85</v>
      </c>
      <c r="Q162" t="s">
        <v>359</v>
      </c>
      <c r="R162" t="s">
        <v>911</v>
      </c>
      <c r="S162" s="3" t="s">
        <v>207</v>
      </c>
      <c r="T162" t="s">
        <v>929</v>
      </c>
      <c r="U162" s="10" t="s">
        <v>1061</v>
      </c>
      <c r="V162" s="10" t="s">
        <v>1074</v>
      </c>
      <c r="W162" s="10" t="s">
        <v>1065</v>
      </c>
      <c r="X162" s="10" t="s">
        <v>1080</v>
      </c>
      <c r="Y162" t="s">
        <v>39</v>
      </c>
      <c r="Z162" t="s">
        <v>40</v>
      </c>
      <c r="AA162" t="s">
        <v>63</v>
      </c>
    </row>
    <row r="163" spans="1:28" x14ac:dyDescent="0.8">
      <c r="A163">
        <v>1033</v>
      </c>
      <c r="B163">
        <v>1437</v>
      </c>
      <c r="C163" s="2">
        <v>44387</v>
      </c>
      <c r="D163" t="s">
        <v>54</v>
      </c>
      <c r="E163" t="s">
        <v>103</v>
      </c>
      <c r="F163" t="s">
        <v>26</v>
      </c>
      <c r="G163" t="s">
        <v>45</v>
      </c>
      <c r="H163" t="s">
        <v>79</v>
      </c>
      <c r="I163" t="s">
        <v>69</v>
      </c>
      <c r="J163" t="s">
        <v>80</v>
      </c>
      <c r="K163" t="s">
        <v>81</v>
      </c>
      <c r="L163" t="s">
        <v>638</v>
      </c>
      <c r="M163" t="s">
        <v>639</v>
      </c>
      <c r="N163" t="s">
        <v>61</v>
      </c>
      <c r="O163" t="s">
        <v>934</v>
      </c>
      <c r="P163" t="s">
        <v>34</v>
      </c>
      <c r="Q163" t="s">
        <v>359</v>
      </c>
      <c r="R163" t="s">
        <v>911</v>
      </c>
      <c r="S163" t="s">
        <v>131</v>
      </c>
      <c r="T163" t="s">
        <v>935</v>
      </c>
      <c r="U163" s="10" t="s">
        <v>1064</v>
      </c>
      <c r="V163" s="10" t="s">
        <v>1074</v>
      </c>
      <c r="W163" s="10" t="s">
        <v>1064</v>
      </c>
      <c r="X163" s="10" t="s">
        <v>1080</v>
      </c>
      <c r="Y163" t="s">
        <v>140</v>
      </c>
      <c r="Z163" t="s">
        <v>40</v>
      </c>
      <c r="AA163" t="s">
        <v>63</v>
      </c>
    </row>
    <row r="164" spans="1:28" x14ac:dyDescent="0.8">
      <c r="A164">
        <v>890</v>
      </c>
      <c r="B164">
        <v>1018</v>
      </c>
      <c r="C164" s="2">
        <v>44388</v>
      </c>
      <c r="D164" t="s">
        <v>189</v>
      </c>
      <c r="E164" t="s">
        <v>53</v>
      </c>
      <c r="F164" t="s">
        <v>26</v>
      </c>
      <c r="G164" t="s">
        <v>45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73</v>
      </c>
      <c r="N164" t="s">
        <v>61</v>
      </c>
      <c r="O164" t="s">
        <v>758</v>
      </c>
      <c r="P164" t="s">
        <v>34</v>
      </c>
      <c r="Q164" t="s">
        <v>228</v>
      </c>
      <c r="R164" t="s">
        <v>759</v>
      </c>
      <c r="S164" t="s">
        <v>131</v>
      </c>
      <c r="T164" t="s">
        <v>760</v>
      </c>
      <c r="U164" s="10" t="s">
        <v>1064</v>
      </c>
      <c r="V164" s="10" t="s">
        <v>1100</v>
      </c>
      <c r="W164" s="10" t="s">
        <v>1087</v>
      </c>
      <c r="X164" s="10" t="s">
        <v>1068</v>
      </c>
      <c r="Y164" t="s">
        <v>39</v>
      </c>
      <c r="Z164" t="s">
        <v>40</v>
      </c>
      <c r="AA164" t="s">
        <v>63</v>
      </c>
    </row>
    <row r="165" spans="1:28" x14ac:dyDescent="0.8">
      <c r="A165">
        <v>888</v>
      </c>
      <c r="B165">
        <v>1016</v>
      </c>
      <c r="C165" s="2">
        <v>44388</v>
      </c>
      <c r="D165" t="s">
        <v>189</v>
      </c>
      <c r="E165" t="s">
        <v>125</v>
      </c>
      <c r="F165" t="s">
        <v>26</v>
      </c>
      <c r="G165" t="s">
        <v>45</v>
      </c>
      <c r="H165" t="s">
        <v>68</v>
      </c>
      <c r="I165" t="s">
        <v>69</v>
      </c>
      <c r="J165" t="s">
        <v>70</v>
      </c>
      <c r="K165" t="s">
        <v>71</v>
      </c>
      <c r="L165" t="s">
        <v>72</v>
      </c>
      <c r="M165" t="s">
        <v>73</v>
      </c>
      <c r="N165" t="s">
        <v>61</v>
      </c>
      <c r="O165" t="s">
        <v>758</v>
      </c>
      <c r="P165" t="s">
        <v>34</v>
      </c>
      <c r="Q165" t="s">
        <v>228</v>
      </c>
      <c r="R165" t="s">
        <v>759</v>
      </c>
      <c r="S165" t="s">
        <v>131</v>
      </c>
      <c r="T165" t="s">
        <v>760</v>
      </c>
      <c r="U165" s="10" t="s">
        <v>1064</v>
      </c>
      <c r="V165" s="10" t="s">
        <v>1100</v>
      </c>
      <c r="W165" s="10" t="s">
        <v>1087</v>
      </c>
      <c r="X165" s="10" t="s">
        <v>1068</v>
      </c>
      <c r="Y165" t="s">
        <v>39</v>
      </c>
      <c r="Z165" t="s">
        <v>40</v>
      </c>
      <c r="AA165" t="s">
        <v>63</v>
      </c>
    </row>
    <row r="166" spans="1:28" x14ac:dyDescent="0.8">
      <c r="A166">
        <v>880</v>
      </c>
      <c r="B166">
        <v>208</v>
      </c>
      <c r="C166" s="2">
        <v>44388</v>
      </c>
      <c r="D166" t="s">
        <v>189</v>
      </c>
      <c r="E166" t="s">
        <v>53</v>
      </c>
      <c r="F166" t="s">
        <v>26</v>
      </c>
      <c r="G166" t="s">
        <v>45</v>
      </c>
      <c r="H166" t="s">
        <v>68</v>
      </c>
      <c r="I166" t="s">
        <v>69</v>
      </c>
      <c r="J166" t="s">
        <v>70</v>
      </c>
      <c r="K166" t="s">
        <v>71</v>
      </c>
      <c r="L166" t="s">
        <v>72</v>
      </c>
      <c r="M166" t="s">
        <v>73</v>
      </c>
      <c r="N166" t="s">
        <v>61</v>
      </c>
      <c r="O166" t="s">
        <v>758</v>
      </c>
      <c r="P166" t="s">
        <v>34</v>
      </c>
      <c r="Q166" t="s">
        <v>228</v>
      </c>
      <c r="R166" t="s">
        <v>759</v>
      </c>
      <c r="S166" t="s">
        <v>131</v>
      </c>
      <c r="T166" t="s">
        <v>760</v>
      </c>
      <c r="U166" s="10" t="s">
        <v>1064</v>
      </c>
      <c r="V166" s="10" t="s">
        <v>1100</v>
      </c>
      <c r="W166" s="10" t="s">
        <v>1087</v>
      </c>
      <c r="X166" s="10" t="s">
        <v>1068</v>
      </c>
      <c r="Y166" t="s">
        <v>39</v>
      </c>
      <c r="Z166" t="s">
        <v>40</v>
      </c>
      <c r="AA166" t="s">
        <v>63</v>
      </c>
    </row>
    <row r="167" spans="1:28" x14ac:dyDescent="0.8">
      <c r="A167">
        <v>860</v>
      </c>
      <c r="B167">
        <v>940</v>
      </c>
      <c r="C167" s="2">
        <v>44388</v>
      </c>
      <c r="D167" t="s">
        <v>189</v>
      </c>
      <c r="E167" t="s">
        <v>25</v>
      </c>
      <c r="F167" t="s">
        <v>26</v>
      </c>
      <c r="G167" t="s">
        <v>45</v>
      </c>
      <c r="H167" t="s">
        <v>155</v>
      </c>
      <c r="I167" t="s">
        <v>69</v>
      </c>
      <c r="J167" t="s">
        <v>156</v>
      </c>
      <c r="K167" t="s">
        <v>157</v>
      </c>
      <c r="L167" t="s">
        <v>158</v>
      </c>
      <c r="M167" t="s">
        <v>159</v>
      </c>
      <c r="N167" t="s">
        <v>52</v>
      </c>
      <c r="O167" t="s">
        <v>758</v>
      </c>
      <c r="P167" t="s">
        <v>34</v>
      </c>
      <c r="Q167" t="s">
        <v>228</v>
      </c>
      <c r="R167" t="s">
        <v>759</v>
      </c>
      <c r="S167" t="s">
        <v>131</v>
      </c>
      <c r="T167" t="s">
        <v>760</v>
      </c>
      <c r="U167" s="10" t="s">
        <v>1064</v>
      </c>
      <c r="V167" s="10" t="s">
        <v>1100</v>
      </c>
      <c r="W167" s="10" t="s">
        <v>1087</v>
      </c>
      <c r="X167" s="10" t="s">
        <v>1068</v>
      </c>
      <c r="Y167" t="s">
        <v>39</v>
      </c>
      <c r="Z167" t="s">
        <v>40</v>
      </c>
      <c r="AA167" t="s">
        <v>63</v>
      </c>
    </row>
    <row r="168" spans="1:28" x14ac:dyDescent="0.8">
      <c r="A168">
        <v>846</v>
      </c>
      <c r="B168">
        <v>84</v>
      </c>
      <c r="C168" s="2">
        <v>44388</v>
      </c>
      <c r="D168" t="s">
        <v>189</v>
      </c>
      <c r="E168" t="s">
        <v>25</v>
      </c>
      <c r="F168" t="s">
        <v>26</v>
      </c>
      <c r="G168" t="s">
        <v>45</v>
      </c>
      <c r="H168" t="s">
        <v>155</v>
      </c>
      <c r="I168" t="s">
        <v>69</v>
      </c>
      <c r="J168" t="s">
        <v>156</v>
      </c>
      <c r="K168" t="s">
        <v>157</v>
      </c>
      <c r="L168" t="s">
        <v>158</v>
      </c>
      <c r="M168" t="s">
        <v>159</v>
      </c>
      <c r="N168" t="s">
        <v>52</v>
      </c>
      <c r="O168" t="s">
        <v>758</v>
      </c>
      <c r="P168" t="s">
        <v>34</v>
      </c>
      <c r="Q168" t="s">
        <v>228</v>
      </c>
      <c r="R168" t="s">
        <v>759</v>
      </c>
      <c r="S168" t="s">
        <v>131</v>
      </c>
      <c r="T168" t="s">
        <v>760</v>
      </c>
      <c r="U168" s="10" t="s">
        <v>1064</v>
      </c>
      <c r="V168" s="10" t="s">
        <v>1100</v>
      </c>
      <c r="W168" s="10" t="s">
        <v>1087</v>
      </c>
      <c r="X168" s="10" t="s">
        <v>1068</v>
      </c>
      <c r="Y168" t="s">
        <v>140</v>
      </c>
      <c r="Z168" t="s">
        <v>40</v>
      </c>
      <c r="AA168" t="s">
        <v>63</v>
      </c>
    </row>
    <row r="169" spans="1:28" x14ac:dyDescent="0.8">
      <c r="A169">
        <v>404</v>
      </c>
      <c r="B169">
        <v>500</v>
      </c>
      <c r="C169" s="2">
        <v>44384</v>
      </c>
      <c r="D169" t="s">
        <v>306</v>
      </c>
      <c r="E169" t="s">
        <v>63</v>
      </c>
      <c r="F169" t="s">
        <v>26</v>
      </c>
      <c r="G169" t="s">
        <v>94</v>
      </c>
      <c r="H169" t="s">
        <v>95</v>
      </c>
      <c r="I169" t="s">
        <v>96</v>
      </c>
      <c r="J169" t="s">
        <v>97</v>
      </c>
      <c r="K169" t="s">
        <v>98</v>
      </c>
      <c r="L169" t="s">
        <v>99</v>
      </c>
      <c r="M169" t="s">
        <v>100</v>
      </c>
      <c r="N169" t="s">
        <v>101</v>
      </c>
      <c r="O169" t="s">
        <v>842</v>
      </c>
      <c r="P169" t="s">
        <v>326</v>
      </c>
      <c r="Q169" t="s">
        <v>524</v>
      </c>
      <c r="R169" t="s">
        <v>843</v>
      </c>
      <c r="S169" t="s">
        <v>844</v>
      </c>
      <c r="T169" t="s">
        <v>845</v>
      </c>
      <c r="U169" s="10" t="s">
        <v>1061</v>
      </c>
      <c r="V169" s="10" t="s">
        <v>1104</v>
      </c>
      <c r="W169" s="10" t="s">
        <v>1064</v>
      </c>
      <c r="X169" s="10" t="s">
        <v>1063</v>
      </c>
      <c r="Y169" t="s">
        <v>39</v>
      </c>
      <c r="Z169" t="s">
        <v>40</v>
      </c>
      <c r="AA169" t="s">
        <v>53</v>
      </c>
    </row>
    <row r="170" spans="1:28" x14ac:dyDescent="0.8">
      <c r="A170">
        <v>1042</v>
      </c>
      <c r="B170">
        <v>1446</v>
      </c>
      <c r="C170" s="2">
        <v>44387</v>
      </c>
      <c r="D170" t="s">
        <v>54</v>
      </c>
      <c r="E170" t="s">
        <v>25</v>
      </c>
      <c r="F170" t="s">
        <v>26</v>
      </c>
      <c r="G170" t="s">
        <v>45</v>
      </c>
      <c r="H170" t="s">
        <v>55</v>
      </c>
      <c r="I170" t="s">
        <v>56</v>
      </c>
      <c r="J170" t="s">
        <v>57</v>
      </c>
      <c r="K170" t="s">
        <v>58</v>
      </c>
      <c r="L170" t="s">
        <v>59</v>
      </c>
      <c r="M170" t="s">
        <v>60</v>
      </c>
      <c r="N170" t="s">
        <v>61</v>
      </c>
      <c r="O170" t="s">
        <v>197</v>
      </c>
      <c r="P170" t="s">
        <v>34</v>
      </c>
      <c r="Q170" t="s">
        <v>191</v>
      </c>
      <c r="R170" t="s">
        <v>192</v>
      </c>
      <c r="S170" t="s">
        <v>198</v>
      </c>
      <c r="T170" t="s">
        <v>199</v>
      </c>
      <c r="U170" s="10" t="s">
        <v>1055</v>
      </c>
      <c r="V170" s="10" t="s">
        <v>1072</v>
      </c>
      <c r="W170" s="10" t="s">
        <v>1064</v>
      </c>
      <c r="X170" s="10" t="s">
        <v>1063</v>
      </c>
      <c r="Y170" t="s">
        <v>39</v>
      </c>
      <c r="Z170" t="s">
        <v>40</v>
      </c>
      <c r="AA170" t="s">
        <v>63</v>
      </c>
    </row>
    <row r="171" spans="1:28" x14ac:dyDescent="0.8">
      <c r="A171">
        <v>1037</v>
      </c>
      <c r="B171">
        <v>1441</v>
      </c>
      <c r="C171" s="2">
        <v>44387</v>
      </c>
      <c r="D171" t="s">
        <v>54</v>
      </c>
      <c r="E171" t="s">
        <v>25</v>
      </c>
      <c r="F171" t="s">
        <v>26</v>
      </c>
      <c r="G171" t="s">
        <v>45</v>
      </c>
      <c r="H171" t="s">
        <v>55</v>
      </c>
      <c r="I171" t="s">
        <v>56</v>
      </c>
      <c r="J171" t="s">
        <v>57</v>
      </c>
      <c r="K171" t="s">
        <v>58</v>
      </c>
      <c r="L171" t="s">
        <v>59</v>
      </c>
      <c r="M171" t="s">
        <v>60</v>
      </c>
      <c r="N171" t="s">
        <v>61</v>
      </c>
      <c r="O171" t="s">
        <v>197</v>
      </c>
      <c r="P171" t="s">
        <v>34</v>
      </c>
      <c r="Q171" t="s">
        <v>191</v>
      </c>
      <c r="R171" t="s">
        <v>192</v>
      </c>
      <c r="S171" t="s">
        <v>198</v>
      </c>
      <c r="T171" t="s">
        <v>199</v>
      </c>
      <c r="U171" s="10" t="s">
        <v>1055</v>
      </c>
      <c r="V171" s="10" t="s">
        <v>1072</v>
      </c>
      <c r="W171" s="10" t="s">
        <v>1064</v>
      </c>
      <c r="X171" s="10" t="s">
        <v>1063</v>
      </c>
      <c r="Y171" t="s">
        <v>140</v>
      </c>
      <c r="Z171" t="s">
        <v>40</v>
      </c>
      <c r="AA171" t="s">
        <v>63</v>
      </c>
    </row>
    <row r="172" spans="1:28" x14ac:dyDescent="0.8">
      <c r="A172">
        <v>973</v>
      </c>
      <c r="B172">
        <v>1281</v>
      </c>
      <c r="C172" s="2">
        <v>44385</v>
      </c>
      <c r="D172" t="s">
        <v>203</v>
      </c>
      <c r="E172" t="s">
        <v>25</v>
      </c>
      <c r="F172" t="s">
        <v>26</v>
      </c>
      <c r="G172" t="s">
        <v>45</v>
      </c>
      <c r="H172" t="s">
        <v>68</v>
      </c>
      <c r="I172" t="s">
        <v>69</v>
      </c>
      <c r="J172" t="s">
        <v>70</v>
      </c>
      <c r="K172" t="s">
        <v>71</v>
      </c>
      <c r="L172" t="s">
        <v>72</v>
      </c>
      <c r="M172" t="s">
        <v>73</v>
      </c>
      <c r="N172" t="s">
        <v>61</v>
      </c>
      <c r="O172" t="s">
        <v>204</v>
      </c>
      <c r="P172" t="s">
        <v>85</v>
      </c>
      <c r="Q172" t="s">
        <v>205</v>
      </c>
      <c r="R172" t="s">
        <v>206</v>
      </c>
      <c r="S172" t="s">
        <v>207</v>
      </c>
      <c r="T172" t="s">
        <v>208</v>
      </c>
      <c r="U172" s="10" t="s">
        <v>1061</v>
      </c>
      <c r="V172" s="10" t="s">
        <v>1072</v>
      </c>
      <c r="W172" s="10" t="s">
        <v>1142</v>
      </c>
      <c r="X172" s="10" t="s">
        <v>1068</v>
      </c>
      <c r="Y172" t="s">
        <v>140</v>
      </c>
      <c r="Z172" t="s">
        <v>62</v>
      </c>
      <c r="AA172" t="s">
        <v>63</v>
      </c>
    </row>
    <row r="173" spans="1:28" x14ac:dyDescent="0.8">
      <c r="A173">
        <v>996</v>
      </c>
      <c r="B173">
        <v>1352</v>
      </c>
      <c r="C173" s="2">
        <v>44385</v>
      </c>
      <c r="D173" t="s">
        <v>203</v>
      </c>
      <c r="E173" t="s">
        <v>25</v>
      </c>
      <c r="F173" t="s">
        <v>26</v>
      </c>
      <c r="G173" t="s">
        <v>45</v>
      </c>
      <c r="H173" t="s">
        <v>155</v>
      </c>
      <c r="I173" t="s">
        <v>69</v>
      </c>
      <c r="J173" t="s">
        <v>156</v>
      </c>
      <c r="K173" t="s">
        <v>157</v>
      </c>
      <c r="L173" t="s">
        <v>158</v>
      </c>
      <c r="M173" t="s">
        <v>159</v>
      </c>
      <c r="N173" t="s">
        <v>61</v>
      </c>
      <c r="O173" t="s">
        <v>204</v>
      </c>
      <c r="P173" t="s">
        <v>85</v>
      </c>
      <c r="Q173" t="s">
        <v>205</v>
      </c>
      <c r="R173" t="s">
        <v>206</v>
      </c>
      <c r="S173" t="s">
        <v>207</v>
      </c>
      <c r="T173" t="s">
        <v>208</v>
      </c>
      <c r="U173" s="10" t="s">
        <v>1061</v>
      </c>
      <c r="V173" s="10" t="s">
        <v>1072</v>
      </c>
      <c r="W173" s="10" t="s">
        <v>1142</v>
      </c>
      <c r="X173" s="10" t="s">
        <v>1068</v>
      </c>
      <c r="Y173" t="s">
        <v>39</v>
      </c>
      <c r="Z173" t="s">
        <v>40</v>
      </c>
      <c r="AA173" t="s">
        <v>63</v>
      </c>
    </row>
    <row r="174" spans="1:28" x14ac:dyDescent="0.8">
      <c r="A174">
        <v>1759</v>
      </c>
      <c r="B174">
        <v>97</v>
      </c>
      <c r="C174" s="2">
        <v>44384</v>
      </c>
      <c r="D174" t="s">
        <v>24</v>
      </c>
      <c r="E174" t="s">
        <v>63</v>
      </c>
      <c r="F174" t="s">
        <v>26</v>
      </c>
      <c r="G174" t="s">
        <v>45</v>
      </c>
      <c r="H174" t="s">
        <v>46</v>
      </c>
      <c r="I174" t="s">
        <v>47</v>
      </c>
      <c r="J174" t="s">
        <v>48</v>
      </c>
      <c r="K174" t="s">
        <v>49</v>
      </c>
      <c r="L174" t="s">
        <v>91</v>
      </c>
      <c r="M174" t="s">
        <v>92</v>
      </c>
      <c r="N174" t="s">
        <v>61</v>
      </c>
      <c r="O174" t="s">
        <v>546</v>
      </c>
      <c r="P174" t="s">
        <v>34</v>
      </c>
      <c r="Q174" t="s">
        <v>547</v>
      </c>
      <c r="R174" t="s">
        <v>548</v>
      </c>
      <c r="S174" t="s">
        <v>463</v>
      </c>
      <c r="T174" t="s">
        <v>549</v>
      </c>
      <c r="U174" s="10" t="s">
        <v>1055</v>
      </c>
      <c r="V174" s="10" t="s">
        <v>1085</v>
      </c>
      <c r="W174" s="10" t="s">
        <v>1085</v>
      </c>
      <c r="X174" s="10" t="s">
        <v>1059</v>
      </c>
      <c r="Y174" t="s">
        <v>39</v>
      </c>
      <c r="Z174" t="s">
        <v>40</v>
      </c>
      <c r="AA174" t="s">
        <v>41</v>
      </c>
    </row>
    <row r="175" spans="1:28" x14ac:dyDescent="0.8">
      <c r="A175">
        <v>602</v>
      </c>
      <c r="B175">
        <v>701</v>
      </c>
      <c r="C175" s="2">
        <v>44384</v>
      </c>
      <c r="D175" t="s">
        <v>24</v>
      </c>
      <c r="E175" t="s">
        <v>25</v>
      </c>
      <c r="F175" t="s">
        <v>26</v>
      </c>
      <c r="G175" t="s">
        <v>45</v>
      </c>
      <c r="H175" t="s">
        <v>46</v>
      </c>
      <c r="I175" t="s">
        <v>47</v>
      </c>
      <c r="J175" t="s">
        <v>48</v>
      </c>
      <c r="K175" t="s">
        <v>49</v>
      </c>
      <c r="L175" t="s">
        <v>91</v>
      </c>
      <c r="M175" t="s">
        <v>92</v>
      </c>
      <c r="N175" t="s">
        <v>61</v>
      </c>
      <c r="O175" t="s">
        <v>546</v>
      </c>
      <c r="P175" t="s">
        <v>34</v>
      </c>
      <c r="Q175" t="s">
        <v>547</v>
      </c>
      <c r="R175" t="s">
        <v>548</v>
      </c>
      <c r="S175" t="s">
        <v>463</v>
      </c>
      <c r="T175" t="s">
        <v>549</v>
      </c>
      <c r="U175" s="10" t="s">
        <v>1055</v>
      </c>
      <c r="V175" s="10" t="s">
        <v>1085</v>
      </c>
      <c r="W175" s="10" t="s">
        <v>1085</v>
      </c>
      <c r="X175" s="10" t="s">
        <v>1059</v>
      </c>
      <c r="Y175" t="s">
        <v>39</v>
      </c>
      <c r="Z175" t="s">
        <v>40</v>
      </c>
      <c r="AA175" t="s">
        <v>63</v>
      </c>
    </row>
    <row r="176" spans="1:28" x14ac:dyDescent="0.8">
      <c r="A176">
        <v>259</v>
      </c>
      <c r="B176">
        <v>1465</v>
      </c>
      <c r="C176" s="2">
        <v>44384</v>
      </c>
      <c r="D176" t="s">
        <v>24</v>
      </c>
      <c r="E176" t="s">
        <v>25</v>
      </c>
      <c r="F176" t="s">
        <v>26</v>
      </c>
      <c r="G176" t="s">
        <v>45</v>
      </c>
      <c r="H176" t="s">
        <v>46</v>
      </c>
      <c r="I176" t="s">
        <v>47</v>
      </c>
      <c r="J176" t="s">
        <v>48</v>
      </c>
      <c r="K176" t="s">
        <v>141</v>
      </c>
      <c r="L176" t="s">
        <v>142</v>
      </c>
      <c r="M176" t="s">
        <v>143</v>
      </c>
      <c r="N176" t="s">
        <v>61</v>
      </c>
      <c r="O176" t="s">
        <v>546</v>
      </c>
      <c r="P176" t="s">
        <v>34</v>
      </c>
      <c r="Q176" t="s">
        <v>547</v>
      </c>
      <c r="R176" t="s">
        <v>548</v>
      </c>
      <c r="S176" t="s">
        <v>463</v>
      </c>
      <c r="T176" t="s">
        <v>549</v>
      </c>
      <c r="U176" s="10" t="s">
        <v>1055</v>
      </c>
      <c r="V176" s="10" t="s">
        <v>1085</v>
      </c>
      <c r="W176" s="10" t="s">
        <v>1085</v>
      </c>
      <c r="X176" s="10" t="s">
        <v>1059</v>
      </c>
      <c r="Y176" t="s">
        <v>39</v>
      </c>
      <c r="Z176" t="s">
        <v>62</v>
      </c>
      <c r="AA176" t="s">
        <v>53</v>
      </c>
    </row>
    <row r="177" spans="1:27" x14ac:dyDescent="0.8">
      <c r="A177">
        <v>503</v>
      </c>
      <c r="B177">
        <v>792</v>
      </c>
      <c r="C177" s="2">
        <v>44386</v>
      </c>
      <c r="D177" t="s">
        <v>93</v>
      </c>
      <c r="E177" t="s">
        <v>53</v>
      </c>
      <c r="F177" t="s">
        <v>26</v>
      </c>
      <c r="G177" t="s">
        <v>45</v>
      </c>
      <c r="H177" t="s">
        <v>68</v>
      </c>
      <c r="I177" t="s">
        <v>69</v>
      </c>
      <c r="J177" t="s">
        <v>70</v>
      </c>
      <c r="K177" t="s">
        <v>71</v>
      </c>
      <c r="L177" t="s">
        <v>72</v>
      </c>
      <c r="M177" t="s">
        <v>73</v>
      </c>
      <c r="N177" t="s">
        <v>61</v>
      </c>
      <c r="O177" t="s">
        <v>546</v>
      </c>
      <c r="P177" t="s">
        <v>34</v>
      </c>
      <c r="Q177" t="s">
        <v>547</v>
      </c>
      <c r="R177" t="s">
        <v>548</v>
      </c>
      <c r="S177" t="s">
        <v>463</v>
      </c>
      <c r="T177" t="s">
        <v>549</v>
      </c>
      <c r="U177" s="10" t="s">
        <v>1055</v>
      </c>
      <c r="V177" s="10" t="s">
        <v>1085</v>
      </c>
      <c r="W177" s="10" t="s">
        <v>1085</v>
      </c>
      <c r="X177" s="10" t="s">
        <v>1059</v>
      </c>
      <c r="Y177" t="s">
        <v>39</v>
      </c>
      <c r="Z177" t="s">
        <v>40</v>
      </c>
      <c r="AA177" t="s">
        <v>63</v>
      </c>
    </row>
    <row r="178" spans="1:27" x14ac:dyDescent="0.8">
      <c r="A178">
        <v>1561</v>
      </c>
      <c r="B178">
        <v>306</v>
      </c>
      <c r="C178" s="2">
        <v>44386</v>
      </c>
      <c r="D178" t="s">
        <v>93</v>
      </c>
      <c r="E178" t="s">
        <v>63</v>
      </c>
      <c r="F178" t="s">
        <v>26</v>
      </c>
      <c r="G178" t="s">
        <v>45</v>
      </c>
      <c r="H178" t="s">
        <v>155</v>
      </c>
      <c r="I178" t="s">
        <v>69</v>
      </c>
      <c r="J178" t="s">
        <v>156</v>
      </c>
      <c r="K178" t="s">
        <v>157</v>
      </c>
      <c r="L178" t="s">
        <v>158</v>
      </c>
      <c r="M178" t="s">
        <v>159</v>
      </c>
      <c r="N178" t="s">
        <v>61</v>
      </c>
      <c r="O178" t="s">
        <v>546</v>
      </c>
      <c r="P178" t="s">
        <v>34</v>
      </c>
      <c r="Q178" t="s">
        <v>547</v>
      </c>
      <c r="R178" t="s">
        <v>548</v>
      </c>
      <c r="S178" t="s">
        <v>463</v>
      </c>
      <c r="T178" t="s">
        <v>549</v>
      </c>
      <c r="U178" s="10" t="s">
        <v>1055</v>
      </c>
      <c r="V178" s="10" t="s">
        <v>1085</v>
      </c>
      <c r="W178" s="10" t="s">
        <v>1085</v>
      </c>
      <c r="X178" s="10" t="s">
        <v>1059</v>
      </c>
      <c r="Y178" t="s">
        <v>140</v>
      </c>
      <c r="Z178" t="s">
        <v>40</v>
      </c>
      <c r="AA178" t="s">
        <v>125</v>
      </c>
    </row>
    <row r="179" spans="1:27" x14ac:dyDescent="0.8">
      <c r="A179">
        <v>1555</v>
      </c>
      <c r="B179">
        <v>299</v>
      </c>
      <c r="C179" s="2">
        <v>44386</v>
      </c>
      <c r="D179" t="s">
        <v>93</v>
      </c>
      <c r="E179" t="s">
        <v>63</v>
      </c>
      <c r="F179" t="s">
        <v>26</v>
      </c>
      <c r="G179" t="s">
        <v>45</v>
      </c>
      <c r="H179" t="s">
        <v>155</v>
      </c>
      <c r="I179" t="s">
        <v>69</v>
      </c>
      <c r="J179" t="s">
        <v>156</v>
      </c>
      <c r="K179" t="s">
        <v>157</v>
      </c>
      <c r="L179" t="s">
        <v>158</v>
      </c>
      <c r="M179" t="s">
        <v>159</v>
      </c>
      <c r="N179" t="s">
        <v>61</v>
      </c>
      <c r="O179" t="s">
        <v>546</v>
      </c>
      <c r="P179" t="s">
        <v>34</v>
      </c>
      <c r="Q179" t="s">
        <v>547</v>
      </c>
      <c r="R179" t="s">
        <v>548</v>
      </c>
      <c r="S179" t="s">
        <v>463</v>
      </c>
      <c r="T179" t="s">
        <v>549</v>
      </c>
      <c r="U179" s="10" t="s">
        <v>1055</v>
      </c>
      <c r="V179" s="10" t="s">
        <v>1085</v>
      </c>
      <c r="W179" s="10" t="s">
        <v>1085</v>
      </c>
      <c r="X179" s="10" t="s">
        <v>1059</v>
      </c>
      <c r="Y179" t="s">
        <v>140</v>
      </c>
      <c r="Z179" t="s">
        <v>40</v>
      </c>
      <c r="AA179" t="s">
        <v>125</v>
      </c>
    </row>
    <row r="180" spans="1:27" x14ac:dyDescent="0.8">
      <c r="A180">
        <v>513</v>
      </c>
      <c r="B180">
        <v>53</v>
      </c>
      <c r="C180" s="2">
        <v>44386</v>
      </c>
      <c r="D180" t="s">
        <v>93</v>
      </c>
      <c r="E180" t="s">
        <v>63</v>
      </c>
      <c r="F180" t="s">
        <v>26</v>
      </c>
      <c r="G180" t="s">
        <v>45</v>
      </c>
      <c r="H180" t="s">
        <v>155</v>
      </c>
      <c r="I180" t="s">
        <v>69</v>
      </c>
      <c r="J180" t="s">
        <v>156</v>
      </c>
      <c r="K180" t="s">
        <v>157</v>
      </c>
      <c r="L180" t="s">
        <v>158</v>
      </c>
      <c r="M180" t="s">
        <v>159</v>
      </c>
      <c r="N180" t="s">
        <v>61</v>
      </c>
      <c r="O180" t="s">
        <v>546</v>
      </c>
      <c r="P180" t="s">
        <v>34</v>
      </c>
      <c r="Q180" t="s">
        <v>547</v>
      </c>
      <c r="R180" t="s">
        <v>548</v>
      </c>
      <c r="S180" t="s">
        <v>463</v>
      </c>
      <c r="T180" t="s">
        <v>549</v>
      </c>
      <c r="U180" s="10" t="s">
        <v>1055</v>
      </c>
      <c r="V180" s="10" t="s">
        <v>1085</v>
      </c>
      <c r="W180" s="10" t="s">
        <v>1085</v>
      </c>
      <c r="X180" s="10" t="s">
        <v>1059</v>
      </c>
      <c r="Y180" t="s">
        <v>39</v>
      </c>
      <c r="Z180" t="s">
        <v>40</v>
      </c>
      <c r="AA180" t="s">
        <v>63</v>
      </c>
    </row>
    <row r="181" spans="1:27" x14ac:dyDescent="0.8">
      <c r="A181">
        <v>133</v>
      </c>
      <c r="B181">
        <v>1009</v>
      </c>
      <c r="C181" s="2">
        <v>44386</v>
      </c>
      <c r="D181" t="s">
        <v>93</v>
      </c>
      <c r="E181" t="s">
        <v>53</v>
      </c>
      <c r="F181" t="s">
        <v>26</v>
      </c>
      <c r="G181" t="s">
        <v>45</v>
      </c>
      <c r="H181" t="s">
        <v>155</v>
      </c>
      <c r="I181" t="s">
        <v>69</v>
      </c>
      <c r="J181" t="s">
        <v>156</v>
      </c>
      <c r="K181" t="s">
        <v>157</v>
      </c>
      <c r="L181" t="s">
        <v>158</v>
      </c>
      <c r="M181" t="s">
        <v>159</v>
      </c>
      <c r="N181" t="s">
        <v>61</v>
      </c>
      <c r="O181" t="s">
        <v>546</v>
      </c>
      <c r="P181" t="s">
        <v>34</v>
      </c>
      <c r="Q181" t="s">
        <v>547</v>
      </c>
      <c r="R181" t="s">
        <v>548</v>
      </c>
      <c r="S181" t="s">
        <v>463</v>
      </c>
      <c r="T181" t="s">
        <v>549</v>
      </c>
      <c r="U181" s="10" t="s">
        <v>1055</v>
      </c>
      <c r="V181" s="10" t="s">
        <v>1085</v>
      </c>
      <c r="W181" s="10" t="s">
        <v>1085</v>
      </c>
      <c r="X181" s="10" t="s">
        <v>1059</v>
      </c>
      <c r="Y181" t="s">
        <v>39</v>
      </c>
      <c r="Z181" t="s">
        <v>40</v>
      </c>
      <c r="AA181" t="s">
        <v>53</v>
      </c>
    </row>
    <row r="182" spans="1:27" x14ac:dyDescent="0.8">
      <c r="A182">
        <v>512</v>
      </c>
      <c r="B182">
        <v>52</v>
      </c>
      <c r="C182" s="2">
        <v>44386</v>
      </c>
      <c r="D182" t="s">
        <v>93</v>
      </c>
      <c r="E182" t="s">
        <v>53</v>
      </c>
      <c r="F182" t="s">
        <v>26</v>
      </c>
      <c r="G182" t="s">
        <v>45</v>
      </c>
      <c r="H182" t="s">
        <v>55</v>
      </c>
      <c r="I182" t="s">
        <v>69</v>
      </c>
      <c r="J182" t="s">
        <v>284</v>
      </c>
      <c r="K182" t="s">
        <v>285</v>
      </c>
      <c r="L182" t="s">
        <v>286</v>
      </c>
      <c r="M182" t="s">
        <v>287</v>
      </c>
      <c r="N182" t="s">
        <v>61</v>
      </c>
      <c r="O182" t="s">
        <v>546</v>
      </c>
      <c r="P182" t="s">
        <v>34</v>
      </c>
      <c r="Q182" t="s">
        <v>547</v>
      </c>
      <c r="R182" t="s">
        <v>548</v>
      </c>
      <c r="S182" t="s">
        <v>463</v>
      </c>
      <c r="T182" t="s">
        <v>549</v>
      </c>
      <c r="U182" s="10" t="s">
        <v>1055</v>
      </c>
      <c r="V182" s="10" t="s">
        <v>1085</v>
      </c>
      <c r="W182" s="10" t="s">
        <v>1085</v>
      </c>
      <c r="X182" s="10" t="s">
        <v>1059</v>
      </c>
      <c r="Y182" t="s">
        <v>39</v>
      </c>
      <c r="Z182" t="s">
        <v>40</v>
      </c>
      <c r="AA182" t="s">
        <v>63</v>
      </c>
    </row>
    <row r="183" spans="1:27" x14ac:dyDescent="0.8">
      <c r="A183">
        <v>1576</v>
      </c>
      <c r="B183">
        <v>321</v>
      </c>
      <c r="C183" s="2">
        <v>44386</v>
      </c>
      <c r="D183" t="s">
        <v>93</v>
      </c>
      <c r="E183" t="s">
        <v>25</v>
      </c>
      <c r="F183" t="s">
        <v>26</v>
      </c>
      <c r="G183" t="s">
        <v>45</v>
      </c>
      <c r="H183" t="s">
        <v>46</v>
      </c>
      <c r="I183" t="s">
        <v>47</v>
      </c>
      <c r="J183" t="s">
        <v>48</v>
      </c>
      <c r="K183" t="s">
        <v>141</v>
      </c>
      <c r="L183" t="s">
        <v>142</v>
      </c>
      <c r="M183" t="s">
        <v>143</v>
      </c>
      <c r="O183" t="s">
        <v>546</v>
      </c>
      <c r="P183" t="s">
        <v>34</v>
      </c>
      <c r="Q183" t="s">
        <v>547</v>
      </c>
      <c r="R183" t="s">
        <v>548</v>
      </c>
      <c r="S183" t="s">
        <v>463</v>
      </c>
      <c r="T183" t="s">
        <v>549</v>
      </c>
      <c r="U183" s="10" t="s">
        <v>1055</v>
      </c>
      <c r="V183" s="10" t="s">
        <v>1085</v>
      </c>
      <c r="W183" s="10" t="s">
        <v>1085</v>
      </c>
      <c r="X183" s="10" t="s">
        <v>1059</v>
      </c>
      <c r="Y183" t="s">
        <v>39</v>
      </c>
      <c r="Z183" t="s">
        <v>40</v>
      </c>
      <c r="AA183" t="s">
        <v>125</v>
      </c>
    </row>
    <row r="184" spans="1:27" x14ac:dyDescent="0.8">
      <c r="A184">
        <v>147</v>
      </c>
      <c r="B184">
        <v>1093</v>
      </c>
      <c r="C184" s="2">
        <v>44386</v>
      </c>
      <c r="D184" t="s">
        <v>93</v>
      </c>
      <c r="E184" t="s">
        <v>25</v>
      </c>
      <c r="F184" t="s">
        <v>26</v>
      </c>
      <c r="G184" t="s">
        <v>45</v>
      </c>
      <c r="H184" t="s">
        <v>46</v>
      </c>
      <c r="I184" t="s">
        <v>47</v>
      </c>
      <c r="J184" t="s">
        <v>48</v>
      </c>
      <c r="K184" t="s">
        <v>141</v>
      </c>
      <c r="L184" t="s">
        <v>142</v>
      </c>
      <c r="M184" t="s">
        <v>143</v>
      </c>
      <c r="N184" t="s">
        <v>61</v>
      </c>
      <c r="O184" t="s">
        <v>546</v>
      </c>
      <c r="P184" t="s">
        <v>34</v>
      </c>
      <c r="Q184" t="s">
        <v>547</v>
      </c>
      <c r="R184" t="s">
        <v>548</v>
      </c>
      <c r="S184" t="s">
        <v>463</v>
      </c>
      <c r="T184" t="s">
        <v>549</v>
      </c>
      <c r="U184" s="10" t="s">
        <v>1055</v>
      </c>
      <c r="V184" s="10" t="s">
        <v>1085</v>
      </c>
      <c r="W184" s="10" t="s">
        <v>1085</v>
      </c>
      <c r="X184" s="10" t="s">
        <v>1059</v>
      </c>
      <c r="Y184" t="s">
        <v>39</v>
      </c>
      <c r="Z184" t="s">
        <v>62</v>
      </c>
      <c r="AA184" t="s">
        <v>53</v>
      </c>
    </row>
    <row r="185" spans="1:27" x14ac:dyDescent="0.8">
      <c r="A185">
        <v>1775</v>
      </c>
      <c r="B185">
        <v>1493</v>
      </c>
      <c r="C185" s="2">
        <v>44387</v>
      </c>
      <c r="D185" t="s">
        <v>173</v>
      </c>
      <c r="E185" t="s">
        <v>25</v>
      </c>
      <c r="F185" t="s">
        <v>26</v>
      </c>
      <c r="G185" t="s">
        <v>45</v>
      </c>
      <c r="H185" t="s">
        <v>155</v>
      </c>
      <c r="I185" t="s">
        <v>69</v>
      </c>
      <c r="J185" t="s">
        <v>156</v>
      </c>
      <c r="K185" t="s">
        <v>157</v>
      </c>
      <c r="L185" t="s">
        <v>158</v>
      </c>
      <c r="M185" t="s">
        <v>159</v>
      </c>
      <c r="N185" t="s">
        <v>61</v>
      </c>
      <c r="O185" t="s">
        <v>546</v>
      </c>
      <c r="P185" t="s">
        <v>34</v>
      </c>
      <c r="Q185" t="s">
        <v>547</v>
      </c>
      <c r="R185" t="s">
        <v>548</v>
      </c>
      <c r="S185" t="s">
        <v>463</v>
      </c>
      <c r="T185" t="s">
        <v>549</v>
      </c>
      <c r="U185" s="10" t="s">
        <v>1055</v>
      </c>
      <c r="V185" s="10" t="s">
        <v>1085</v>
      </c>
      <c r="W185" s="10" t="s">
        <v>1085</v>
      </c>
      <c r="X185" s="10" t="s">
        <v>1059</v>
      </c>
      <c r="Y185" t="s">
        <v>39</v>
      </c>
      <c r="Z185" t="s">
        <v>62</v>
      </c>
      <c r="AA185" t="s">
        <v>41</v>
      </c>
    </row>
    <row r="186" spans="1:27" x14ac:dyDescent="0.8">
      <c r="A186">
        <v>1404</v>
      </c>
      <c r="B186">
        <v>2151</v>
      </c>
      <c r="C186" s="2">
        <v>44387</v>
      </c>
      <c r="D186" t="s">
        <v>173</v>
      </c>
      <c r="E186" t="s">
        <v>63</v>
      </c>
      <c r="F186" t="s">
        <v>26</v>
      </c>
      <c r="G186" t="s">
        <v>45</v>
      </c>
      <c r="H186" t="s">
        <v>155</v>
      </c>
      <c r="I186" t="s">
        <v>69</v>
      </c>
      <c r="J186" t="s">
        <v>156</v>
      </c>
      <c r="K186" t="s">
        <v>157</v>
      </c>
      <c r="L186" t="s">
        <v>158</v>
      </c>
      <c r="M186" t="s">
        <v>159</v>
      </c>
      <c r="N186" t="s">
        <v>61</v>
      </c>
      <c r="O186" t="s">
        <v>546</v>
      </c>
      <c r="P186" t="s">
        <v>34</v>
      </c>
      <c r="Q186" t="s">
        <v>547</v>
      </c>
      <c r="R186" t="s">
        <v>548</v>
      </c>
      <c r="S186" t="s">
        <v>463</v>
      </c>
      <c r="T186" t="s">
        <v>549</v>
      </c>
      <c r="U186" s="10" t="s">
        <v>1055</v>
      </c>
      <c r="V186" s="10" t="s">
        <v>1085</v>
      </c>
      <c r="W186" s="10" t="s">
        <v>1085</v>
      </c>
      <c r="X186" s="10" t="s">
        <v>1059</v>
      </c>
      <c r="Y186" t="s">
        <v>140</v>
      </c>
      <c r="Z186" t="s">
        <v>40</v>
      </c>
      <c r="AA186" t="s">
        <v>63</v>
      </c>
    </row>
    <row r="187" spans="1:27" x14ac:dyDescent="0.8">
      <c r="A187">
        <v>1580</v>
      </c>
      <c r="B187">
        <v>323</v>
      </c>
      <c r="C187" s="2">
        <v>44388</v>
      </c>
      <c r="D187" t="s">
        <v>235</v>
      </c>
      <c r="E187" t="s">
        <v>25</v>
      </c>
      <c r="F187" t="s">
        <v>26</v>
      </c>
      <c r="G187" t="s">
        <v>45</v>
      </c>
      <c r="H187" t="s">
        <v>46</v>
      </c>
      <c r="I187" t="s">
        <v>47</v>
      </c>
      <c r="J187" t="s">
        <v>48</v>
      </c>
      <c r="K187" t="s">
        <v>141</v>
      </c>
      <c r="L187" t="s">
        <v>171</v>
      </c>
      <c r="M187" t="s">
        <v>550</v>
      </c>
      <c r="N187" t="s">
        <v>61</v>
      </c>
      <c r="O187" t="s">
        <v>546</v>
      </c>
      <c r="P187" t="s">
        <v>34</v>
      </c>
      <c r="Q187" t="s">
        <v>547</v>
      </c>
      <c r="R187" t="s">
        <v>548</v>
      </c>
      <c r="S187" t="s">
        <v>463</v>
      </c>
      <c r="T187" t="s">
        <v>549</v>
      </c>
      <c r="U187" s="10" t="s">
        <v>1055</v>
      </c>
      <c r="V187" s="10" t="s">
        <v>1085</v>
      </c>
      <c r="W187" s="10" t="s">
        <v>1085</v>
      </c>
      <c r="X187" s="10" t="s">
        <v>1059</v>
      </c>
      <c r="Y187" t="s">
        <v>39</v>
      </c>
      <c r="Z187" t="s">
        <v>62</v>
      </c>
      <c r="AA187" t="s">
        <v>125</v>
      </c>
    </row>
    <row r="188" spans="1:27" x14ac:dyDescent="0.8">
      <c r="A188">
        <v>274</v>
      </c>
      <c r="B188">
        <v>888</v>
      </c>
      <c r="C188" s="2">
        <v>44386</v>
      </c>
      <c r="D188" t="s">
        <v>43</v>
      </c>
      <c r="E188" t="s">
        <v>25</v>
      </c>
      <c r="F188" t="s">
        <v>26</v>
      </c>
      <c r="G188" t="s">
        <v>45</v>
      </c>
      <c r="H188" t="s">
        <v>46</v>
      </c>
      <c r="I188" t="s">
        <v>47</v>
      </c>
      <c r="J188" t="s">
        <v>48</v>
      </c>
      <c r="K188" t="s">
        <v>141</v>
      </c>
      <c r="L188" t="s">
        <v>142</v>
      </c>
      <c r="M188" t="s">
        <v>143</v>
      </c>
      <c r="N188" t="s">
        <v>61</v>
      </c>
      <c r="O188" t="s">
        <v>546</v>
      </c>
      <c r="P188" t="s">
        <v>34</v>
      </c>
      <c r="Q188" t="s">
        <v>547</v>
      </c>
      <c r="R188" t="s">
        <v>548</v>
      </c>
      <c r="S188" t="s">
        <v>463</v>
      </c>
      <c r="T188" t="s">
        <v>549</v>
      </c>
      <c r="U188" s="10" t="s">
        <v>1055</v>
      </c>
      <c r="V188" s="10" t="s">
        <v>1085</v>
      </c>
      <c r="W188" s="10" t="s">
        <v>1085</v>
      </c>
      <c r="X188" s="10" t="s">
        <v>1059</v>
      </c>
      <c r="Y188" t="s">
        <v>39</v>
      </c>
      <c r="Z188" t="s">
        <v>62</v>
      </c>
      <c r="AA188" t="s">
        <v>53</v>
      </c>
    </row>
    <row r="189" spans="1:27" x14ac:dyDescent="0.8">
      <c r="A189">
        <v>1219</v>
      </c>
      <c r="B189">
        <v>1816</v>
      </c>
      <c r="C189" s="2">
        <v>44387</v>
      </c>
      <c r="D189" t="s">
        <v>102</v>
      </c>
      <c r="E189" t="s">
        <v>63</v>
      </c>
      <c r="F189" t="s">
        <v>26</v>
      </c>
      <c r="G189" t="s">
        <v>45</v>
      </c>
      <c r="H189" t="s">
        <v>155</v>
      </c>
      <c r="I189" t="s">
        <v>69</v>
      </c>
      <c r="J189" t="s">
        <v>156</v>
      </c>
      <c r="K189" t="s">
        <v>157</v>
      </c>
      <c r="L189" t="s">
        <v>232</v>
      </c>
      <c r="M189" t="s">
        <v>233</v>
      </c>
      <c r="N189" t="s">
        <v>61</v>
      </c>
      <c r="O189" t="s">
        <v>546</v>
      </c>
      <c r="P189" t="s">
        <v>34</v>
      </c>
      <c r="Q189" t="s">
        <v>547</v>
      </c>
      <c r="R189" t="s">
        <v>548</v>
      </c>
      <c r="S189" t="s">
        <v>463</v>
      </c>
      <c r="T189" t="s">
        <v>549</v>
      </c>
      <c r="U189" s="10" t="s">
        <v>1055</v>
      </c>
      <c r="V189" s="10" t="s">
        <v>1085</v>
      </c>
      <c r="W189" s="10" t="s">
        <v>1085</v>
      </c>
      <c r="X189" s="10" t="s">
        <v>1059</v>
      </c>
      <c r="Y189" t="s">
        <v>140</v>
      </c>
      <c r="Z189" t="s">
        <v>40</v>
      </c>
      <c r="AA189" t="s">
        <v>63</v>
      </c>
    </row>
    <row r="190" spans="1:27" x14ac:dyDescent="0.8">
      <c r="A190">
        <v>1249</v>
      </c>
      <c r="B190">
        <v>1846</v>
      </c>
      <c r="C190" s="2">
        <v>44387</v>
      </c>
      <c r="D190" t="s">
        <v>102</v>
      </c>
      <c r="E190" t="s">
        <v>25</v>
      </c>
      <c r="F190" t="s">
        <v>26</v>
      </c>
      <c r="G190" t="s">
        <v>45</v>
      </c>
      <c r="H190" t="s">
        <v>155</v>
      </c>
      <c r="I190" t="s">
        <v>69</v>
      </c>
      <c r="J190" t="s">
        <v>156</v>
      </c>
      <c r="K190" t="s">
        <v>157</v>
      </c>
      <c r="L190" t="s">
        <v>158</v>
      </c>
      <c r="M190" t="s">
        <v>159</v>
      </c>
      <c r="N190" t="s">
        <v>61</v>
      </c>
      <c r="O190" t="s">
        <v>546</v>
      </c>
      <c r="P190" t="s">
        <v>34</v>
      </c>
      <c r="Q190" t="s">
        <v>547</v>
      </c>
      <c r="R190" t="s">
        <v>548</v>
      </c>
      <c r="S190" t="s">
        <v>463</v>
      </c>
      <c r="T190" t="s">
        <v>549</v>
      </c>
      <c r="U190" s="10" t="s">
        <v>1055</v>
      </c>
      <c r="V190" s="10" t="s">
        <v>1085</v>
      </c>
      <c r="W190" s="10" t="s">
        <v>1085</v>
      </c>
      <c r="X190" s="10" t="s">
        <v>1059</v>
      </c>
      <c r="Y190" t="s">
        <v>39</v>
      </c>
      <c r="Z190" t="s">
        <v>62</v>
      </c>
      <c r="AA190" t="s">
        <v>63</v>
      </c>
    </row>
    <row r="191" spans="1:27" x14ac:dyDescent="0.8">
      <c r="A191">
        <v>1240</v>
      </c>
      <c r="B191">
        <v>1837</v>
      </c>
      <c r="C191" s="2">
        <v>44387</v>
      </c>
      <c r="D191" t="s">
        <v>102</v>
      </c>
      <c r="E191" t="s">
        <v>103</v>
      </c>
      <c r="F191" t="s">
        <v>26</v>
      </c>
      <c r="G191" t="s">
        <v>45</v>
      </c>
      <c r="H191" t="s">
        <v>155</v>
      </c>
      <c r="I191" t="s">
        <v>69</v>
      </c>
      <c r="J191" t="s">
        <v>156</v>
      </c>
      <c r="K191" t="s">
        <v>157</v>
      </c>
      <c r="L191" t="s">
        <v>158</v>
      </c>
      <c r="M191" t="s">
        <v>159</v>
      </c>
      <c r="N191" t="s">
        <v>61</v>
      </c>
      <c r="O191" t="s">
        <v>546</v>
      </c>
      <c r="P191" t="s">
        <v>34</v>
      </c>
      <c r="Q191" t="s">
        <v>547</v>
      </c>
      <c r="R191" t="s">
        <v>548</v>
      </c>
      <c r="S191" t="s">
        <v>463</v>
      </c>
      <c r="T191" t="s">
        <v>549</v>
      </c>
      <c r="U191" s="10" t="s">
        <v>1055</v>
      </c>
      <c r="V191" s="10" t="s">
        <v>1085</v>
      </c>
      <c r="W191" s="10" t="s">
        <v>1085</v>
      </c>
      <c r="X191" s="10" t="s">
        <v>1059</v>
      </c>
      <c r="Y191" t="s">
        <v>39</v>
      </c>
      <c r="Z191" t="s">
        <v>40</v>
      </c>
      <c r="AA191" t="s">
        <v>63</v>
      </c>
    </row>
    <row r="192" spans="1:27" x14ac:dyDescent="0.8">
      <c r="A192">
        <v>1226</v>
      </c>
      <c r="B192">
        <v>1823</v>
      </c>
      <c r="C192" s="2">
        <v>44387</v>
      </c>
      <c r="D192" t="s">
        <v>102</v>
      </c>
      <c r="E192" t="s">
        <v>63</v>
      </c>
      <c r="F192" t="s">
        <v>26</v>
      </c>
      <c r="G192" t="s">
        <v>45</v>
      </c>
      <c r="H192" t="s">
        <v>155</v>
      </c>
      <c r="I192" t="s">
        <v>69</v>
      </c>
      <c r="J192" t="s">
        <v>156</v>
      </c>
      <c r="K192" t="s">
        <v>157</v>
      </c>
      <c r="L192" t="s">
        <v>158</v>
      </c>
      <c r="M192" t="s">
        <v>159</v>
      </c>
      <c r="N192" t="s">
        <v>61</v>
      </c>
      <c r="O192" t="s">
        <v>546</v>
      </c>
      <c r="P192" t="s">
        <v>34</v>
      </c>
      <c r="Q192" t="s">
        <v>547</v>
      </c>
      <c r="R192" t="s">
        <v>548</v>
      </c>
      <c r="S192" t="s">
        <v>463</v>
      </c>
      <c r="T192" t="s">
        <v>549</v>
      </c>
      <c r="U192" s="10" t="s">
        <v>1055</v>
      </c>
      <c r="V192" s="10" t="s">
        <v>1085</v>
      </c>
      <c r="W192" s="10" t="s">
        <v>1085</v>
      </c>
      <c r="X192" s="10" t="s">
        <v>1059</v>
      </c>
      <c r="Y192" t="s">
        <v>39</v>
      </c>
      <c r="Z192" t="s">
        <v>40</v>
      </c>
      <c r="AA192" t="s">
        <v>63</v>
      </c>
    </row>
    <row r="193" spans="1:27" x14ac:dyDescent="0.8">
      <c r="A193">
        <v>1223</v>
      </c>
      <c r="B193">
        <v>1820</v>
      </c>
      <c r="C193" s="2">
        <v>44387</v>
      </c>
      <c r="D193" t="s">
        <v>102</v>
      </c>
      <c r="E193" t="s">
        <v>103</v>
      </c>
      <c r="F193" t="s">
        <v>26</v>
      </c>
      <c r="G193" t="s">
        <v>45</v>
      </c>
      <c r="H193" t="s">
        <v>155</v>
      </c>
      <c r="I193" t="s">
        <v>69</v>
      </c>
      <c r="J193" t="s">
        <v>156</v>
      </c>
      <c r="K193" t="s">
        <v>157</v>
      </c>
      <c r="L193" t="s">
        <v>158</v>
      </c>
      <c r="M193" t="s">
        <v>159</v>
      </c>
      <c r="N193" t="s">
        <v>61</v>
      </c>
      <c r="O193" t="s">
        <v>546</v>
      </c>
      <c r="P193" t="s">
        <v>34</v>
      </c>
      <c r="Q193" t="s">
        <v>547</v>
      </c>
      <c r="R193" t="s">
        <v>548</v>
      </c>
      <c r="S193" t="s">
        <v>463</v>
      </c>
      <c r="T193" t="s">
        <v>549</v>
      </c>
      <c r="U193" s="10" t="s">
        <v>1055</v>
      </c>
      <c r="V193" s="10" t="s">
        <v>1085</v>
      </c>
      <c r="W193" s="10" t="s">
        <v>1085</v>
      </c>
      <c r="X193" s="10" t="s">
        <v>1059</v>
      </c>
      <c r="Y193" t="s">
        <v>39</v>
      </c>
      <c r="Z193" t="s">
        <v>40</v>
      </c>
      <c r="AA193" t="s">
        <v>63</v>
      </c>
    </row>
    <row r="194" spans="1:27" x14ac:dyDescent="0.8">
      <c r="A194">
        <v>1218</v>
      </c>
      <c r="B194">
        <v>1815</v>
      </c>
      <c r="C194" s="2">
        <v>44387</v>
      </c>
      <c r="D194" t="s">
        <v>102</v>
      </c>
      <c r="E194" t="s">
        <v>103</v>
      </c>
      <c r="F194" t="s">
        <v>26</v>
      </c>
      <c r="G194" t="s">
        <v>45</v>
      </c>
      <c r="H194" t="s">
        <v>155</v>
      </c>
      <c r="I194" t="s">
        <v>69</v>
      </c>
      <c r="J194" t="s">
        <v>156</v>
      </c>
      <c r="K194" t="s">
        <v>157</v>
      </c>
      <c r="L194" t="s">
        <v>158</v>
      </c>
      <c r="M194" t="s">
        <v>159</v>
      </c>
      <c r="N194" t="s">
        <v>61</v>
      </c>
      <c r="O194" t="s">
        <v>546</v>
      </c>
      <c r="P194" t="s">
        <v>34</v>
      </c>
      <c r="Q194" t="s">
        <v>547</v>
      </c>
      <c r="R194" t="s">
        <v>548</v>
      </c>
      <c r="S194" t="s">
        <v>463</v>
      </c>
      <c r="T194" t="s">
        <v>549</v>
      </c>
      <c r="U194" s="10" t="s">
        <v>1055</v>
      </c>
      <c r="V194" s="10" t="s">
        <v>1085</v>
      </c>
      <c r="W194" s="10" t="s">
        <v>1085</v>
      </c>
      <c r="X194" s="10" t="s">
        <v>1059</v>
      </c>
      <c r="Y194" t="s">
        <v>140</v>
      </c>
      <c r="Z194" t="s">
        <v>40</v>
      </c>
      <c r="AA194" t="s">
        <v>63</v>
      </c>
    </row>
    <row r="195" spans="1:27" x14ac:dyDescent="0.8">
      <c r="A195">
        <v>1060</v>
      </c>
      <c r="B195">
        <v>125</v>
      </c>
      <c r="C195" s="2">
        <v>44387</v>
      </c>
      <c r="D195" t="s">
        <v>54</v>
      </c>
      <c r="E195" t="s">
        <v>25</v>
      </c>
      <c r="F195" t="s">
        <v>26</v>
      </c>
      <c r="G195" t="s">
        <v>45</v>
      </c>
      <c r="H195" t="s">
        <v>55</v>
      </c>
      <c r="I195" t="s">
        <v>69</v>
      </c>
      <c r="J195" t="s">
        <v>284</v>
      </c>
      <c r="K195" t="s">
        <v>285</v>
      </c>
      <c r="L195" t="s">
        <v>290</v>
      </c>
      <c r="M195" t="s">
        <v>291</v>
      </c>
      <c r="N195" t="s">
        <v>61</v>
      </c>
      <c r="O195" t="s">
        <v>546</v>
      </c>
      <c r="P195" t="s">
        <v>34</v>
      </c>
      <c r="Q195" t="s">
        <v>547</v>
      </c>
      <c r="R195" t="s">
        <v>548</v>
      </c>
      <c r="S195" t="s">
        <v>463</v>
      </c>
      <c r="T195" t="s">
        <v>549</v>
      </c>
      <c r="U195" s="10" t="s">
        <v>1055</v>
      </c>
      <c r="V195" s="10" t="s">
        <v>1085</v>
      </c>
      <c r="W195" s="10" t="s">
        <v>1085</v>
      </c>
      <c r="X195" s="10" t="s">
        <v>1059</v>
      </c>
      <c r="Y195" t="s">
        <v>39</v>
      </c>
      <c r="Z195" t="s">
        <v>40</v>
      </c>
      <c r="AA195" t="s">
        <v>63</v>
      </c>
    </row>
    <row r="196" spans="1:27" x14ac:dyDescent="0.8">
      <c r="A196">
        <v>1058</v>
      </c>
      <c r="B196">
        <v>123</v>
      </c>
      <c r="C196" s="2">
        <v>44387</v>
      </c>
      <c r="D196" t="s">
        <v>54</v>
      </c>
      <c r="E196" t="s">
        <v>25</v>
      </c>
      <c r="F196" t="s">
        <v>26</v>
      </c>
      <c r="G196" t="s">
        <v>45</v>
      </c>
      <c r="H196" t="s">
        <v>46</v>
      </c>
      <c r="I196" t="s">
        <v>47</v>
      </c>
      <c r="J196" t="s">
        <v>48</v>
      </c>
      <c r="K196" t="s">
        <v>141</v>
      </c>
      <c r="L196" t="s">
        <v>142</v>
      </c>
      <c r="M196" t="s">
        <v>143</v>
      </c>
      <c r="N196" t="s">
        <v>61</v>
      </c>
      <c r="O196" t="s">
        <v>546</v>
      </c>
      <c r="P196" t="s">
        <v>34</v>
      </c>
      <c r="Q196" t="s">
        <v>547</v>
      </c>
      <c r="R196" t="s">
        <v>548</v>
      </c>
      <c r="S196" t="s">
        <v>463</v>
      </c>
      <c r="T196" t="s">
        <v>549</v>
      </c>
      <c r="U196" s="10" t="s">
        <v>1055</v>
      </c>
      <c r="V196" s="10" t="s">
        <v>1085</v>
      </c>
      <c r="W196" s="10" t="s">
        <v>1085</v>
      </c>
      <c r="X196" s="10" t="s">
        <v>1059</v>
      </c>
      <c r="Y196" t="s">
        <v>39</v>
      </c>
      <c r="Z196" t="s">
        <v>40</v>
      </c>
      <c r="AA196" t="s">
        <v>63</v>
      </c>
    </row>
    <row r="197" spans="1:27" x14ac:dyDescent="0.8">
      <c r="A197">
        <v>1051</v>
      </c>
      <c r="B197">
        <v>1455</v>
      </c>
      <c r="C197" s="2">
        <v>44387</v>
      </c>
      <c r="D197" t="s">
        <v>54</v>
      </c>
      <c r="E197" t="s">
        <v>150</v>
      </c>
      <c r="F197" t="s">
        <v>26</v>
      </c>
      <c r="G197" t="s">
        <v>45</v>
      </c>
      <c r="H197" t="s">
        <v>46</v>
      </c>
      <c r="I197" t="s">
        <v>47</v>
      </c>
      <c r="J197" t="s">
        <v>48</v>
      </c>
      <c r="K197" t="s">
        <v>141</v>
      </c>
      <c r="L197" t="s">
        <v>142</v>
      </c>
      <c r="M197" t="s">
        <v>143</v>
      </c>
      <c r="N197" t="s">
        <v>61</v>
      </c>
      <c r="O197" t="s">
        <v>546</v>
      </c>
      <c r="P197" t="s">
        <v>34</v>
      </c>
      <c r="Q197" t="s">
        <v>547</v>
      </c>
      <c r="R197" t="s">
        <v>548</v>
      </c>
      <c r="S197" t="s">
        <v>463</v>
      </c>
      <c r="T197" t="s">
        <v>549</v>
      </c>
      <c r="U197" s="10" t="s">
        <v>1055</v>
      </c>
      <c r="V197" s="10" t="s">
        <v>1085</v>
      </c>
      <c r="W197" s="10" t="s">
        <v>1085</v>
      </c>
      <c r="X197" s="10" t="s">
        <v>1059</v>
      </c>
      <c r="Y197" t="s">
        <v>39</v>
      </c>
      <c r="Z197" t="s">
        <v>40</v>
      </c>
      <c r="AA197" t="s">
        <v>63</v>
      </c>
    </row>
    <row r="198" spans="1:27" x14ac:dyDescent="0.8">
      <c r="A198">
        <v>1040</v>
      </c>
      <c r="B198">
        <v>1444</v>
      </c>
      <c r="C198" s="2">
        <v>44387</v>
      </c>
      <c r="D198" t="s">
        <v>54</v>
      </c>
      <c r="E198" t="s">
        <v>25</v>
      </c>
      <c r="F198" t="s">
        <v>26</v>
      </c>
      <c r="G198" t="s">
        <v>45</v>
      </c>
      <c r="H198" t="s">
        <v>46</v>
      </c>
      <c r="I198" t="s">
        <v>47</v>
      </c>
      <c r="J198" t="s">
        <v>48</v>
      </c>
      <c r="K198" t="s">
        <v>141</v>
      </c>
      <c r="L198" t="s">
        <v>142</v>
      </c>
      <c r="M198" t="s">
        <v>143</v>
      </c>
      <c r="N198" t="s">
        <v>61</v>
      </c>
      <c r="O198" t="s">
        <v>546</v>
      </c>
      <c r="P198" t="s">
        <v>34</v>
      </c>
      <c r="Q198" t="s">
        <v>547</v>
      </c>
      <c r="R198" t="s">
        <v>548</v>
      </c>
      <c r="S198" t="s">
        <v>463</v>
      </c>
      <c r="T198" t="s">
        <v>549</v>
      </c>
      <c r="U198" s="10" t="s">
        <v>1055</v>
      </c>
      <c r="V198" s="10" t="s">
        <v>1085</v>
      </c>
      <c r="W198" s="10" t="s">
        <v>1085</v>
      </c>
      <c r="X198" s="10" t="s">
        <v>1059</v>
      </c>
      <c r="Y198" t="s">
        <v>140</v>
      </c>
      <c r="Z198" t="s">
        <v>40</v>
      </c>
      <c r="AA198" t="s">
        <v>63</v>
      </c>
    </row>
    <row r="199" spans="1:27" x14ac:dyDescent="0.8">
      <c r="A199">
        <v>1301</v>
      </c>
      <c r="B199">
        <v>1998</v>
      </c>
      <c r="C199" s="2">
        <v>44385</v>
      </c>
      <c r="D199" t="s">
        <v>104</v>
      </c>
      <c r="E199" t="s">
        <v>25</v>
      </c>
      <c r="F199" t="s">
        <v>26</v>
      </c>
      <c r="G199" t="s">
        <v>45</v>
      </c>
      <c r="H199" t="s">
        <v>68</v>
      </c>
      <c r="I199" t="s">
        <v>69</v>
      </c>
      <c r="J199" t="s">
        <v>70</v>
      </c>
      <c r="K199" t="s">
        <v>71</v>
      </c>
      <c r="L199" t="s">
        <v>72</v>
      </c>
      <c r="M199" t="s">
        <v>73</v>
      </c>
      <c r="N199" t="s">
        <v>61</v>
      </c>
      <c r="O199" t="s">
        <v>546</v>
      </c>
      <c r="P199" t="s">
        <v>34</v>
      </c>
      <c r="Q199" t="s">
        <v>547</v>
      </c>
      <c r="R199" t="s">
        <v>548</v>
      </c>
      <c r="S199" t="s">
        <v>463</v>
      </c>
      <c r="T199" t="s">
        <v>549</v>
      </c>
      <c r="U199" s="10" t="s">
        <v>1055</v>
      </c>
      <c r="V199" s="10" t="s">
        <v>1085</v>
      </c>
      <c r="W199" s="10" t="s">
        <v>1085</v>
      </c>
      <c r="X199" s="10" t="s">
        <v>1059</v>
      </c>
      <c r="Y199" t="s">
        <v>39</v>
      </c>
      <c r="Z199" t="s">
        <v>62</v>
      </c>
      <c r="AA199" t="s">
        <v>63</v>
      </c>
    </row>
    <row r="200" spans="1:27" x14ac:dyDescent="0.8">
      <c r="A200">
        <v>1321</v>
      </c>
      <c r="B200">
        <v>2018</v>
      </c>
      <c r="C200" s="2">
        <v>44385</v>
      </c>
      <c r="D200" t="s">
        <v>104</v>
      </c>
      <c r="E200" t="s">
        <v>25</v>
      </c>
      <c r="F200" t="s">
        <v>26</v>
      </c>
      <c r="G200" t="s">
        <v>45</v>
      </c>
      <c r="H200" t="s">
        <v>155</v>
      </c>
      <c r="I200" t="s">
        <v>69</v>
      </c>
      <c r="J200" t="s">
        <v>156</v>
      </c>
      <c r="K200" t="s">
        <v>157</v>
      </c>
      <c r="L200" t="s">
        <v>158</v>
      </c>
      <c r="M200" t="s">
        <v>159</v>
      </c>
      <c r="N200" t="s">
        <v>61</v>
      </c>
      <c r="O200" t="s">
        <v>546</v>
      </c>
      <c r="P200" t="s">
        <v>34</v>
      </c>
      <c r="Q200" t="s">
        <v>547</v>
      </c>
      <c r="R200" t="s">
        <v>548</v>
      </c>
      <c r="S200" t="s">
        <v>463</v>
      </c>
      <c r="T200" t="s">
        <v>549</v>
      </c>
      <c r="U200" s="10" t="s">
        <v>1055</v>
      </c>
      <c r="V200" s="10" t="s">
        <v>1085</v>
      </c>
      <c r="W200" s="10" t="s">
        <v>1085</v>
      </c>
      <c r="X200" s="10" t="s">
        <v>1059</v>
      </c>
      <c r="Y200" t="s">
        <v>39</v>
      </c>
      <c r="Z200" t="s">
        <v>40</v>
      </c>
      <c r="AA200" t="s">
        <v>63</v>
      </c>
    </row>
    <row r="201" spans="1:27" x14ac:dyDescent="0.8">
      <c r="A201">
        <v>1324</v>
      </c>
      <c r="B201">
        <v>2021</v>
      </c>
      <c r="C201" s="2">
        <v>44385</v>
      </c>
      <c r="D201" t="s">
        <v>104</v>
      </c>
      <c r="E201" t="s">
        <v>25</v>
      </c>
      <c r="F201" t="s">
        <v>26</v>
      </c>
      <c r="G201" t="s">
        <v>45</v>
      </c>
      <c r="H201" t="s">
        <v>46</v>
      </c>
      <c r="I201" t="s">
        <v>47</v>
      </c>
      <c r="J201" t="s">
        <v>48</v>
      </c>
      <c r="K201" t="s">
        <v>49</v>
      </c>
      <c r="L201" t="s">
        <v>91</v>
      </c>
      <c r="M201" t="s">
        <v>92</v>
      </c>
      <c r="N201" t="s">
        <v>61</v>
      </c>
      <c r="O201" t="s">
        <v>546</v>
      </c>
      <c r="P201" t="s">
        <v>34</v>
      </c>
      <c r="Q201" t="s">
        <v>547</v>
      </c>
      <c r="R201" t="s">
        <v>548</v>
      </c>
      <c r="S201" t="s">
        <v>463</v>
      </c>
      <c r="T201" t="s">
        <v>549</v>
      </c>
      <c r="U201" s="10" t="s">
        <v>1055</v>
      </c>
      <c r="V201" s="10" t="s">
        <v>1085</v>
      </c>
      <c r="W201" s="10" t="s">
        <v>1085</v>
      </c>
      <c r="X201" s="10" t="s">
        <v>1059</v>
      </c>
      <c r="Y201" t="s">
        <v>39</v>
      </c>
      <c r="Z201" t="s">
        <v>62</v>
      </c>
      <c r="AA201" t="s">
        <v>63</v>
      </c>
    </row>
    <row r="202" spans="1:27" x14ac:dyDescent="0.8">
      <c r="A202">
        <v>1300</v>
      </c>
      <c r="B202">
        <v>1997</v>
      </c>
      <c r="C202" s="2">
        <v>44385</v>
      </c>
      <c r="D202" t="s">
        <v>104</v>
      </c>
      <c r="E202" t="s">
        <v>25</v>
      </c>
      <c r="F202" t="s">
        <v>26</v>
      </c>
      <c r="G202" t="s">
        <v>45</v>
      </c>
      <c r="H202" t="s">
        <v>46</v>
      </c>
      <c r="I202" t="s">
        <v>47</v>
      </c>
      <c r="J202" t="s">
        <v>48</v>
      </c>
      <c r="K202" t="s">
        <v>49</v>
      </c>
      <c r="L202" t="s">
        <v>91</v>
      </c>
      <c r="M202" t="s">
        <v>92</v>
      </c>
      <c r="N202" t="s">
        <v>61</v>
      </c>
      <c r="O202" t="s">
        <v>546</v>
      </c>
      <c r="P202" t="s">
        <v>34</v>
      </c>
      <c r="Q202" t="s">
        <v>547</v>
      </c>
      <c r="R202" t="s">
        <v>548</v>
      </c>
      <c r="S202" t="s">
        <v>463</v>
      </c>
      <c r="T202" t="s">
        <v>549</v>
      </c>
      <c r="U202" s="10" t="s">
        <v>1055</v>
      </c>
      <c r="V202" s="10" t="s">
        <v>1085</v>
      </c>
      <c r="W202" s="10" t="s">
        <v>1085</v>
      </c>
      <c r="X202" s="10" t="s">
        <v>1059</v>
      </c>
      <c r="Y202" t="s">
        <v>39</v>
      </c>
      <c r="Z202" t="s">
        <v>62</v>
      </c>
      <c r="AA202" t="s">
        <v>63</v>
      </c>
    </row>
    <row r="203" spans="1:27" x14ac:dyDescent="0.8">
      <c r="A203">
        <v>1283</v>
      </c>
      <c r="B203">
        <v>1930</v>
      </c>
      <c r="C203" s="2">
        <v>44385</v>
      </c>
      <c r="D203" t="s">
        <v>104</v>
      </c>
      <c r="E203" t="s">
        <v>25</v>
      </c>
      <c r="F203" t="s">
        <v>26</v>
      </c>
      <c r="G203" t="s">
        <v>45</v>
      </c>
      <c r="H203" t="s">
        <v>46</v>
      </c>
      <c r="I203" t="s">
        <v>47</v>
      </c>
      <c r="J203" t="s">
        <v>48</v>
      </c>
      <c r="K203" t="s">
        <v>49</v>
      </c>
      <c r="L203" t="s">
        <v>91</v>
      </c>
      <c r="M203" t="s">
        <v>92</v>
      </c>
      <c r="N203" t="s">
        <v>61</v>
      </c>
      <c r="O203" t="s">
        <v>546</v>
      </c>
      <c r="P203" t="s">
        <v>34</v>
      </c>
      <c r="Q203" t="s">
        <v>547</v>
      </c>
      <c r="R203" t="s">
        <v>548</v>
      </c>
      <c r="S203" t="s">
        <v>463</v>
      </c>
      <c r="T203" t="s">
        <v>549</v>
      </c>
      <c r="U203" s="10" t="s">
        <v>1055</v>
      </c>
      <c r="V203" s="10" t="s">
        <v>1085</v>
      </c>
      <c r="W203" s="10" t="s">
        <v>1085</v>
      </c>
      <c r="X203" s="10" t="s">
        <v>1059</v>
      </c>
      <c r="Y203" t="s">
        <v>140</v>
      </c>
      <c r="Z203" t="s">
        <v>62</v>
      </c>
      <c r="AA203" t="s">
        <v>63</v>
      </c>
    </row>
    <row r="204" spans="1:27" x14ac:dyDescent="0.8">
      <c r="A204">
        <v>1306</v>
      </c>
      <c r="B204">
        <v>2003</v>
      </c>
      <c r="C204" s="2">
        <v>44385</v>
      </c>
      <c r="D204" t="s">
        <v>104</v>
      </c>
      <c r="E204" t="s">
        <v>44</v>
      </c>
      <c r="F204" t="s">
        <v>26</v>
      </c>
      <c r="G204" t="s">
        <v>45</v>
      </c>
      <c r="H204" t="s">
        <v>46</v>
      </c>
      <c r="I204" t="s">
        <v>47</v>
      </c>
      <c r="J204" t="s">
        <v>48</v>
      </c>
      <c r="K204" t="s">
        <v>141</v>
      </c>
      <c r="L204" t="s">
        <v>65</v>
      </c>
      <c r="M204" t="s">
        <v>396</v>
      </c>
      <c r="N204" t="s">
        <v>61</v>
      </c>
      <c r="O204" t="s">
        <v>546</v>
      </c>
      <c r="P204" t="s">
        <v>34</v>
      </c>
      <c r="Q204" t="s">
        <v>547</v>
      </c>
      <c r="R204" t="s">
        <v>548</v>
      </c>
      <c r="S204" t="s">
        <v>463</v>
      </c>
      <c r="T204" t="s">
        <v>549</v>
      </c>
      <c r="U204" s="10" t="s">
        <v>1055</v>
      </c>
      <c r="V204" s="10" t="s">
        <v>1085</v>
      </c>
      <c r="W204" s="10" t="s">
        <v>1085</v>
      </c>
      <c r="X204" s="10" t="s">
        <v>1059</v>
      </c>
      <c r="Y204" t="s">
        <v>39</v>
      </c>
      <c r="Z204" t="s">
        <v>40</v>
      </c>
      <c r="AA204" t="s">
        <v>63</v>
      </c>
    </row>
    <row r="205" spans="1:27" x14ac:dyDescent="0.8">
      <c r="A205">
        <v>1314</v>
      </c>
      <c r="B205">
        <v>2011</v>
      </c>
      <c r="C205" s="2">
        <v>44385</v>
      </c>
      <c r="D205" t="s">
        <v>104</v>
      </c>
      <c r="E205" t="s">
        <v>25</v>
      </c>
      <c r="F205" t="s">
        <v>26</v>
      </c>
      <c r="G205" t="s">
        <v>45</v>
      </c>
      <c r="H205" t="s">
        <v>46</v>
      </c>
      <c r="I205" t="s">
        <v>47</v>
      </c>
      <c r="J205" t="s">
        <v>48</v>
      </c>
      <c r="K205" t="s">
        <v>141</v>
      </c>
      <c r="L205" t="s">
        <v>142</v>
      </c>
      <c r="M205" t="s">
        <v>143</v>
      </c>
      <c r="N205" t="s">
        <v>61</v>
      </c>
      <c r="O205" t="s">
        <v>546</v>
      </c>
      <c r="P205" t="s">
        <v>34</v>
      </c>
      <c r="Q205" t="s">
        <v>547</v>
      </c>
      <c r="R205" t="s">
        <v>548</v>
      </c>
      <c r="S205" t="s">
        <v>463</v>
      </c>
      <c r="T205" t="s">
        <v>549</v>
      </c>
      <c r="U205" s="10" t="s">
        <v>1055</v>
      </c>
      <c r="V205" s="10" t="s">
        <v>1085</v>
      </c>
      <c r="W205" s="10" t="s">
        <v>1085</v>
      </c>
      <c r="X205" s="10" t="s">
        <v>1059</v>
      </c>
      <c r="Y205" t="s">
        <v>39</v>
      </c>
      <c r="Z205" t="s">
        <v>40</v>
      </c>
      <c r="AA205" t="s">
        <v>63</v>
      </c>
    </row>
    <row r="206" spans="1:27" x14ac:dyDescent="0.8">
      <c r="A206">
        <v>1298</v>
      </c>
      <c r="B206">
        <v>1995</v>
      </c>
      <c r="C206" s="2">
        <v>44385</v>
      </c>
      <c r="D206" t="s">
        <v>104</v>
      </c>
      <c r="E206" t="s">
        <v>103</v>
      </c>
      <c r="F206" t="s">
        <v>26</v>
      </c>
      <c r="G206" t="s">
        <v>45</v>
      </c>
      <c r="H206" t="s">
        <v>46</v>
      </c>
      <c r="I206" t="s">
        <v>47</v>
      </c>
      <c r="J206" t="s">
        <v>48</v>
      </c>
      <c r="K206" t="s">
        <v>141</v>
      </c>
      <c r="L206" t="s">
        <v>142</v>
      </c>
      <c r="M206" t="s">
        <v>143</v>
      </c>
      <c r="N206" t="s">
        <v>61</v>
      </c>
      <c r="O206" t="s">
        <v>546</v>
      </c>
      <c r="P206" t="s">
        <v>34</v>
      </c>
      <c r="Q206" t="s">
        <v>547</v>
      </c>
      <c r="R206" t="s">
        <v>548</v>
      </c>
      <c r="S206" t="s">
        <v>463</v>
      </c>
      <c r="T206" t="s">
        <v>549</v>
      </c>
      <c r="U206" s="10" t="s">
        <v>1055</v>
      </c>
      <c r="V206" s="10" t="s">
        <v>1085</v>
      </c>
      <c r="W206" s="10" t="s">
        <v>1085</v>
      </c>
      <c r="X206" s="10" t="s">
        <v>1059</v>
      </c>
      <c r="Y206" t="s">
        <v>39</v>
      </c>
      <c r="Z206" t="s">
        <v>40</v>
      </c>
      <c r="AA206" t="s">
        <v>63</v>
      </c>
    </row>
    <row r="207" spans="1:27" x14ac:dyDescent="0.8">
      <c r="A207">
        <v>1279</v>
      </c>
      <c r="B207">
        <v>1926</v>
      </c>
      <c r="C207" s="2">
        <v>44385</v>
      </c>
      <c r="D207" t="s">
        <v>104</v>
      </c>
      <c r="E207" t="s">
        <v>103</v>
      </c>
      <c r="F207" t="s">
        <v>26</v>
      </c>
      <c r="G207" t="s">
        <v>45</v>
      </c>
      <c r="H207" t="s">
        <v>46</v>
      </c>
      <c r="I207" t="s">
        <v>47</v>
      </c>
      <c r="J207" t="s">
        <v>48</v>
      </c>
      <c r="K207" t="s">
        <v>141</v>
      </c>
      <c r="L207" t="s">
        <v>142</v>
      </c>
      <c r="M207" t="s">
        <v>143</v>
      </c>
      <c r="N207" t="s">
        <v>61</v>
      </c>
      <c r="O207" t="s">
        <v>546</v>
      </c>
      <c r="P207" t="s">
        <v>34</v>
      </c>
      <c r="Q207" t="s">
        <v>547</v>
      </c>
      <c r="R207" t="s">
        <v>548</v>
      </c>
      <c r="S207" t="s">
        <v>463</v>
      </c>
      <c r="T207" t="s">
        <v>549</v>
      </c>
      <c r="U207" s="10" t="s">
        <v>1055</v>
      </c>
      <c r="V207" s="10" t="s">
        <v>1085</v>
      </c>
      <c r="W207" s="10" t="s">
        <v>1085</v>
      </c>
      <c r="X207" s="10" t="s">
        <v>1059</v>
      </c>
      <c r="Y207" t="s">
        <v>140</v>
      </c>
      <c r="Z207" t="s">
        <v>40</v>
      </c>
      <c r="AA207" t="s">
        <v>63</v>
      </c>
    </row>
    <row r="208" spans="1:27" x14ac:dyDescent="0.8">
      <c r="A208">
        <v>719</v>
      </c>
      <c r="B208">
        <v>1152</v>
      </c>
      <c r="C208" s="2">
        <v>44385</v>
      </c>
      <c r="D208" t="s">
        <v>133</v>
      </c>
      <c r="E208" t="s">
        <v>25</v>
      </c>
      <c r="F208" t="s">
        <v>26</v>
      </c>
      <c r="G208" t="s">
        <v>45</v>
      </c>
      <c r="H208" t="s">
        <v>68</v>
      </c>
      <c r="I208" t="s">
        <v>69</v>
      </c>
      <c r="J208" t="s">
        <v>70</v>
      </c>
      <c r="K208" t="s">
        <v>71</v>
      </c>
      <c r="L208" t="s">
        <v>72</v>
      </c>
      <c r="M208" t="s">
        <v>73</v>
      </c>
      <c r="N208" t="s">
        <v>61</v>
      </c>
      <c r="O208" t="s">
        <v>546</v>
      </c>
      <c r="P208" t="s">
        <v>34</v>
      </c>
      <c r="Q208" t="s">
        <v>547</v>
      </c>
      <c r="R208" t="s">
        <v>548</v>
      </c>
      <c r="S208" t="s">
        <v>463</v>
      </c>
      <c r="T208" t="s">
        <v>549</v>
      </c>
      <c r="U208" s="10" t="s">
        <v>1055</v>
      </c>
      <c r="V208" s="10" t="s">
        <v>1085</v>
      </c>
      <c r="W208" s="10" t="s">
        <v>1085</v>
      </c>
      <c r="X208" s="10" t="s">
        <v>1059</v>
      </c>
      <c r="Y208" t="s">
        <v>39</v>
      </c>
      <c r="Z208" t="s">
        <v>62</v>
      </c>
      <c r="AA208" t="s">
        <v>63</v>
      </c>
    </row>
    <row r="209" spans="1:28" x14ac:dyDescent="0.8">
      <c r="A209">
        <v>717</v>
      </c>
      <c r="B209">
        <v>1150</v>
      </c>
      <c r="C209" s="2">
        <v>44385</v>
      </c>
      <c r="D209" t="s">
        <v>133</v>
      </c>
      <c r="E209" t="s">
        <v>25</v>
      </c>
      <c r="F209" t="s">
        <v>26</v>
      </c>
      <c r="G209" t="s">
        <v>45</v>
      </c>
      <c r="H209" t="s">
        <v>68</v>
      </c>
      <c r="I209" t="s">
        <v>69</v>
      </c>
      <c r="J209" t="s">
        <v>70</v>
      </c>
      <c r="K209" t="s">
        <v>71</v>
      </c>
      <c r="L209" t="s">
        <v>72</v>
      </c>
      <c r="M209" t="s">
        <v>73</v>
      </c>
      <c r="N209" t="s">
        <v>61</v>
      </c>
      <c r="O209" t="s">
        <v>546</v>
      </c>
      <c r="P209" t="s">
        <v>34</v>
      </c>
      <c r="Q209" t="s">
        <v>547</v>
      </c>
      <c r="R209" t="s">
        <v>548</v>
      </c>
      <c r="S209" t="s">
        <v>463</v>
      </c>
      <c r="T209" t="s">
        <v>549</v>
      </c>
      <c r="U209" s="10" t="s">
        <v>1055</v>
      </c>
      <c r="V209" s="10" t="s">
        <v>1085</v>
      </c>
      <c r="W209" s="10" t="s">
        <v>1085</v>
      </c>
      <c r="X209" s="10" t="s">
        <v>1059</v>
      </c>
      <c r="Y209" t="s">
        <v>39</v>
      </c>
      <c r="Z209" t="s">
        <v>62</v>
      </c>
      <c r="AA209" t="s">
        <v>63</v>
      </c>
    </row>
    <row r="210" spans="1:28" x14ac:dyDescent="0.8">
      <c r="A210">
        <v>699</v>
      </c>
      <c r="B210">
        <v>416</v>
      </c>
      <c r="C210" s="2">
        <v>44385</v>
      </c>
      <c r="D210" t="s">
        <v>133</v>
      </c>
      <c r="E210" t="s">
        <v>44</v>
      </c>
      <c r="F210" t="s">
        <v>26</v>
      </c>
      <c r="G210" t="s">
        <v>45</v>
      </c>
      <c r="H210" t="s">
        <v>68</v>
      </c>
      <c r="I210" t="s">
        <v>69</v>
      </c>
      <c r="J210" t="s">
        <v>70</v>
      </c>
      <c r="K210" t="s">
        <v>71</v>
      </c>
      <c r="L210" t="s">
        <v>72</v>
      </c>
      <c r="M210" t="s">
        <v>73</v>
      </c>
      <c r="N210" t="s">
        <v>61</v>
      </c>
      <c r="O210" t="s">
        <v>546</v>
      </c>
      <c r="P210" t="s">
        <v>34</v>
      </c>
      <c r="Q210" t="s">
        <v>547</v>
      </c>
      <c r="R210" t="s">
        <v>548</v>
      </c>
      <c r="S210" t="s">
        <v>463</v>
      </c>
      <c r="T210" t="s">
        <v>549</v>
      </c>
      <c r="U210" s="10" t="s">
        <v>1055</v>
      </c>
      <c r="V210" s="10" t="s">
        <v>1085</v>
      </c>
      <c r="W210" s="10" t="s">
        <v>1085</v>
      </c>
      <c r="X210" s="10" t="s">
        <v>1059</v>
      </c>
      <c r="Y210" t="s">
        <v>39</v>
      </c>
      <c r="Z210" t="s">
        <v>40</v>
      </c>
      <c r="AA210" t="s">
        <v>63</v>
      </c>
    </row>
    <row r="211" spans="1:28" x14ac:dyDescent="0.8">
      <c r="A211">
        <v>696</v>
      </c>
      <c r="B211">
        <v>1081</v>
      </c>
      <c r="C211" s="2">
        <v>44385</v>
      </c>
      <c r="D211" t="s">
        <v>133</v>
      </c>
      <c r="E211" t="s">
        <v>44</v>
      </c>
      <c r="F211" t="s">
        <v>26</v>
      </c>
      <c r="G211" t="s">
        <v>45</v>
      </c>
      <c r="H211" t="s">
        <v>155</v>
      </c>
      <c r="I211" t="s">
        <v>69</v>
      </c>
      <c r="J211" t="s">
        <v>156</v>
      </c>
      <c r="K211" t="s">
        <v>157</v>
      </c>
      <c r="L211" t="s">
        <v>158</v>
      </c>
      <c r="M211" t="s">
        <v>159</v>
      </c>
      <c r="N211" t="s">
        <v>61</v>
      </c>
      <c r="O211" t="s">
        <v>546</v>
      </c>
      <c r="P211" t="s">
        <v>34</v>
      </c>
      <c r="Q211" t="s">
        <v>547</v>
      </c>
      <c r="R211" t="s">
        <v>548</v>
      </c>
      <c r="S211" t="s">
        <v>463</v>
      </c>
      <c r="T211" t="s">
        <v>549</v>
      </c>
      <c r="U211" s="10" t="s">
        <v>1055</v>
      </c>
      <c r="V211" s="10" t="s">
        <v>1085</v>
      </c>
      <c r="W211" s="10" t="s">
        <v>1085</v>
      </c>
      <c r="X211" s="10" t="s">
        <v>1059</v>
      </c>
      <c r="Y211" t="s">
        <v>39</v>
      </c>
      <c r="Z211" t="s">
        <v>40</v>
      </c>
      <c r="AA211" t="s">
        <v>63</v>
      </c>
    </row>
    <row r="212" spans="1:28" x14ac:dyDescent="0.8">
      <c r="A212">
        <v>1187</v>
      </c>
      <c r="B212">
        <v>1734</v>
      </c>
      <c r="C212" s="2">
        <v>44386</v>
      </c>
      <c r="D212" t="s">
        <v>129</v>
      </c>
      <c r="E212" t="s">
        <v>63</v>
      </c>
      <c r="F212" t="s">
        <v>26</v>
      </c>
      <c r="G212" t="s">
        <v>45</v>
      </c>
      <c r="H212" t="s">
        <v>155</v>
      </c>
      <c r="I212" t="s">
        <v>69</v>
      </c>
      <c r="J212" t="s">
        <v>156</v>
      </c>
      <c r="K212" t="s">
        <v>157</v>
      </c>
      <c r="L212" t="s">
        <v>232</v>
      </c>
      <c r="M212" t="s">
        <v>233</v>
      </c>
      <c r="N212" t="s">
        <v>61</v>
      </c>
      <c r="O212" t="s">
        <v>546</v>
      </c>
      <c r="P212" t="s">
        <v>34</v>
      </c>
      <c r="Q212" t="s">
        <v>547</v>
      </c>
      <c r="R212" t="s">
        <v>548</v>
      </c>
      <c r="S212" t="s">
        <v>463</v>
      </c>
      <c r="T212" t="s">
        <v>549</v>
      </c>
      <c r="U212" s="10" t="s">
        <v>1055</v>
      </c>
      <c r="V212" s="10" t="s">
        <v>1085</v>
      </c>
      <c r="W212" s="10" t="s">
        <v>1085</v>
      </c>
      <c r="X212" s="10" t="s">
        <v>1059</v>
      </c>
      <c r="Y212" t="s">
        <v>39</v>
      </c>
      <c r="Z212" t="s">
        <v>40</v>
      </c>
      <c r="AA212" t="s">
        <v>63</v>
      </c>
    </row>
    <row r="213" spans="1:28" x14ac:dyDescent="0.8">
      <c r="A213">
        <v>1211</v>
      </c>
      <c r="B213">
        <v>1758</v>
      </c>
      <c r="C213" s="2">
        <v>44386</v>
      </c>
      <c r="D213" t="s">
        <v>129</v>
      </c>
      <c r="E213" t="s">
        <v>53</v>
      </c>
      <c r="F213" t="s">
        <v>26</v>
      </c>
      <c r="G213" t="s">
        <v>45</v>
      </c>
      <c r="H213" t="s">
        <v>155</v>
      </c>
      <c r="I213" t="s">
        <v>69</v>
      </c>
      <c r="J213" t="s">
        <v>156</v>
      </c>
      <c r="K213" t="s">
        <v>157</v>
      </c>
      <c r="L213" t="s">
        <v>158</v>
      </c>
      <c r="M213" t="s">
        <v>159</v>
      </c>
      <c r="N213" t="s">
        <v>61</v>
      </c>
      <c r="O213" t="s">
        <v>546</v>
      </c>
      <c r="P213" t="s">
        <v>34</v>
      </c>
      <c r="Q213" t="s">
        <v>547</v>
      </c>
      <c r="R213" t="s">
        <v>548</v>
      </c>
      <c r="S213" t="s">
        <v>463</v>
      </c>
      <c r="T213" t="s">
        <v>549</v>
      </c>
      <c r="U213" s="10" t="s">
        <v>1055</v>
      </c>
      <c r="V213" s="10" t="s">
        <v>1085</v>
      </c>
      <c r="W213" s="10" t="s">
        <v>1085</v>
      </c>
      <c r="X213" s="10" t="s">
        <v>1059</v>
      </c>
      <c r="Y213" t="s">
        <v>39</v>
      </c>
      <c r="Z213" t="s">
        <v>40</v>
      </c>
      <c r="AA213" t="s">
        <v>63</v>
      </c>
    </row>
    <row r="214" spans="1:28" x14ac:dyDescent="0.8">
      <c r="A214">
        <v>1210</v>
      </c>
      <c r="B214">
        <v>1757</v>
      </c>
      <c r="C214" s="2">
        <v>44386</v>
      </c>
      <c r="D214" t="s">
        <v>129</v>
      </c>
      <c r="E214" t="s">
        <v>53</v>
      </c>
      <c r="F214" t="s">
        <v>26</v>
      </c>
      <c r="G214" t="s">
        <v>45</v>
      </c>
      <c r="H214" t="s">
        <v>155</v>
      </c>
      <c r="I214" t="s">
        <v>69</v>
      </c>
      <c r="J214" t="s">
        <v>156</v>
      </c>
      <c r="K214" t="s">
        <v>157</v>
      </c>
      <c r="L214" t="s">
        <v>158</v>
      </c>
      <c r="M214" t="s">
        <v>159</v>
      </c>
      <c r="N214" t="s">
        <v>61</v>
      </c>
      <c r="O214" t="s">
        <v>546</v>
      </c>
      <c r="P214" t="s">
        <v>34</v>
      </c>
      <c r="Q214" t="s">
        <v>547</v>
      </c>
      <c r="R214" t="s">
        <v>548</v>
      </c>
      <c r="S214" t="s">
        <v>463</v>
      </c>
      <c r="T214" t="s">
        <v>549</v>
      </c>
      <c r="U214" s="10" t="s">
        <v>1055</v>
      </c>
      <c r="V214" s="10" t="s">
        <v>1085</v>
      </c>
      <c r="W214" s="10" t="s">
        <v>1085</v>
      </c>
      <c r="X214" s="10" t="s">
        <v>1059</v>
      </c>
      <c r="Y214" t="s">
        <v>39</v>
      </c>
      <c r="Z214" t="s">
        <v>40</v>
      </c>
      <c r="AA214" t="s">
        <v>63</v>
      </c>
    </row>
    <row r="215" spans="1:28" x14ac:dyDescent="0.8">
      <c r="A215">
        <v>306</v>
      </c>
      <c r="B215">
        <v>122</v>
      </c>
      <c r="C215" s="2">
        <v>44385</v>
      </c>
      <c r="D215" t="s">
        <v>213</v>
      </c>
      <c r="E215" t="s">
        <v>25</v>
      </c>
      <c r="F215" t="s">
        <v>26</v>
      </c>
      <c r="G215" t="s">
        <v>45</v>
      </c>
      <c r="H215" t="s">
        <v>155</v>
      </c>
      <c r="I215" t="s">
        <v>69</v>
      </c>
      <c r="J215" t="s">
        <v>156</v>
      </c>
      <c r="K215" t="s">
        <v>157</v>
      </c>
      <c r="L215" t="s">
        <v>158</v>
      </c>
      <c r="M215" t="s">
        <v>159</v>
      </c>
      <c r="N215" t="s">
        <v>61</v>
      </c>
      <c r="O215" t="s">
        <v>546</v>
      </c>
      <c r="P215" t="s">
        <v>34</v>
      </c>
      <c r="Q215" t="s">
        <v>547</v>
      </c>
      <c r="R215" t="s">
        <v>548</v>
      </c>
      <c r="S215" t="s">
        <v>463</v>
      </c>
      <c r="T215" t="s">
        <v>549</v>
      </c>
      <c r="U215" s="10" t="s">
        <v>1055</v>
      </c>
      <c r="V215" s="10" t="s">
        <v>1085</v>
      </c>
      <c r="W215" s="10" t="s">
        <v>1085</v>
      </c>
      <c r="X215" s="10" t="s">
        <v>1059</v>
      </c>
      <c r="Y215" t="s">
        <v>39</v>
      </c>
      <c r="Z215" t="s">
        <v>40</v>
      </c>
      <c r="AA215" t="s">
        <v>53</v>
      </c>
    </row>
    <row r="216" spans="1:28" x14ac:dyDescent="0.8">
      <c r="A216">
        <v>565</v>
      </c>
      <c r="B216">
        <v>196</v>
      </c>
      <c r="C216" s="2">
        <v>44388</v>
      </c>
      <c r="D216" t="s">
        <v>124</v>
      </c>
      <c r="E216" t="s">
        <v>25</v>
      </c>
      <c r="F216" t="s">
        <v>26</v>
      </c>
      <c r="G216" t="s">
        <v>45</v>
      </c>
      <c r="H216" t="s">
        <v>55</v>
      </c>
      <c r="I216" t="s">
        <v>69</v>
      </c>
      <c r="J216" t="s">
        <v>284</v>
      </c>
      <c r="K216" t="s">
        <v>285</v>
      </c>
      <c r="L216" t="s">
        <v>286</v>
      </c>
      <c r="M216" t="s">
        <v>287</v>
      </c>
      <c r="N216" t="s">
        <v>61</v>
      </c>
      <c r="O216" t="s">
        <v>546</v>
      </c>
      <c r="P216" t="s">
        <v>34</v>
      </c>
      <c r="Q216" t="s">
        <v>547</v>
      </c>
      <c r="R216" t="s">
        <v>548</v>
      </c>
      <c r="S216" t="s">
        <v>463</v>
      </c>
      <c r="T216" t="s">
        <v>549</v>
      </c>
      <c r="U216" s="10" t="s">
        <v>1055</v>
      </c>
      <c r="V216" s="10" t="s">
        <v>1085</v>
      </c>
      <c r="W216" s="10" t="s">
        <v>1085</v>
      </c>
      <c r="X216" s="10" t="s">
        <v>1059</v>
      </c>
      <c r="Y216" t="s">
        <v>39</v>
      </c>
      <c r="Z216" t="s">
        <v>40</v>
      </c>
      <c r="AA216" t="s">
        <v>63</v>
      </c>
    </row>
    <row r="217" spans="1:28" x14ac:dyDescent="0.8">
      <c r="A217">
        <v>1690</v>
      </c>
      <c r="B217">
        <v>569</v>
      </c>
      <c r="C217" s="2">
        <v>44388</v>
      </c>
      <c r="D217" t="s">
        <v>124</v>
      </c>
      <c r="E217" t="s">
        <v>25</v>
      </c>
      <c r="F217" t="s">
        <v>26</v>
      </c>
      <c r="G217" t="s">
        <v>45</v>
      </c>
      <c r="H217" t="s">
        <v>46</v>
      </c>
      <c r="I217" t="s">
        <v>47</v>
      </c>
      <c r="J217" t="s">
        <v>48</v>
      </c>
      <c r="K217" t="s">
        <v>49</v>
      </c>
      <c r="L217" t="s">
        <v>91</v>
      </c>
      <c r="M217" t="s">
        <v>92</v>
      </c>
      <c r="N217" t="s">
        <v>61</v>
      </c>
      <c r="O217" t="s">
        <v>546</v>
      </c>
      <c r="P217" t="s">
        <v>34</v>
      </c>
      <c r="Q217" t="s">
        <v>547</v>
      </c>
      <c r="R217" t="s">
        <v>548</v>
      </c>
      <c r="S217" t="s">
        <v>463</v>
      </c>
      <c r="T217" t="s">
        <v>549</v>
      </c>
      <c r="U217" s="10" t="s">
        <v>1055</v>
      </c>
      <c r="V217" s="10" t="s">
        <v>1085</v>
      </c>
      <c r="W217" s="10" t="s">
        <v>1085</v>
      </c>
      <c r="X217" s="10" t="s">
        <v>1059</v>
      </c>
      <c r="Y217" t="s">
        <v>39</v>
      </c>
      <c r="Z217" t="s">
        <v>40</v>
      </c>
      <c r="AA217" t="s">
        <v>41</v>
      </c>
    </row>
    <row r="218" spans="1:28" x14ac:dyDescent="0.8">
      <c r="A218">
        <v>937</v>
      </c>
      <c r="B218">
        <v>1113</v>
      </c>
      <c r="C218" s="2">
        <v>44384</v>
      </c>
      <c r="D218" t="s">
        <v>242</v>
      </c>
      <c r="E218" t="s">
        <v>25</v>
      </c>
      <c r="F218" t="s">
        <v>26</v>
      </c>
      <c r="G218" t="s">
        <v>45</v>
      </c>
      <c r="H218" t="s">
        <v>68</v>
      </c>
      <c r="I218" t="s">
        <v>69</v>
      </c>
      <c r="J218" t="s">
        <v>70</v>
      </c>
      <c r="K218" t="s">
        <v>71</v>
      </c>
      <c r="L218" t="s">
        <v>72</v>
      </c>
      <c r="M218" t="s">
        <v>73</v>
      </c>
      <c r="N218" t="s">
        <v>61</v>
      </c>
      <c r="O218" t="s">
        <v>546</v>
      </c>
      <c r="P218" t="s">
        <v>34</v>
      </c>
      <c r="Q218" t="s">
        <v>547</v>
      </c>
      <c r="R218" t="s">
        <v>548</v>
      </c>
      <c r="S218" t="s">
        <v>463</v>
      </c>
      <c r="T218" t="s">
        <v>549</v>
      </c>
      <c r="U218" s="10" t="s">
        <v>1055</v>
      </c>
      <c r="V218" s="10" t="s">
        <v>1085</v>
      </c>
      <c r="W218" s="10" t="s">
        <v>1085</v>
      </c>
      <c r="X218" s="10" t="s">
        <v>1059</v>
      </c>
      <c r="Y218" t="s">
        <v>39</v>
      </c>
      <c r="Z218" t="s">
        <v>40</v>
      </c>
      <c r="AA218" t="s">
        <v>63</v>
      </c>
      <c r="AB218" t="s">
        <v>551</v>
      </c>
    </row>
    <row r="219" spans="1:28" x14ac:dyDescent="0.8">
      <c r="A219">
        <v>946</v>
      </c>
      <c r="B219">
        <v>1122</v>
      </c>
      <c r="C219" s="2">
        <v>44384</v>
      </c>
      <c r="D219" t="s">
        <v>242</v>
      </c>
      <c r="E219" t="s">
        <v>125</v>
      </c>
      <c r="F219" t="s">
        <v>26</v>
      </c>
      <c r="G219" t="s">
        <v>45</v>
      </c>
      <c r="H219" t="s">
        <v>68</v>
      </c>
      <c r="I219" t="s">
        <v>69</v>
      </c>
      <c r="J219" t="s">
        <v>70</v>
      </c>
      <c r="K219" t="s">
        <v>71</v>
      </c>
      <c r="L219" t="s">
        <v>72</v>
      </c>
      <c r="M219" t="s">
        <v>73</v>
      </c>
      <c r="N219" t="s">
        <v>61</v>
      </c>
      <c r="O219" t="s">
        <v>546</v>
      </c>
      <c r="P219" t="s">
        <v>34</v>
      </c>
      <c r="Q219" t="s">
        <v>547</v>
      </c>
      <c r="R219" t="s">
        <v>548</v>
      </c>
      <c r="S219" t="s">
        <v>463</v>
      </c>
      <c r="T219" t="s">
        <v>549</v>
      </c>
      <c r="U219" s="10" t="s">
        <v>1055</v>
      </c>
      <c r="V219" s="10" t="s">
        <v>1085</v>
      </c>
      <c r="W219" s="10" t="s">
        <v>1085</v>
      </c>
      <c r="X219" s="10" t="s">
        <v>1059</v>
      </c>
      <c r="Y219" t="s">
        <v>39</v>
      </c>
      <c r="Z219" t="s">
        <v>40</v>
      </c>
      <c r="AA219" t="s">
        <v>63</v>
      </c>
    </row>
    <row r="220" spans="1:28" x14ac:dyDescent="0.8">
      <c r="A220">
        <v>912</v>
      </c>
      <c r="B220">
        <v>1040</v>
      </c>
      <c r="C220" s="2">
        <v>44384</v>
      </c>
      <c r="D220" t="s">
        <v>242</v>
      </c>
      <c r="E220" t="s">
        <v>150</v>
      </c>
      <c r="F220" t="s">
        <v>26</v>
      </c>
      <c r="G220" t="s">
        <v>45</v>
      </c>
      <c r="H220" t="s">
        <v>68</v>
      </c>
      <c r="I220" t="s">
        <v>69</v>
      </c>
      <c r="J220" t="s">
        <v>70</v>
      </c>
      <c r="K220" t="s">
        <v>71</v>
      </c>
      <c r="L220" t="s">
        <v>72</v>
      </c>
      <c r="M220" t="s">
        <v>73</v>
      </c>
      <c r="N220" t="s">
        <v>61</v>
      </c>
      <c r="O220" t="s">
        <v>546</v>
      </c>
      <c r="P220" t="s">
        <v>34</v>
      </c>
      <c r="Q220" t="s">
        <v>547</v>
      </c>
      <c r="R220" t="s">
        <v>548</v>
      </c>
      <c r="S220" t="s">
        <v>463</v>
      </c>
      <c r="T220" t="s">
        <v>549</v>
      </c>
      <c r="U220" s="10" t="s">
        <v>1055</v>
      </c>
      <c r="V220" s="10" t="s">
        <v>1085</v>
      </c>
      <c r="W220" s="10" t="s">
        <v>1085</v>
      </c>
      <c r="X220" s="10" t="s">
        <v>1059</v>
      </c>
      <c r="Y220" t="s">
        <v>39</v>
      </c>
      <c r="Z220" t="s">
        <v>40</v>
      </c>
      <c r="AA220" t="s">
        <v>63</v>
      </c>
    </row>
    <row r="221" spans="1:28" x14ac:dyDescent="0.8">
      <c r="A221">
        <v>909</v>
      </c>
      <c r="B221">
        <v>1037</v>
      </c>
      <c r="C221" s="2">
        <v>44384</v>
      </c>
      <c r="D221" t="s">
        <v>242</v>
      </c>
      <c r="E221" t="s">
        <v>63</v>
      </c>
      <c r="F221" t="s">
        <v>26</v>
      </c>
      <c r="G221" t="s">
        <v>45</v>
      </c>
      <c r="H221" t="s">
        <v>68</v>
      </c>
      <c r="I221" t="s">
        <v>69</v>
      </c>
      <c r="J221" t="s">
        <v>70</v>
      </c>
      <c r="K221" t="s">
        <v>71</v>
      </c>
      <c r="L221" t="s">
        <v>72</v>
      </c>
      <c r="M221" t="s">
        <v>73</v>
      </c>
      <c r="N221" t="s">
        <v>61</v>
      </c>
      <c r="O221" t="s">
        <v>546</v>
      </c>
      <c r="P221" t="s">
        <v>34</v>
      </c>
      <c r="Q221" t="s">
        <v>547</v>
      </c>
      <c r="R221" t="s">
        <v>548</v>
      </c>
      <c r="S221" t="s">
        <v>463</v>
      </c>
      <c r="T221" t="s">
        <v>549</v>
      </c>
      <c r="U221" s="10" t="s">
        <v>1055</v>
      </c>
      <c r="V221" s="10" t="s">
        <v>1085</v>
      </c>
      <c r="W221" s="10" t="s">
        <v>1085</v>
      </c>
      <c r="X221" s="10" t="s">
        <v>1059</v>
      </c>
      <c r="Y221" t="s">
        <v>39</v>
      </c>
      <c r="Z221" t="s">
        <v>40</v>
      </c>
      <c r="AA221" t="s">
        <v>63</v>
      </c>
    </row>
    <row r="222" spans="1:28" x14ac:dyDescent="0.8">
      <c r="A222">
        <v>415</v>
      </c>
      <c r="B222">
        <v>1184</v>
      </c>
      <c r="C222" s="2">
        <v>44384</v>
      </c>
      <c r="D222" t="s">
        <v>242</v>
      </c>
      <c r="E222" t="s">
        <v>25</v>
      </c>
      <c r="F222" t="s">
        <v>26</v>
      </c>
      <c r="G222" t="s">
        <v>45</v>
      </c>
      <c r="H222" t="s">
        <v>68</v>
      </c>
      <c r="I222" t="s">
        <v>69</v>
      </c>
      <c r="J222" t="s">
        <v>70</v>
      </c>
      <c r="K222" t="s">
        <v>71</v>
      </c>
      <c r="L222" t="s">
        <v>72</v>
      </c>
      <c r="M222" t="s">
        <v>73</v>
      </c>
      <c r="N222" t="s">
        <v>61</v>
      </c>
      <c r="O222" t="s">
        <v>546</v>
      </c>
      <c r="P222" t="s">
        <v>34</v>
      </c>
      <c r="Q222" t="s">
        <v>547</v>
      </c>
      <c r="R222" t="s">
        <v>548</v>
      </c>
      <c r="S222" t="s">
        <v>463</v>
      </c>
      <c r="T222" t="s">
        <v>549</v>
      </c>
      <c r="U222" s="10" t="s">
        <v>1055</v>
      </c>
      <c r="V222" s="10" t="s">
        <v>1085</v>
      </c>
      <c r="W222" s="10" t="s">
        <v>1085</v>
      </c>
      <c r="X222" s="10" t="s">
        <v>1059</v>
      </c>
      <c r="Y222" t="s">
        <v>140</v>
      </c>
      <c r="Z222" t="s">
        <v>40</v>
      </c>
      <c r="AA222" t="s">
        <v>53</v>
      </c>
    </row>
    <row r="223" spans="1:28" x14ac:dyDescent="0.8">
      <c r="A223">
        <v>938</v>
      </c>
      <c r="B223">
        <v>1114</v>
      </c>
      <c r="C223" s="2">
        <v>44384</v>
      </c>
      <c r="D223" t="s">
        <v>242</v>
      </c>
      <c r="E223" t="s">
        <v>25</v>
      </c>
      <c r="F223" t="s">
        <v>26</v>
      </c>
      <c r="G223" t="s">
        <v>45</v>
      </c>
      <c r="H223" t="s">
        <v>46</v>
      </c>
      <c r="I223" t="s">
        <v>47</v>
      </c>
      <c r="J223" t="s">
        <v>48</v>
      </c>
      <c r="K223" t="s">
        <v>49</v>
      </c>
      <c r="L223" t="s">
        <v>91</v>
      </c>
      <c r="M223" t="s">
        <v>92</v>
      </c>
      <c r="N223" t="s">
        <v>61</v>
      </c>
      <c r="O223" t="s">
        <v>546</v>
      </c>
      <c r="P223" t="s">
        <v>34</v>
      </c>
      <c r="Q223" t="s">
        <v>547</v>
      </c>
      <c r="R223" t="s">
        <v>548</v>
      </c>
      <c r="S223" t="s">
        <v>463</v>
      </c>
      <c r="T223" t="s">
        <v>549</v>
      </c>
      <c r="U223" s="10" t="s">
        <v>1055</v>
      </c>
      <c r="V223" s="10" t="s">
        <v>1085</v>
      </c>
      <c r="W223" s="10" t="s">
        <v>1085</v>
      </c>
      <c r="X223" s="10" t="s">
        <v>1059</v>
      </c>
      <c r="Y223" t="s">
        <v>39</v>
      </c>
      <c r="Z223" t="s">
        <v>40</v>
      </c>
      <c r="AA223" t="s">
        <v>63</v>
      </c>
      <c r="AB223" t="s">
        <v>551</v>
      </c>
    </row>
    <row r="224" spans="1:28" x14ac:dyDescent="0.8">
      <c r="A224">
        <v>223</v>
      </c>
      <c r="B224">
        <v>1049</v>
      </c>
      <c r="C224" s="2">
        <v>44388</v>
      </c>
      <c r="D224" t="s">
        <v>328</v>
      </c>
      <c r="E224" t="s">
        <v>63</v>
      </c>
      <c r="F224" t="s">
        <v>26</v>
      </c>
      <c r="G224" t="s">
        <v>45</v>
      </c>
      <c r="H224" t="s">
        <v>68</v>
      </c>
      <c r="I224" t="s">
        <v>69</v>
      </c>
      <c r="J224" t="s">
        <v>70</v>
      </c>
      <c r="K224" t="s">
        <v>71</v>
      </c>
      <c r="L224" t="s">
        <v>72</v>
      </c>
      <c r="M224" t="s">
        <v>73</v>
      </c>
      <c r="N224" t="s">
        <v>61</v>
      </c>
      <c r="O224" t="s">
        <v>473</v>
      </c>
      <c r="P224" t="s">
        <v>85</v>
      </c>
      <c r="Q224" t="s">
        <v>348</v>
      </c>
      <c r="R224" t="s">
        <v>470</v>
      </c>
      <c r="S224" t="s">
        <v>474</v>
      </c>
      <c r="T224" t="s">
        <v>475</v>
      </c>
      <c r="U224" s="10" t="s">
        <v>1061</v>
      </c>
      <c r="V224" s="10" t="s">
        <v>1085</v>
      </c>
      <c r="W224" s="10" t="s">
        <v>1085</v>
      </c>
      <c r="X224" s="10" t="s">
        <v>1068</v>
      </c>
      <c r="Y224" t="s">
        <v>39</v>
      </c>
      <c r="Z224" t="s">
        <v>40</v>
      </c>
      <c r="AA224" t="s">
        <v>53</v>
      </c>
    </row>
    <row r="225" spans="1:28" x14ac:dyDescent="0.8">
      <c r="A225">
        <v>1702</v>
      </c>
      <c r="B225">
        <v>552</v>
      </c>
      <c r="C225" s="2">
        <v>44388</v>
      </c>
      <c r="D225" t="s">
        <v>328</v>
      </c>
      <c r="E225" t="s">
        <v>25</v>
      </c>
      <c r="F225" t="s">
        <v>26</v>
      </c>
      <c r="G225" t="s">
        <v>45</v>
      </c>
      <c r="H225" t="s">
        <v>476</v>
      </c>
      <c r="I225" t="s">
        <v>69</v>
      </c>
      <c r="J225" t="s">
        <v>295</v>
      </c>
      <c r="K225" t="s">
        <v>477</v>
      </c>
      <c r="L225" t="s">
        <v>478</v>
      </c>
      <c r="M225" t="s">
        <v>479</v>
      </c>
      <c r="N225" t="s">
        <v>52</v>
      </c>
      <c r="O225" t="s">
        <v>473</v>
      </c>
      <c r="P225" t="s">
        <v>85</v>
      </c>
      <c r="Q225" t="s">
        <v>348</v>
      </c>
      <c r="R225" t="s">
        <v>470</v>
      </c>
      <c r="S225" t="s">
        <v>474</v>
      </c>
      <c r="T225" t="s">
        <v>475</v>
      </c>
      <c r="U225" s="10" t="s">
        <v>1061</v>
      </c>
      <c r="V225" s="10" t="s">
        <v>1085</v>
      </c>
      <c r="W225" s="10" t="s">
        <v>1085</v>
      </c>
      <c r="X225" s="10" t="s">
        <v>1068</v>
      </c>
      <c r="Y225" t="s">
        <v>39</v>
      </c>
      <c r="Z225" t="s">
        <v>40</v>
      </c>
      <c r="AA225" t="s">
        <v>41</v>
      </c>
    </row>
    <row r="226" spans="1:28" x14ac:dyDescent="0.8">
      <c r="A226">
        <v>1699</v>
      </c>
      <c r="B226">
        <v>549</v>
      </c>
      <c r="C226" s="2">
        <v>44388</v>
      </c>
      <c r="D226" t="s">
        <v>328</v>
      </c>
      <c r="E226" t="s">
        <v>25</v>
      </c>
      <c r="F226" t="s">
        <v>26</v>
      </c>
      <c r="G226" t="s">
        <v>45</v>
      </c>
      <c r="H226" t="s">
        <v>476</v>
      </c>
      <c r="I226" t="s">
        <v>69</v>
      </c>
      <c r="J226" t="s">
        <v>295</v>
      </c>
      <c r="K226" t="s">
        <v>477</v>
      </c>
      <c r="L226" t="s">
        <v>478</v>
      </c>
      <c r="M226" t="s">
        <v>479</v>
      </c>
      <c r="N226" t="s">
        <v>52</v>
      </c>
      <c r="O226" t="s">
        <v>473</v>
      </c>
      <c r="P226" t="s">
        <v>85</v>
      </c>
      <c r="Q226" t="s">
        <v>348</v>
      </c>
      <c r="R226" t="s">
        <v>470</v>
      </c>
      <c r="S226" t="s">
        <v>474</v>
      </c>
      <c r="T226" t="s">
        <v>475</v>
      </c>
      <c r="U226" s="10" t="s">
        <v>1061</v>
      </c>
      <c r="V226" s="10" t="s">
        <v>1085</v>
      </c>
      <c r="W226" s="10" t="s">
        <v>1085</v>
      </c>
      <c r="X226" s="10" t="s">
        <v>1068</v>
      </c>
      <c r="Y226" t="s">
        <v>39</v>
      </c>
      <c r="Z226" t="s">
        <v>40</v>
      </c>
      <c r="AA226" t="s">
        <v>41</v>
      </c>
    </row>
    <row r="227" spans="1:28" x14ac:dyDescent="0.8">
      <c r="A227">
        <v>576</v>
      </c>
      <c r="B227">
        <v>675</v>
      </c>
      <c r="C227" s="2">
        <v>44388</v>
      </c>
      <c r="D227" t="s">
        <v>328</v>
      </c>
      <c r="E227" t="s">
        <v>25</v>
      </c>
      <c r="F227" t="s">
        <v>26</v>
      </c>
      <c r="G227" t="s">
        <v>45</v>
      </c>
      <c r="H227" t="s">
        <v>476</v>
      </c>
      <c r="I227" t="s">
        <v>69</v>
      </c>
      <c r="J227" t="s">
        <v>295</v>
      </c>
      <c r="K227" t="s">
        <v>477</v>
      </c>
      <c r="L227" t="s">
        <v>478</v>
      </c>
      <c r="M227" t="s">
        <v>479</v>
      </c>
      <c r="N227" t="s">
        <v>52</v>
      </c>
      <c r="O227" t="s">
        <v>473</v>
      </c>
      <c r="P227" t="s">
        <v>85</v>
      </c>
      <c r="Q227" t="s">
        <v>348</v>
      </c>
      <c r="R227" t="s">
        <v>470</v>
      </c>
      <c r="S227" t="s">
        <v>474</v>
      </c>
      <c r="T227" t="s">
        <v>475</v>
      </c>
      <c r="U227" s="10" t="s">
        <v>1061</v>
      </c>
      <c r="V227" s="10" t="s">
        <v>1085</v>
      </c>
      <c r="W227" s="10" t="s">
        <v>1085</v>
      </c>
      <c r="X227" s="10" t="s">
        <v>1068</v>
      </c>
      <c r="Y227" t="s">
        <v>39</v>
      </c>
      <c r="Z227" t="s">
        <v>40</v>
      </c>
      <c r="AA227" t="s">
        <v>63</v>
      </c>
    </row>
    <row r="228" spans="1:28" x14ac:dyDescent="0.8">
      <c r="A228">
        <v>575</v>
      </c>
      <c r="B228">
        <v>674</v>
      </c>
      <c r="C228" s="2">
        <v>44388</v>
      </c>
      <c r="D228" t="s">
        <v>328</v>
      </c>
      <c r="E228" t="s">
        <v>63</v>
      </c>
      <c r="F228" t="s">
        <v>26</v>
      </c>
      <c r="G228" t="s">
        <v>45</v>
      </c>
      <c r="H228" t="s">
        <v>476</v>
      </c>
      <c r="I228" t="s">
        <v>69</v>
      </c>
      <c r="J228" t="s">
        <v>295</v>
      </c>
      <c r="K228" t="s">
        <v>477</v>
      </c>
      <c r="L228" t="s">
        <v>478</v>
      </c>
      <c r="M228" t="s">
        <v>479</v>
      </c>
      <c r="N228" t="s">
        <v>52</v>
      </c>
      <c r="O228" t="s">
        <v>473</v>
      </c>
      <c r="P228" t="s">
        <v>85</v>
      </c>
      <c r="Q228" t="s">
        <v>348</v>
      </c>
      <c r="R228" t="s">
        <v>470</v>
      </c>
      <c r="S228" t="s">
        <v>474</v>
      </c>
      <c r="T228" t="s">
        <v>475</v>
      </c>
      <c r="U228" s="10" t="s">
        <v>1061</v>
      </c>
      <c r="V228" s="10" t="s">
        <v>1085</v>
      </c>
      <c r="W228" s="10" t="s">
        <v>1085</v>
      </c>
      <c r="X228" s="10" t="s">
        <v>1068</v>
      </c>
      <c r="Y228" t="s">
        <v>39</v>
      </c>
      <c r="Z228" t="s">
        <v>40</v>
      </c>
      <c r="AA228" t="s">
        <v>63</v>
      </c>
    </row>
    <row r="229" spans="1:28" x14ac:dyDescent="0.8">
      <c r="A229">
        <v>572</v>
      </c>
      <c r="B229">
        <v>203</v>
      </c>
      <c r="C229" s="2">
        <v>44388</v>
      </c>
      <c r="D229" t="s">
        <v>328</v>
      </c>
      <c r="E229" t="s">
        <v>25</v>
      </c>
      <c r="F229" t="s">
        <v>26</v>
      </c>
      <c r="G229" t="s">
        <v>45</v>
      </c>
      <c r="H229" t="s">
        <v>476</v>
      </c>
      <c r="I229" t="s">
        <v>69</v>
      </c>
      <c r="J229" t="s">
        <v>295</v>
      </c>
      <c r="K229" t="s">
        <v>477</v>
      </c>
      <c r="L229" t="s">
        <v>478</v>
      </c>
      <c r="M229" t="s">
        <v>479</v>
      </c>
      <c r="N229" t="s">
        <v>52</v>
      </c>
      <c r="O229" t="s">
        <v>473</v>
      </c>
      <c r="P229" t="s">
        <v>85</v>
      </c>
      <c r="Q229" t="s">
        <v>348</v>
      </c>
      <c r="R229" t="s">
        <v>470</v>
      </c>
      <c r="S229" t="s">
        <v>474</v>
      </c>
      <c r="T229" t="s">
        <v>475</v>
      </c>
      <c r="U229" s="10" t="s">
        <v>1061</v>
      </c>
      <c r="V229" s="10" t="s">
        <v>1085</v>
      </c>
      <c r="W229" s="10" t="s">
        <v>1085</v>
      </c>
      <c r="X229" s="10" t="s">
        <v>1068</v>
      </c>
      <c r="Y229" t="s">
        <v>140</v>
      </c>
      <c r="Z229" t="s">
        <v>40</v>
      </c>
      <c r="AA229" t="s">
        <v>63</v>
      </c>
    </row>
    <row r="230" spans="1:28" x14ac:dyDescent="0.8">
      <c r="A230">
        <v>571</v>
      </c>
      <c r="B230">
        <v>202</v>
      </c>
      <c r="C230" s="2">
        <v>44388</v>
      </c>
      <c r="D230" t="s">
        <v>328</v>
      </c>
      <c r="E230" t="s">
        <v>63</v>
      </c>
      <c r="F230" t="s">
        <v>26</v>
      </c>
      <c r="G230" t="s">
        <v>45</v>
      </c>
      <c r="H230" t="s">
        <v>476</v>
      </c>
      <c r="I230" t="s">
        <v>69</v>
      </c>
      <c r="J230" t="s">
        <v>295</v>
      </c>
      <c r="K230" t="s">
        <v>477</v>
      </c>
      <c r="L230" t="s">
        <v>478</v>
      </c>
      <c r="M230" t="s">
        <v>479</v>
      </c>
      <c r="N230" t="s">
        <v>52</v>
      </c>
      <c r="O230" t="s">
        <v>473</v>
      </c>
      <c r="P230" t="s">
        <v>85</v>
      </c>
      <c r="Q230" t="s">
        <v>348</v>
      </c>
      <c r="R230" t="s">
        <v>470</v>
      </c>
      <c r="S230" t="s">
        <v>474</v>
      </c>
      <c r="T230" t="s">
        <v>475</v>
      </c>
      <c r="U230" s="10" t="s">
        <v>1061</v>
      </c>
      <c r="V230" s="10" t="s">
        <v>1085</v>
      </c>
      <c r="W230" s="10" t="s">
        <v>1085</v>
      </c>
      <c r="X230" s="10" t="s">
        <v>1068</v>
      </c>
      <c r="Y230" t="s">
        <v>140</v>
      </c>
      <c r="Z230" t="s">
        <v>40</v>
      </c>
      <c r="AA230" t="s">
        <v>63</v>
      </c>
    </row>
    <row r="231" spans="1:28" x14ac:dyDescent="0.8">
      <c r="A231">
        <v>568</v>
      </c>
      <c r="B231">
        <v>199</v>
      </c>
      <c r="C231" s="2">
        <v>44388</v>
      </c>
      <c r="D231" t="s">
        <v>328</v>
      </c>
      <c r="E231" t="s">
        <v>25</v>
      </c>
      <c r="F231" t="s">
        <v>26</v>
      </c>
      <c r="G231" t="s">
        <v>45</v>
      </c>
      <c r="H231" t="s">
        <v>476</v>
      </c>
      <c r="I231" t="s">
        <v>69</v>
      </c>
      <c r="J231" t="s">
        <v>295</v>
      </c>
      <c r="K231" t="s">
        <v>477</v>
      </c>
      <c r="L231" t="s">
        <v>478</v>
      </c>
      <c r="M231" t="s">
        <v>479</v>
      </c>
      <c r="N231" t="s">
        <v>52</v>
      </c>
      <c r="O231" t="s">
        <v>473</v>
      </c>
      <c r="P231" t="s">
        <v>85</v>
      </c>
      <c r="Q231" t="s">
        <v>348</v>
      </c>
      <c r="R231" t="s">
        <v>470</v>
      </c>
      <c r="S231" t="s">
        <v>474</v>
      </c>
      <c r="T231" t="s">
        <v>475</v>
      </c>
      <c r="U231" s="10" t="s">
        <v>1061</v>
      </c>
      <c r="V231" s="10" t="s">
        <v>1085</v>
      </c>
      <c r="W231" s="10" t="s">
        <v>1085</v>
      </c>
      <c r="X231" s="10" t="s">
        <v>1068</v>
      </c>
      <c r="Y231" t="s">
        <v>140</v>
      </c>
      <c r="Z231" t="s">
        <v>40</v>
      </c>
      <c r="AA231" t="s">
        <v>63</v>
      </c>
    </row>
    <row r="232" spans="1:28" x14ac:dyDescent="0.8">
      <c r="A232">
        <v>215</v>
      </c>
      <c r="B232">
        <v>966</v>
      </c>
      <c r="C232" s="2">
        <v>44388</v>
      </c>
      <c r="D232" t="s">
        <v>328</v>
      </c>
      <c r="E232" t="s">
        <v>25</v>
      </c>
      <c r="F232" t="s">
        <v>26</v>
      </c>
      <c r="G232" t="s">
        <v>45</v>
      </c>
      <c r="H232" t="s">
        <v>476</v>
      </c>
      <c r="I232" t="s">
        <v>69</v>
      </c>
      <c r="J232" t="s">
        <v>295</v>
      </c>
      <c r="K232" t="s">
        <v>477</v>
      </c>
      <c r="L232" t="s">
        <v>478</v>
      </c>
      <c r="M232" t="s">
        <v>479</v>
      </c>
      <c r="N232" t="s">
        <v>52</v>
      </c>
      <c r="O232" t="s">
        <v>473</v>
      </c>
      <c r="P232" t="s">
        <v>85</v>
      </c>
      <c r="Q232" t="s">
        <v>348</v>
      </c>
      <c r="R232" t="s">
        <v>470</v>
      </c>
      <c r="S232" t="s">
        <v>474</v>
      </c>
      <c r="T232" t="s">
        <v>475</v>
      </c>
      <c r="U232" s="10" t="s">
        <v>1061</v>
      </c>
      <c r="V232" s="10" t="s">
        <v>1085</v>
      </c>
      <c r="W232" s="10" t="s">
        <v>1085</v>
      </c>
      <c r="X232" s="10" t="s">
        <v>1068</v>
      </c>
      <c r="Y232" t="s">
        <v>39</v>
      </c>
      <c r="Z232" t="s">
        <v>40</v>
      </c>
      <c r="AA232" t="s">
        <v>53</v>
      </c>
    </row>
    <row r="233" spans="1:28" x14ac:dyDescent="0.8">
      <c r="A233">
        <v>1707</v>
      </c>
      <c r="B233">
        <v>557</v>
      </c>
      <c r="C233" s="2">
        <v>44388</v>
      </c>
      <c r="D233" t="s">
        <v>328</v>
      </c>
      <c r="E233" t="s">
        <v>53</v>
      </c>
      <c r="F233" t="s">
        <v>26</v>
      </c>
      <c r="G233" t="s">
        <v>45</v>
      </c>
      <c r="H233" t="s">
        <v>476</v>
      </c>
      <c r="I233" t="s">
        <v>69</v>
      </c>
      <c r="J233" t="s">
        <v>295</v>
      </c>
      <c r="K233" t="s">
        <v>477</v>
      </c>
      <c r="L233" t="s">
        <v>478</v>
      </c>
      <c r="M233" t="s">
        <v>479</v>
      </c>
      <c r="N233" t="s">
        <v>52</v>
      </c>
      <c r="O233" t="s">
        <v>480</v>
      </c>
      <c r="P233" t="s">
        <v>85</v>
      </c>
      <c r="Q233" t="s">
        <v>348</v>
      </c>
      <c r="R233" t="s">
        <v>470</v>
      </c>
      <c r="S233" t="s">
        <v>474</v>
      </c>
      <c r="T233" t="s">
        <v>475</v>
      </c>
      <c r="U233" s="10" t="s">
        <v>1061</v>
      </c>
      <c r="V233" s="10" t="s">
        <v>1085</v>
      </c>
      <c r="W233" s="10" t="s">
        <v>1085</v>
      </c>
      <c r="X233" s="10" t="s">
        <v>1068</v>
      </c>
      <c r="Y233" t="s">
        <v>39</v>
      </c>
      <c r="Z233" t="s">
        <v>40</v>
      </c>
      <c r="AA233" t="s">
        <v>41</v>
      </c>
    </row>
    <row r="234" spans="1:28" x14ac:dyDescent="0.8">
      <c r="A234">
        <v>1704</v>
      </c>
      <c r="B234">
        <v>554</v>
      </c>
      <c r="C234" s="2">
        <v>44388</v>
      </c>
      <c r="D234" t="s">
        <v>328</v>
      </c>
      <c r="E234" t="s">
        <v>53</v>
      </c>
      <c r="F234" t="s">
        <v>26</v>
      </c>
      <c r="G234" t="s">
        <v>45</v>
      </c>
      <c r="H234" t="s">
        <v>476</v>
      </c>
      <c r="I234" t="s">
        <v>69</v>
      </c>
      <c r="J234" t="s">
        <v>295</v>
      </c>
      <c r="K234" t="s">
        <v>477</v>
      </c>
      <c r="L234" t="s">
        <v>478</v>
      </c>
      <c r="M234" t="s">
        <v>479</v>
      </c>
      <c r="N234" t="s">
        <v>52</v>
      </c>
      <c r="O234" t="s">
        <v>480</v>
      </c>
      <c r="P234" t="s">
        <v>85</v>
      </c>
      <c r="Q234" t="s">
        <v>348</v>
      </c>
      <c r="R234" t="s">
        <v>470</v>
      </c>
      <c r="S234" t="s">
        <v>474</v>
      </c>
      <c r="T234" t="s">
        <v>475</v>
      </c>
      <c r="U234" s="10" t="s">
        <v>1061</v>
      </c>
      <c r="V234" s="10" t="s">
        <v>1085</v>
      </c>
      <c r="W234" s="10" t="s">
        <v>1085</v>
      </c>
      <c r="X234" s="10" t="s">
        <v>1068</v>
      </c>
      <c r="Y234" t="s">
        <v>39</v>
      </c>
      <c r="Z234" t="s">
        <v>40</v>
      </c>
      <c r="AA234" t="s">
        <v>41</v>
      </c>
    </row>
    <row r="235" spans="1:28" x14ac:dyDescent="0.8">
      <c r="A235">
        <v>1698</v>
      </c>
      <c r="B235">
        <v>548</v>
      </c>
      <c r="C235" s="2">
        <v>44388</v>
      </c>
      <c r="D235" t="s">
        <v>328</v>
      </c>
      <c r="E235" t="s">
        <v>125</v>
      </c>
      <c r="F235" t="s">
        <v>26</v>
      </c>
      <c r="G235" t="s">
        <v>45</v>
      </c>
      <c r="H235" t="s">
        <v>476</v>
      </c>
      <c r="I235" t="s">
        <v>69</v>
      </c>
      <c r="J235" t="s">
        <v>295</v>
      </c>
      <c r="K235" t="s">
        <v>477</v>
      </c>
      <c r="L235" t="s">
        <v>478</v>
      </c>
      <c r="M235" t="s">
        <v>479</v>
      </c>
      <c r="N235" t="s">
        <v>52</v>
      </c>
      <c r="O235" t="s">
        <v>480</v>
      </c>
      <c r="P235" t="s">
        <v>85</v>
      </c>
      <c r="Q235" t="s">
        <v>348</v>
      </c>
      <c r="R235" t="s">
        <v>470</v>
      </c>
      <c r="S235" t="s">
        <v>474</v>
      </c>
      <c r="T235" t="s">
        <v>475</v>
      </c>
      <c r="U235" s="10" t="s">
        <v>1061</v>
      </c>
      <c r="V235" s="10" t="s">
        <v>1085</v>
      </c>
      <c r="W235" s="10" t="s">
        <v>1085</v>
      </c>
      <c r="X235" s="10" t="s">
        <v>1068</v>
      </c>
      <c r="Y235" t="s">
        <v>39</v>
      </c>
      <c r="Z235" t="s">
        <v>40</v>
      </c>
      <c r="AA235" t="s">
        <v>41</v>
      </c>
    </row>
    <row r="236" spans="1:28" x14ac:dyDescent="0.8">
      <c r="A236">
        <v>214</v>
      </c>
      <c r="B236">
        <v>965</v>
      </c>
      <c r="C236" s="2">
        <v>44388</v>
      </c>
      <c r="D236" t="s">
        <v>328</v>
      </c>
      <c r="E236" t="s">
        <v>125</v>
      </c>
      <c r="F236" t="s">
        <v>26</v>
      </c>
      <c r="G236" t="s">
        <v>45</v>
      </c>
      <c r="H236" t="s">
        <v>476</v>
      </c>
      <c r="I236" t="s">
        <v>69</v>
      </c>
      <c r="J236" t="s">
        <v>295</v>
      </c>
      <c r="K236" t="s">
        <v>477</v>
      </c>
      <c r="L236" t="s">
        <v>478</v>
      </c>
      <c r="M236" t="s">
        <v>479</v>
      </c>
      <c r="N236" t="s">
        <v>52</v>
      </c>
      <c r="O236" t="s">
        <v>480</v>
      </c>
      <c r="P236" t="s">
        <v>85</v>
      </c>
      <c r="Q236" t="s">
        <v>348</v>
      </c>
      <c r="R236" t="s">
        <v>470</v>
      </c>
      <c r="S236" t="s">
        <v>474</v>
      </c>
      <c r="T236" t="s">
        <v>475</v>
      </c>
      <c r="U236" s="10" t="s">
        <v>1061</v>
      </c>
      <c r="V236" s="10" t="s">
        <v>1085</v>
      </c>
      <c r="W236" s="10" t="s">
        <v>1085</v>
      </c>
      <c r="X236" s="10" t="s">
        <v>1068</v>
      </c>
      <c r="Y236" t="s">
        <v>39</v>
      </c>
      <c r="Z236" t="s">
        <v>40</v>
      </c>
      <c r="AA236" t="s">
        <v>53</v>
      </c>
    </row>
    <row r="237" spans="1:28" x14ac:dyDescent="0.8">
      <c r="A237">
        <v>1355</v>
      </c>
      <c r="B237">
        <v>2102</v>
      </c>
      <c r="C237" s="2">
        <v>44386</v>
      </c>
      <c r="D237" t="s">
        <v>67</v>
      </c>
      <c r="E237" t="s">
        <v>44</v>
      </c>
      <c r="F237" t="s">
        <v>26</v>
      </c>
      <c r="G237" t="s">
        <v>27</v>
      </c>
      <c r="H237" t="s">
        <v>28</v>
      </c>
      <c r="I237" t="s">
        <v>109</v>
      </c>
      <c r="J237" t="s">
        <v>110</v>
      </c>
      <c r="K237" t="s">
        <v>111</v>
      </c>
      <c r="L237" t="s">
        <v>112</v>
      </c>
      <c r="M237" t="s">
        <v>113</v>
      </c>
      <c r="N237" t="s">
        <v>52</v>
      </c>
      <c r="O237" t="s">
        <v>473</v>
      </c>
      <c r="P237" t="s">
        <v>85</v>
      </c>
      <c r="Q237" t="s">
        <v>348</v>
      </c>
      <c r="R237" t="s">
        <v>470</v>
      </c>
      <c r="S237" t="s">
        <v>474</v>
      </c>
      <c r="T237" t="s">
        <v>475</v>
      </c>
      <c r="U237" s="10" t="s">
        <v>1061</v>
      </c>
      <c r="V237" s="10" t="s">
        <v>1085</v>
      </c>
      <c r="W237" s="10" t="s">
        <v>1085</v>
      </c>
      <c r="X237" s="10" t="s">
        <v>1068</v>
      </c>
      <c r="Y237" t="s">
        <v>39</v>
      </c>
      <c r="Z237" t="s">
        <v>40</v>
      </c>
      <c r="AA237" t="s">
        <v>63</v>
      </c>
    </row>
    <row r="238" spans="1:28" x14ac:dyDescent="0.8">
      <c r="A238">
        <v>1347</v>
      </c>
      <c r="B238">
        <v>2094</v>
      </c>
      <c r="C238" s="2">
        <v>44386</v>
      </c>
      <c r="D238" t="s">
        <v>67</v>
      </c>
      <c r="E238" t="s">
        <v>125</v>
      </c>
      <c r="F238" t="s">
        <v>26</v>
      </c>
      <c r="G238" t="s">
        <v>45</v>
      </c>
      <c r="H238" t="s">
        <v>46</v>
      </c>
      <c r="I238" t="s">
        <v>47</v>
      </c>
      <c r="J238" t="s">
        <v>48</v>
      </c>
      <c r="K238" t="s">
        <v>141</v>
      </c>
      <c r="L238" t="s">
        <v>293</v>
      </c>
      <c r="M238" t="s">
        <v>294</v>
      </c>
      <c r="N238" t="s">
        <v>52</v>
      </c>
      <c r="O238" t="s">
        <v>481</v>
      </c>
      <c r="P238" t="s">
        <v>85</v>
      </c>
      <c r="Q238" t="s">
        <v>348</v>
      </c>
      <c r="R238" t="s">
        <v>470</v>
      </c>
      <c r="S238" t="s">
        <v>474</v>
      </c>
      <c r="T238" t="s">
        <v>475</v>
      </c>
      <c r="U238" s="10" t="s">
        <v>1061</v>
      </c>
      <c r="V238" s="10" t="s">
        <v>1085</v>
      </c>
      <c r="W238" s="10" t="s">
        <v>1085</v>
      </c>
      <c r="X238" s="10" t="s">
        <v>1068</v>
      </c>
      <c r="Y238" t="s">
        <v>39</v>
      </c>
      <c r="Z238" t="s">
        <v>40</v>
      </c>
      <c r="AA238" t="s">
        <v>63</v>
      </c>
      <c r="AB238" t="s">
        <v>482</v>
      </c>
    </row>
    <row r="239" spans="1:28" x14ac:dyDescent="0.8">
      <c r="A239">
        <v>141</v>
      </c>
      <c r="B239">
        <v>1087</v>
      </c>
      <c r="C239" s="2">
        <v>44386</v>
      </c>
      <c r="D239" t="s">
        <v>93</v>
      </c>
      <c r="E239" t="s">
        <v>53</v>
      </c>
      <c r="F239" t="s">
        <v>26</v>
      </c>
      <c r="G239" t="s">
        <v>45</v>
      </c>
      <c r="H239" t="s">
        <v>68</v>
      </c>
      <c r="I239" t="s">
        <v>69</v>
      </c>
      <c r="J239" t="s">
        <v>70</v>
      </c>
      <c r="K239" t="s">
        <v>71</v>
      </c>
      <c r="L239" t="s">
        <v>72</v>
      </c>
      <c r="M239" t="s">
        <v>73</v>
      </c>
      <c r="N239" t="s">
        <v>61</v>
      </c>
      <c r="O239" t="s">
        <v>473</v>
      </c>
      <c r="P239" t="s">
        <v>85</v>
      </c>
      <c r="Q239" t="s">
        <v>348</v>
      </c>
      <c r="R239" t="s">
        <v>470</v>
      </c>
      <c r="S239" t="s">
        <v>474</v>
      </c>
      <c r="T239" t="s">
        <v>475</v>
      </c>
      <c r="U239" s="10" t="s">
        <v>1061</v>
      </c>
      <c r="V239" s="10" t="s">
        <v>1085</v>
      </c>
      <c r="W239" s="10" t="s">
        <v>1085</v>
      </c>
      <c r="X239" s="10" t="s">
        <v>1068</v>
      </c>
      <c r="Y239" t="s">
        <v>39</v>
      </c>
      <c r="Z239" t="s">
        <v>40</v>
      </c>
      <c r="AA239" t="s">
        <v>53</v>
      </c>
    </row>
    <row r="240" spans="1:28" x14ac:dyDescent="0.8">
      <c r="A240">
        <v>506</v>
      </c>
      <c r="B240">
        <v>46</v>
      </c>
      <c r="C240" s="2">
        <v>44386</v>
      </c>
      <c r="D240" t="s">
        <v>93</v>
      </c>
      <c r="E240" t="s">
        <v>44</v>
      </c>
      <c r="F240" t="s">
        <v>26</v>
      </c>
      <c r="G240" t="s">
        <v>45</v>
      </c>
      <c r="H240" t="s">
        <v>476</v>
      </c>
      <c r="I240" t="s">
        <v>69</v>
      </c>
      <c r="J240" t="s">
        <v>295</v>
      </c>
      <c r="K240" t="s">
        <v>477</v>
      </c>
      <c r="L240" t="s">
        <v>478</v>
      </c>
      <c r="M240" t="s">
        <v>479</v>
      </c>
      <c r="N240" t="s">
        <v>52</v>
      </c>
      <c r="O240" t="s">
        <v>473</v>
      </c>
      <c r="P240" t="s">
        <v>85</v>
      </c>
      <c r="Q240" t="s">
        <v>348</v>
      </c>
      <c r="R240" t="s">
        <v>470</v>
      </c>
      <c r="S240" t="s">
        <v>474</v>
      </c>
      <c r="T240" t="s">
        <v>475</v>
      </c>
      <c r="U240" s="10" t="s">
        <v>1061</v>
      </c>
      <c r="V240" s="10" t="s">
        <v>1085</v>
      </c>
      <c r="W240" s="10" t="s">
        <v>1085</v>
      </c>
      <c r="X240" s="10" t="s">
        <v>1068</v>
      </c>
      <c r="Y240" t="s">
        <v>39</v>
      </c>
      <c r="Z240" t="s">
        <v>40</v>
      </c>
      <c r="AA240" t="s">
        <v>63</v>
      </c>
      <c r="AB240" t="s">
        <v>483</v>
      </c>
    </row>
    <row r="241" spans="1:28" x14ac:dyDescent="0.8">
      <c r="A241">
        <v>507</v>
      </c>
      <c r="B241">
        <v>47</v>
      </c>
      <c r="C241" s="2">
        <v>44386</v>
      </c>
      <c r="D241" t="s">
        <v>93</v>
      </c>
      <c r="E241" t="s">
        <v>44</v>
      </c>
      <c r="F241" t="s">
        <v>26</v>
      </c>
      <c r="G241" t="s">
        <v>45</v>
      </c>
      <c r="H241" t="s">
        <v>476</v>
      </c>
      <c r="I241" t="s">
        <v>69</v>
      </c>
      <c r="J241" t="s">
        <v>295</v>
      </c>
      <c r="K241" t="s">
        <v>477</v>
      </c>
      <c r="L241" t="s">
        <v>478</v>
      </c>
      <c r="M241" t="s">
        <v>479</v>
      </c>
      <c r="N241" t="s">
        <v>52</v>
      </c>
      <c r="O241" t="s">
        <v>473</v>
      </c>
      <c r="P241" t="s">
        <v>85</v>
      </c>
      <c r="Q241" t="s">
        <v>348</v>
      </c>
      <c r="R241" t="s">
        <v>470</v>
      </c>
      <c r="S241" t="s">
        <v>474</v>
      </c>
      <c r="T241" t="s">
        <v>475</v>
      </c>
      <c r="U241" s="10" t="s">
        <v>1061</v>
      </c>
      <c r="V241" s="10" t="s">
        <v>1085</v>
      </c>
      <c r="W241" s="10" t="s">
        <v>1085</v>
      </c>
      <c r="X241" s="10" t="s">
        <v>1068</v>
      </c>
      <c r="Y241" t="s">
        <v>39</v>
      </c>
      <c r="Z241" t="s">
        <v>40</v>
      </c>
      <c r="AA241" t="s">
        <v>63</v>
      </c>
      <c r="AB241" t="s">
        <v>484</v>
      </c>
    </row>
    <row r="242" spans="1:28" x14ac:dyDescent="0.8">
      <c r="A242">
        <v>1559</v>
      </c>
      <c r="B242">
        <v>303</v>
      </c>
      <c r="C242" s="2">
        <v>44386</v>
      </c>
      <c r="D242" t="s">
        <v>93</v>
      </c>
      <c r="E242" t="s">
        <v>44</v>
      </c>
      <c r="F242" t="s">
        <v>26</v>
      </c>
      <c r="G242" t="s">
        <v>45</v>
      </c>
      <c r="H242" t="s">
        <v>476</v>
      </c>
      <c r="I242" t="s">
        <v>69</v>
      </c>
      <c r="J242" t="s">
        <v>295</v>
      </c>
      <c r="K242" t="s">
        <v>477</v>
      </c>
      <c r="L242" t="s">
        <v>478</v>
      </c>
      <c r="M242" t="s">
        <v>479</v>
      </c>
      <c r="N242" t="s">
        <v>52</v>
      </c>
      <c r="O242" t="s">
        <v>481</v>
      </c>
      <c r="P242" t="s">
        <v>85</v>
      </c>
      <c r="Q242" t="s">
        <v>348</v>
      </c>
      <c r="R242" t="s">
        <v>470</v>
      </c>
      <c r="S242" t="s">
        <v>474</v>
      </c>
      <c r="T242" t="s">
        <v>475</v>
      </c>
      <c r="U242" s="10" t="s">
        <v>1061</v>
      </c>
      <c r="V242" s="10" t="s">
        <v>1085</v>
      </c>
      <c r="W242" s="10" t="s">
        <v>1085</v>
      </c>
      <c r="X242" s="10" t="s">
        <v>1068</v>
      </c>
      <c r="Y242" t="s">
        <v>140</v>
      </c>
      <c r="Z242" t="s">
        <v>40</v>
      </c>
      <c r="AA242" t="s">
        <v>125</v>
      </c>
      <c r="AB242" t="s">
        <v>485</v>
      </c>
    </row>
    <row r="243" spans="1:28" x14ac:dyDescent="0.8">
      <c r="A243">
        <v>1560</v>
      </c>
      <c r="B243">
        <v>304</v>
      </c>
      <c r="C243" s="2">
        <v>44386</v>
      </c>
      <c r="D243" t="s">
        <v>93</v>
      </c>
      <c r="E243" t="s">
        <v>44</v>
      </c>
      <c r="F243" t="s">
        <v>26</v>
      </c>
      <c r="G243" t="s">
        <v>45</v>
      </c>
      <c r="H243" t="s">
        <v>476</v>
      </c>
      <c r="I243" t="s">
        <v>69</v>
      </c>
      <c r="J243" t="s">
        <v>295</v>
      </c>
      <c r="K243" t="s">
        <v>477</v>
      </c>
      <c r="L243" t="s">
        <v>478</v>
      </c>
      <c r="M243" t="s">
        <v>479</v>
      </c>
      <c r="N243" t="s">
        <v>52</v>
      </c>
      <c r="O243" t="s">
        <v>481</v>
      </c>
      <c r="P243" t="s">
        <v>85</v>
      </c>
      <c r="Q243" t="s">
        <v>348</v>
      </c>
      <c r="R243" t="s">
        <v>470</v>
      </c>
      <c r="S243" t="s">
        <v>474</v>
      </c>
      <c r="T243" t="s">
        <v>475</v>
      </c>
      <c r="U243" s="10" t="s">
        <v>1061</v>
      </c>
      <c r="V243" s="10" t="s">
        <v>1085</v>
      </c>
      <c r="W243" s="10" t="s">
        <v>1085</v>
      </c>
      <c r="X243" s="10" t="s">
        <v>1068</v>
      </c>
      <c r="Y243" t="s">
        <v>140</v>
      </c>
      <c r="Z243" t="s">
        <v>40</v>
      </c>
      <c r="AA243" t="s">
        <v>125</v>
      </c>
      <c r="AB243" t="s">
        <v>486</v>
      </c>
    </row>
    <row r="244" spans="1:28" x14ac:dyDescent="0.8">
      <c r="A244">
        <v>515</v>
      </c>
      <c r="B244">
        <v>55</v>
      </c>
      <c r="C244" s="2">
        <v>44386</v>
      </c>
      <c r="D244" t="s">
        <v>93</v>
      </c>
      <c r="E244" t="s">
        <v>44</v>
      </c>
      <c r="F244" t="s">
        <v>26</v>
      </c>
      <c r="G244" t="s">
        <v>45</v>
      </c>
      <c r="H244" t="s">
        <v>476</v>
      </c>
      <c r="I244" t="s">
        <v>69</v>
      </c>
      <c r="J244" t="s">
        <v>295</v>
      </c>
      <c r="K244" t="s">
        <v>477</v>
      </c>
      <c r="L244" t="s">
        <v>478</v>
      </c>
      <c r="M244" t="s">
        <v>479</v>
      </c>
      <c r="N244" t="s">
        <v>52</v>
      </c>
      <c r="O244" t="s">
        <v>487</v>
      </c>
      <c r="P244" t="s">
        <v>85</v>
      </c>
      <c r="Q244" t="s">
        <v>348</v>
      </c>
      <c r="R244" t="s">
        <v>470</v>
      </c>
      <c r="S244" t="s">
        <v>474</v>
      </c>
      <c r="T244" t="s">
        <v>475</v>
      </c>
      <c r="U244" s="10" t="s">
        <v>1061</v>
      </c>
      <c r="V244" s="10" t="s">
        <v>1085</v>
      </c>
      <c r="W244" s="10" t="s">
        <v>1085</v>
      </c>
      <c r="X244" s="10" t="s">
        <v>1068</v>
      </c>
      <c r="Y244" t="s">
        <v>39</v>
      </c>
      <c r="Z244" t="s">
        <v>40</v>
      </c>
      <c r="AA244" t="s">
        <v>63</v>
      </c>
    </row>
    <row r="245" spans="1:28" x14ac:dyDescent="0.8">
      <c r="A245">
        <v>135</v>
      </c>
      <c r="B245">
        <v>1011</v>
      </c>
      <c r="C245" s="2">
        <v>44386</v>
      </c>
      <c r="D245" t="s">
        <v>93</v>
      </c>
      <c r="E245" t="s">
        <v>63</v>
      </c>
      <c r="F245" t="s">
        <v>26</v>
      </c>
      <c r="G245" t="s">
        <v>45</v>
      </c>
      <c r="H245" t="s">
        <v>476</v>
      </c>
      <c r="I245" t="s">
        <v>69</v>
      </c>
      <c r="J245" t="s">
        <v>295</v>
      </c>
      <c r="K245" t="s">
        <v>477</v>
      </c>
      <c r="L245" t="s">
        <v>478</v>
      </c>
      <c r="M245" t="s">
        <v>479</v>
      </c>
      <c r="N245" t="s">
        <v>52</v>
      </c>
      <c r="O245" t="s">
        <v>473</v>
      </c>
      <c r="P245" t="s">
        <v>85</v>
      </c>
      <c r="Q245" t="s">
        <v>348</v>
      </c>
      <c r="R245" t="s">
        <v>470</v>
      </c>
      <c r="S245" t="s">
        <v>474</v>
      </c>
      <c r="T245" t="s">
        <v>475</v>
      </c>
      <c r="U245" s="10" t="s">
        <v>1061</v>
      </c>
      <c r="V245" s="10" t="s">
        <v>1085</v>
      </c>
      <c r="W245" s="10" t="s">
        <v>1085</v>
      </c>
      <c r="X245" s="10" t="s">
        <v>1068</v>
      </c>
      <c r="Y245" t="s">
        <v>39</v>
      </c>
      <c r="Z245" t="s">
        <v>40</v>
      </c>
      <c r="AA245" t="s">
        <v>53</v>
      </c>
    </row>
    <row r="246" spans="1:28" x14ac:dyDescent="0.8">
      <c r="A246">
        <v>517</v>
      </c>
      <c r="B246">
        <v>57</v>
      </c>
      <c r="C246" s="2">
        <v>44386</v>
      </c>
      <c r="D246" t="s">
        <v>93</v>
      </c>
      <c r="E246" t="s">
        <v>25</v>
      </c>
      <c r="F246" t="s">
        <v>26</v>
      </c>
      <c r="G246" t="s">
        <v>45</v>
      </c>
      <c r="H246" t="s">
        <v>476</v>
      </c>
      <c r="I246" t="s">
        <v>69</v>
      </c>
      <c r="J246" t="s">
        <v>295</v>
      </c>
      <c r="K246" t="s">
        <v>477</v>
      </c>
      <c r="L246" t="s">
        <v>478</v>
      </c>
      <c r="M246" t="s">
        <v>479</v>
      </c>
      <c r="N246" t="s">
        <v>61</v>
      </c>
      <c r="O246" t="s">
        <v>473</v>
      </c>
      <c r="P246" t="s">
        <v>85</v>
      </c>
      <c r="Q246" t="s">
        <v>348</v>
      </c>
      <c r="R246" t="s">
        <v>470</v>
      </c>
      <c r="S246" t="s">
        <v>474</v>
      </c>
      <c r="T246" t="s">
        <v>475</v>
      </c>
      <c r="U246" s="10" t="s">
        <v>1061</v>
      </c>
      <c r="V246" s="10" t="s">
        <v>1085</v>
      </c>
      <c r="W246" s="10" t="s">
        <v>1085</v>
      </c>
      <c r="X246" s="10" t="s">
        <v>1068</v>
      </c>
      <c r="Y246" t="s">
        <v>39</v>
      </c>
      <c r="Z246" t="s">
        <v>62</v>
      </c>
      <c r="AA246" t="s">
        <v>63</v>
      </c>
    </row>
    <row r="247" spans="1:28" x14ac:dyDescent="0.8">
      <c r="A247">
        <v>516</v>
      </c>
      <c r="B247">
        <v>56</v>
      </c>
      <c r="C247" s="2">
        <v>44386</v>
      </c>
      <c r="D247" t="s">
        <v>93</v>
      </c>
      <c r="E247" t="s">
        <v>25</v>
      </c>
      <c r="F247" t="s">
        <v>26</v>
      </c>
      <c r="G247" t="s">
        <v>45</v>
      </c>
      <c r="H247" t="s">
        <v>476</v>
      </c>
      <c r="I247" t="s">
        <v>69</v>
      </c>
      <c r="J247" t="s">
        <v>295</v>
      </c>
      <c r="K247" t="s">
        <v>477</v>
      </c>
      <c r="L247" t="s">
        <v>478</v>
      </c>
      <c r="M247" t="s">
        <v>479</v>
      </c>
      <c r="N247" t="s">
        <v>61</v>
      </c>
      <c r="O247" t="s">
        <v>473</v>
      </c>
      <c r="P247" t="s">
        <v>85</v>
      </c>
      <c r="Q247" t="s">
        <v>348</v>
      </c>
      <c r="R247" t="s">
        <v>470</v>
      </c>
      <c r="S247" t="s">
        <v>474</v>
      </c>
      <c r="T247" t="s">
        <v>475</v>
      </c>
      <c r="U247" s="10" t="s">
        <v>1061</v>
      </c>
      <c r="V247" s="10" t="s">
        <v>1085</v>
      </c>
      <c r="W247" s="10" t="s">
        <v>1085</v>
      </c>
      <c r="X247" s="10" t="s">
        <v>1068</v>
      </c>
      <c r="Y247" t="s">
        <v>39</v>
      </c>
      <c r="Z247" t="s">
        <v>62</v>
      </c>
      <c r="AA247" t="s">
        <v>63</v>
      </c>
    </row>
    <row r="248" spans="1:28" x14ac:dyDescent="0.8">
      <c r="A248">
        <v>1770</v>
      </c>
      <c r="B248">
        <v>1488</v>
      </c>
      <c r="C248" s="2">
        <v>44387</v>
      </c>
      <c r="D248" t="s">
        <v>173</v>
      </c>
      <c r="E248" t="s">
        <v>150</v>
      </c>
      <c r="F248" t="s">
        <v>26</v>
      </c>
      <c r="G248" t="s">
        <v>45</v>
      </c>
      <c r="H248" t="s">
        <v>476</v>
      </c>
      <c r="I248" t="s">
        <v>69</v>
      </c>
      <c r="J248" t="s">
        <v>295</v>
      </c>
      <c r="K248" t="s">
        <v>477</v>
      </c>
      <c r="L248" t="s">
        <v>478</v>
      </c>
      <c r="M248" t="s">
        <v>479</v>
      </c>
      <c r="N248" t="s">
        <v>52</v>
      </c>
      <c r="O248" t="s">
        <v>473</v>
      </c>
      <c r="P248" t="s">
        <v>85</v>
      </c>
      <c r="Q248" t="s">
        <v>348</v>
      </c>
      <c r="R248" t="s">
        <v>470</v>
      </c>
      <c r="S248" t="s">
        <v>474</v>
      </c>
      <c r="T248" t="s">
        <v>475</v>
      </c>
      <c r="U248" s="10" t="s">
        <v>1061</v>
      </c>
      <c r="V248" s="10" t="s">
        <v>1085</v>
      </c>
      <c r="W248" s="10" t="s">
        <v>1085</v>
      </c>
      <c r="X248" s="10" t="s">
        <v>1068</v>
      </c>
      <c r="Y248" t="s">
        <v>39</v>
      </c>
      <c r="Z248" t="s">
        <v>40</v>
      </c>
      <c r="AA248" t="s">
        <v>41</v>
      </c>
      <c r="AB248" t="s">
        <v>154</v>
      </c>
    </row>
    <row r="249" spans="1:28" x14ac:dyDescent="0.8">
      <c r="A249">
        <v>1772</v>
      </c>
      <c r="B249">
        <v>1490</v>
      </c>
      <c r="C249" s="2">
        <v>44387</v>
      </c>
      <c r="D249" t="s">
        <v>173</v>
      </c>
      <c r="E249" t="s">
        <v>25</v>
      </c>
      <c r="F249" t="s">
        <v>26</v>
      </c>
      <c r="G249" t="s">
        <v>45</v>
      </c>
      <c r="H249" t="s">
        <v>476</v>
      </c>
      <c r="I249" t="s">
        <v>69</v>
      </c>
      <c r="J249" t="s">
        <v>295</v>
      </c>
      <c r="K249" t="s">
        <v>477</v>
      </c>
      <c r="L249" t="s">
        <v>478</v>
      </c>
      <c r="M249" t="s">
        <v>479</v>
      </c>
      <c r="N249" t="s">
        <v>52</v>
      </c>
      <c r="O249" t="s">
        <v>473</v>
      </c>
      <c r="P249" t="s">
        <v>85</v>
      </c>
      <c r="Q249" t="s">
        <v>348</v>
      </c>
      <c r="R249" t="s">
        <v>470</v>
      </c>
      <c r="S249" t="s">
        <v>474</v>
      </c>
      <c r="T249" t="s">
        <v>475</v>
      </c>
      <c r="U249" s="10" t="s">
        <v>1061</v>
      </c>
      <c r="V249" s="10" t="s">
        <v>1085</v>
      </c>
      <c r="W249" s="10" t="s">
        <v>1085</v>
      </c>
      <c r="X249" s="10" t="s">
        <v>1068</v>
      </c>
      <c r="Y249" t="s">
        <v>39</v>
      </c>
      <c r="Z249" t="s">
        <v>40</v>
      </c>
      <c r="AA249" t="s">
        <v>41</v>
      </c>
    </row>
    <row r="250" spans="1:28" x14ac:dyDescent="0.8">
      <c r="A250">
        <v>1763</v>
      </c>
      <c r="B250">
        <v>1481</v>
      </c>
      <c r="C250" s="2">
        <v>44387</v>
      </c>
      <c r="D250" t="s">
        <v>173</v>
      </c>
      <c r="E250" t="s">
        <v>25</v>
      </c>
      <c r="F250" t="s">
        <v>26</v>
      </c>
      <c r="G250" t="s">
        <v>45</v>
      </c>
      <c r="H250" t="s">
        <v>476</v>
      </c>
      <c r="I250" t="s">
        <v>69</v>
      </c>
      <c r="J250" t="s">
        <v>295</v>
      </c>
      <c r="K250" t="s">
        <v>477</v>
      </c>
      <c r="L250" t="s">
        <v>478</v>
      </c>
      <c r="M250" t="s">
        <v>479</v>
      </c>
      <c r="N250" t="s">
        <v>52</v>
      </c>
      <c r="O250" t="s">
        <v>473</v>
      </c>
      <c r="P250" t="s">
        <v>85</v>
      </c>
      <c r="Q250" t="s">
        <v>348</v>
      </c>
      <c r="R250" t="s">
        <v>470</v>
      </c>
      <c r="S250" t="s">
        <v>474</v>
      </c>
      <c r="T250" t="s">
        <v>475</v>
      </c>
      <c r="U250" s="10" t="s">
        <v>1061</v>
      </c>
      <c r="V250" s="10" t="s">
        <v>1085</v>
      </c>
      <c r="W250" s="10" t="s">
        <v>1085</v>
      </c>
      <c r="X250" s="10" t="s">
        <v>1068</v>
      </c>
      <c r="Y250" t="s">
        <v>39</v>
      </c>
      <c r="Z250" t="s">
        <v>62</v>
      </c>
      <c r="AA250" t="s">
        <v>41</v>
      </c>
    </row>
    <row r="251" spans="1:28" x14ac:dyDescent="0.8">
      <c r="A251">
        <v>1431</v>
      </c>
      <c r="B251">
        <v>2178</v>
      </c>
      <c r="C251" s="2">
        <v>44387</v>
      </c>
      <c r="D251" t="s">
        <v>173</v>
      </c>
      <c r="E251" t="s">
        <v>25</v>
      </c>
      <c r="F251" t="s">
        <v>26</v>
      </c>
      <c r="G251" t="s">
        <v>45</v>
      </c>
      <c r="H251" t="s">
        <v>476</v>
      </c>
      <c r="I251" t="s">
        <v>69</v>
      </c>
      <c r="J251" t="s">
        <v>295</v>
      </c>
      <c r="K251" t="s">
        <v>477</v>
      </c>
      <c r="L251" t="s">
        <v>478</v>
      </c>
      <c r="M251" t="s">
        <v>479</v>
      </c>
      <c r="N251" t="s">
        <v>52</v>
      </c>
      <c r="O251" t="s">
        <v>473</v>
      </c>
      <c r="P251" t="s">
        <v>85</v>
      </c>
      <c r="Q251" t="s">
        <v>348</v>
      </c>
      <c r="R251" t="s">
        <v>470</v>
      </c>
      <c r="S251" t="s">
        <v>474</v>
      </c>
      <c r="T251" t="s">
        <v>475</v>
      </c>
      <c r="U251" s="10" t="s">
        <v>1061</v>
      </c>
      <c r="V251" s="10" t="s">
        <v>1085</v>
      </c>
      <c r="W251" s="10" t="s">
        <v>1085</v>
      </c>
      <c r="X251" s="10" t="s">
        <v>1068</v>
      </c>
      <c r="Y251" t="s">
        <v>39</v>
      </c>
      <c r="Z251" t="s">
        <v>40</v>
      </c>
      <c r="AA251" t="s">
        <v>63</v>
      </c>
    </row>
    <row r="252" spans="1:28" x14ac:dyDescent="0.8">
      <c r="A252">
        <v>1399</v>
      </c>
      <c r="B252">
        <v>2146</v>
      </c>
      <c r="C252" s="2">
        <v>44387</v>
      </c>
      <c r="D252" t="s">
        <v>173</v>
      </c>
      <c r="E252" t="s">
        <v>103</v>
      </c>
      <c r="F252" t="s">
        <v>26</v>
      </c>
      <c r="G252" t="s">
        <v>45</v>
      </c>
      <c r="H252" t="s">
        <v>476</v>
      </c>
      <c r="I252" t="s">
        <v>69</v>
      </c>
      <c r="J252" t="s">
        <v>295</v>
      </c>
      <c r="K252" t="s">
        <v>477</v>
      </c>
      <c r="L252" t="s">
        <v>478</v>
      </c>
      <c r="M252" t="s">
        <v>479</v>
      </c>
      <c r="N252" t="s">
        <v>52</v>
      </c>
      <c r="O252" t="s">
        <v>473</v>
      </c>
      <c r="P252" t="s">
        <v>85</v>
      </c>
      <c r="Q252" t="s">
        <v>348</v>
      </c>
      <c r="R252" t="s">
        <v>470</v>
      </c>
      <c r="S252" t="s">
        <v>474</v>
      </c>
      <c r="T252" t="s">
        <v>475</v>
      </c>
      <c r="U252" s="10" t="s">
        <v>1061</v>
      </c>
      <c r="V252" s="10" t="s">
        <v>1085</v>
      </c>
      <c r="W252" s="10" t="s">
        <v>1085</v>
      </c>
      <c r="X252" s="10" t="s">
        <v>1068</v>
      </c>
      <c r="Y252" t="s">
        <v>140</v>
      </c>
      <c r="Z252" t="s">
        <v>40</v>
      </c>
      <c r="AA252" t="s">
        <v>63</v>
      </c>
    </row>
    <row r="253" spans="1:28" x14ac:dyDescent="0.8">
      <c r="A253">
        <v>1767</v>
      </c>
      <c r="B253">
        <v>1485</v>
      </c>
      <c r="C253" s="2">
        <v>44387</v>
      </c>
      <c r="D253" t="s">
        <v>173</v>
      </c>
      <c r="E253" t="s">
        <v>25</v>
      </c>
      <c r="F253" t="s">
        <v>26</v>
      </c>
      <c r="G253" t="s">
        <v>45</v>
      </c>
      <c r="H253" t="s">
        <v>476</v>
      </c>
      <c r="I253" t="s">
        <v>69</v>
      </c>
      <c r="J253" t="s">
        <v>295</v>
      </c>
      <c r="K253" t="s">
        <v>477</v>
      </c>
      <c r="L253" t="s">
        <v>478</v>
      </c>
      <c r="M253" t="s">
        <v>479</v>
      </c>
      <c r="N253" t="s">
        <v>52</v>
      </c>
      <c r="O253" t="s">
        <v>473</v>
      </c>
      <c r="P253" t="s">
        <v>85</v>
      </c>
      <c r="Q253" t="s">
        <v>348</v>
      </c>
      <c r="R253" t="s">
        <v>470</v>
      </c>
      <c r="S253" t="s">
        <v>474</v>
      </c>
      <c r="T253" t="s">
        <v>475</v>
      </c>
      <c r="U253" s="10" t="s">
        <v>1061</v>
      </c>
      <c r="V253" s="10" t="s">
        <v>1085</v>
      </c>
      <c r="W253" s="10" t="s">
        <v>1085</v>
      </c>
      <c r="X253" s="10" t="s">
        <v>1068</v>
      </c>
      <c r="Y253" t="s">
        <v>39</v>
      </c>
      <c r="Z253" t="s">
        <v>40</v>
      </c>
      <c r="AA253" t="s">
        <v>41</v>
      </c>
    </row>
    <row r="254" spans="1:28" x14ac:dyDescent="0.8">
      <c r="A254">
        <v>1434</v>
      </c>
      <c r="B254">
        <v>2231</v>
      </c>
      <c r="C254" s="2">
        <v>44387</v>
      </c>
      <c r="D254" t="s">
        <v>173</v>
      </c>
      <c r="E254" t="s">
        <v>63</v>
      </c>
      <c r="F254" t="s">
        <v>26</v>
      </c>
      <c r="G254" t="s">
        <v>45</v>
      </c>
      <c r="H254" t="s">
        <v>55</v>
      </c>
      <c r="I254" t="s">
        <v>56</v>
      </c>
      <c r="J254" t="s">
        <v>57</v>
      </c>
      <c r="K254" t="s">
        <v>58</v>
      </c>
      <c r="L254" t="s">
        <v>112</v>
      </c>
      <c r="M254" t="s">
        <v>488</v>
      </c>
      <c r="N254" t="s">
        <v>61</v>
      </c>
      <c r="O254" t="s">
        <v>473</v>
      </c>
      <c r="P254" t="s">
        <v>85</v>
      </c>
      <c r="Q254" t="s">
        <v>348</v>
      </c>
      <c r="R254" t="s">
        <v>470</v>
      </c>
      <c r="S254" t="s">
        <v>474</v>
      </c>
      <c r="T254" t="s">
        <v>475</v>
      </c>
      <c r="U254" s="10" t="s">
        <v>1061</v>
      </c>
      <c r="V254" s="10" t="s">
        <v>1085</v>
      </c>
      <c r="W254" s="10" t="s">
        <v>1085</v>
      </c>
      <c r="X254" s="10" t="s">
        <v>1068</v>
      </c>
      <c r="Y254" t="s">
        <v>39</v>
      </c>
      <c r="Z254" t="s">
        <v>40</v>
      </c>
      <c r="AA254" t="s">
        <v>63</v>
      </c>
    </row>
    <row r="255" spans="1:28" x14ac:dyDescent="0.8">
      <c r="A255">
        <v>1435</v>
      </c>
      <c r="B255">
        <v>2232</v>
      </c>
      <c r="C255" s="2">
        <v>44387</v>
      </c>
      <c r="D255" t="s">
        <v>173</v>
      </c>
      <c r="E255" t="s">
        <v>63</v>
      </c>
      <c r="F255" t="s">
        <v>26</v>
      </c>
      <c r="G255" t="s">
        <v>45</v>
      </c>
      <c r="H255" t="s">
        <v>46</v>
      </c>
      <c r="I255" t="s">
        <v>47</v>
      </c>
      <c r="J255" t="s">
        <v>48</v>
      </c>
      <c r="K255" t="s">
        <v>141</v>
      </c>
      <c r="L255" t="s">
        <v>142</v>
      </c>
      <c r="M255" t="s">
        <v>143</v>
      </c>
      <c r="N255" t="s">
        <v>61</v>
      </c>
      <c r="O255" t="s">
        <v>480</v>
      </c>
      <c r="P255" t="s">
        <v>85</v>
      </c>
      <c r="Q255" t="s">
        <v>348</v>
      </c>
      <c r="R255" t="s">
        <v>470</v>
      </c>
      <c r="S255" t="s">
        <v>474</v>
      </c>
      <c r="T255" t="s">
        <v>475</v>
      </c>
      <c r="U255" s="10" t="s">
        <v>1061</v>
      </c>
      <c r="V255" s="10" t="s">
        <v>1085</v>
      </c>
      <c r="W255" s="10" t="s">
        <v>1085</v>
      </c>
      <c r="X255" s="10" t="s">
        <v>1068</v>
      </c>
      <c r="Y255" t="s">
        <v>39</v>
      </c>
      <c r="Z255" t="s">
        <v>40</v>
      </c>
      <c r="AA255" t="s">
        <v>63</v>
      </c>
    </row>
    <row r="256" spans="1:28" x14ac:dyDescent="0.8">
      <c r="A256">
        <v>1582</v>
      </c>
      <c r="B256">
        <v>325</v>
      </c>
      <c r="C256" s="2">
        <v>44388</v>
      </c>
      <c r="D256" t="s">
        <v>235</v>
      </c>
      <c r="E256" t="s">
        <v>53</v>
      </c>
      <c r="F256" t="s">
        <v>26</v>
      </c>
      <c r="G256" t="s">
        <v>27</v>
      </c>
      <c r="H256" t="s">
        <v>28</v>
      </c>
      <c r="I256" t="s">
        <v>214</v>
      </c>
      <c r="K256" t="s">
        <v>215</v>
      </c>
      <c r="L256" t="s">
        <v>112</v>
      </c>
      <c r="M256" t="s">
        <v>216</v>
      </c>
      <c r="O256" t="s">
        <v>480</v>
      </c>
      <c r="P256" t="s">
        <v>85</v>
      </c>
      <c r="Q256" t="s">
        <v>348</v>
      </c>
      <c r="R256" t="s">
        <v>470</v>
      </c>
      <c r="S256" t="s">
        <v>474</v>
      </c>
      <c r="T256" t="s">
        <v>475</v>
      </c>
      <c r="U256" s="10" t="s">
        <v>1061</v>
      </c>
      <c r="V256" s="10" t="s">
        <v>1085</v>
      </c>
      <c r="W256" s="10" t="s">
        <v>1085</v>
      </c>
      <c r="X256" s="10" t="s">
        <v>1068</v>
      </c>
      <c r="Y256" t="s">
        <v>39</v>
      </c>
      <c r="Z256" t="s">
        <v>40</v>
      </c>
      <c r="AA256" t="s">
        <v>125</v>
      </c>
    </row>
    <row r="257" spans="1:27" x14ac:dyDescent="0.8">
      <c r="A257">
        <v>528</v>
      </c>
      <c r="B257">
        <v>68</v>
      </c>
      <c r="C257" s="2">
        <v>44388</v>
      </c>
      <c r="D257" t="s">
        <v>235</v>
      </c>
      <c r="E257" t="s">
        <v>25</v>
      </c>
      <c r="F257" t="s">
        <v>26</v>
      </c>
      <c r="G257" t="s">
        <v>45</v>
      </c>
      <c r="H257" t="s">
        <v>476</v>
      </c>
      <c r="I257" t="s">
        <v>69</v>
      </c>
      <c r="J257" t="s">
        <v>295</v>
      </c>
      <c r="K257" t="s">
        <v>477</v>
      </c>
      <c r="L257" t="s">
        <v>478</v>
      </c>
      <c r="M257" t="s">
        <v>479</v>
      </c>
      <c r="N257" t="s">
        <v>52</v>
      </c>
      <c r="O257" t="s">
        <v>473</v>
      </c>
      <c r="P257" t="s">
        <v>85</v>
      </c>
      <c r="Q257" t="s">
        <v>348</v>
      </c>
      <c r="R257" t="s">
        <v>470</v>
      </c>
      <c r="S257" t="s">
        <v>474</v>
      </c>
      <c r="T257" t="s">
        <v>475</v>
      </c>
      <c r="U257" s="10" t="s">
        <v>1061</v>
      </c>
      <c r="V257" s="10" t="s">
        <v>1085</v>
      </c>
      <c r="W257" s="10" t="s">
        <v>1085</v>
      </c>
      <c r="X257" s="10" t="s">
        <v>1068</v>
      </c>
      <c r="Y257" t="s">
        <v>39</v>
      </c>
      <c r="Z257" t="s">
        <v>40</v>
      </c>
      <c r="AA257" t="s">
        <v>63</v>
      </c>
    </row>
    <row r="258" spans="1:27" x14ac:dyDescent="0.8">
      <c r="A258">
        <v>1575</v>
      </c>
      <c r="B258">
        <v>320</v>
      </c>
      <c r="C258" s="2">
        <v>44388</v>
      </c>
      <c r="D258" t="s">
        <v>235</v>
      </c>
      <c r="E258" t="s">
        <v>25</v>
      </c>
      <c r="F258" t="s">
        <v>26</v>
      </c>
      <c r="G258" t="s">
        <v>45</v>
      </c>
      <c r="H258" t="s">
        <v>476</v>
      </c>
      <c r="I258" t="s">
        <v>69</v>
      </c>
      <c r="J258" t="s">
        <v>295</v>
      </c>
      <c r="K258" t="s">
        <v>477</v>
      </c>
      <c r="L258" t="s">
        <v>478</v>
      </c>
      <c r="M258" t="s">
        <v>479</v>
      </c>
      <c r="N258" t="s">
        <v>52</v>
      </c>
      <c r="O258" t="s">
        <v>473</v>
      </c>
      <c r="P258" t="s">
        <v>85</v>
      </c>
      <c r="Q258" t="s">
        <v>348</v>
      </c>
      <c r="R258" t="s">
        <v>470</v>
      </c>
      <c r="S258" t="s">
        <v>474</v>
      </c>
      <c r="T258" t="s">
        <v>475</v>
      </c>
      <c r="U258" s="10" t="s">
        <v>1061</v>
      </c>
      <c r="V258" s="10" t="s">
        <v>1085</v>
      </c>
      <c r="W258" s="10" t="s">
        <v>1085</v>
      </c>
      <c r="X258" s="10" t="s">
        <v>1068</v>
      </c>
      <c r="Y258" t="s">
        <v>140</v>
      </c>
      <c r="Z258" t="s">
        <v>40</v>
      </c>
      <c r="AA258" t="s">
        <v>125</v>
      </c>
    </row>
    <row r="259" spans="1:27" x14ac:dyDescent="0.8">
      <c r="A259">
        <v>1658</v>
      </c>
      <c r="B259">
        <v>429</v>
      </c>
      <c r="C259" s="2">
        <v>44388</v>
      </c>
      <c r="D259" t="s">
        <v>235</v>
      </c>
      <c r="E259" t="s">
        <v>53</v>
      </c>
      <c r="F259" t="s">
        <v>26</v>
      </c>
      <c r="G259" t="s">
        <v>45</v>
      </c>
      <c r="H259" t="s">
        <v>476</v>
      </c>
      <c r="I259" t="s">
        <v>69</v>
      </c>
      <c r="J259" t="s">
        <v>295</v>
      </c>
      <c r="K259" t="s">
        <v>477</v>
      </c>
      <c r="L259" t="s">
        <v>478</v>
      </c>
      <c r="M259" t="s">
        <v>479</v>
      </c>
      <c r="N259" t="s">
        <v>52</v>
      </c>
      <c r="O259" t="s">
        <v>480</v>
      </c>
      <c r="P259" t="s">
        <v>85</v>
      </c>
      <c r="Q259" t="s">
        <v>348</v>
      </c>
      <c r="R259" t="s">
        <v>470</v>
      </c>
      <c r="S259" t="s">
        <v>474</v>
      </c>
      <c r="T259" t="s">
        <v>475</v>
      </c>
      <c r="U259" s="10" t="s">
        <v>1061</v>
      </c>
      <c r="V259" s="10" t="s">
        <v>1085</v>
      </c>
      <c r="W259" s="10" t="s">
        <v>1085</v>
      </c>
      <c r="X259" s="10" t="s">
        <v>1068</v>
      </c>
      <c r="Y259" t="s">
        <v>39</v>
      </c>
      <c r="Z259" t="s">
        <v>40</v>
      </c>
      <c r="AA259" t="s">
        <v>41</v>
      </c>
    </row>
    <row r="260" spans="1:27" x14ac:dyDescent="0.8">
      <c r="A260">
        <v>1588</v>
      </c>
      <c r="B260">
        <v>331</v>
      </c>
      <c r="C260" s="2">
        <v>44388</v>
      </c>
      <c r="D260" t="s">
        <v>235</v>
      </c>
      <c r="E260" t="s">
        <v>53</v>
      </c>
      <c r="F260" t="s">
        <v>26</v>
      </c>
      <c r="G260" t="s">
        <v>45</v>
      </c>
      <c r="H260" t="s">
        <v>476</v>
      </c>
      <c r="I260" t="s">
        <v>69</v>
      </c>
      <c r="J260" t="s">
        <v>295</v>
      </c>
      <c r="K260" t="s">
        <v>477</v>
      </c>
      <c r="L260" t="s">
        <v>478</v>
      </c>
      <c r="M260" t="s">
        <v>479</v>
      </c>
      <c r="N260" t="s">
        <v>52</v>
      </c>
      <c r="O260" t="s">
        <v>480</v>
      </c>
      <c r="P260" t="s">
        <v>85</v>
      </c>
      <c r="Q260" t="s">
        <v>348</v>
      </c>
      <c r="R260" t="s">
        <v>470</v>
      </c>
      <c r="S260" t="s">
        <v>474</v>
      </c>
      <c r="T260" t="s">
        <v>475</v>
      </c>
      <c r="U260" s="10" t="s">
        <v>1061</v>
      </c>
      <c r="V260" s="10" t="s">
        <v>1085</v>
      </c>
      <c r="W260" s="10" t="s">
        <v>1085</v>
      </c>
      <c r="X260" s="10" t="s">
        <v>1068</v>
      </c>
      <c r="Y260" t="s">
        <v>39</v>
      </c>
      <c r="Z260" t="s">
        <v>40</v>
      </c>
      <c r="AA260" t="s">
        <v>125</v>
      </c>
    </row>
    <row r="261" spans="1:27" x14ac:dyDescent="0.8">
      <c r="A261">
        <v>523</v>
      </c>
      <c r="B261">
        <v>63</v>
      </c>
      <c r="C261" s="2">
        <v>44388</v>
      </c>
      <c r="D261" t="s">
        <v>235</v>
      </c>
      <c r="E261" t="s">
        <v>53</v>
      </c>
      <c r="F261" t="s">
        <v>26</v>
      </c>
      <c r="G261" t="s">
        <v>45</v>
      </c>
      <c r="H261" t="s">
        <v>476</v>
      </c>
      <c r="I261" t="s">
        <v>69</v>
      </c>
      <c r="J261" t="s">
        <v>295</v>
      </c>
      <c r="K261" t="s">
        <v>477</v>
      </c>
      <c r="L261" t="s">
        <v>478</v>
      </c>
      <c r="M261" t="s">
        <v>479</v>
      </c>
      <c r="N261" t="s">
        <v>52</v>
      </c>
      <c r="O261" t="s">
        <v>480</v>
      </c>
      <c r="P261" t="s">
        <v>85</v>
      </c>
      <c r="Q261" t="s">
        <v>348</v>
      </c>
      <c r="R261" t="s">
        <v>470</v>
      </c>
      <c r="S261" t="s">
        <v>474</v>
      </c>
      <c r="T261" t="s">
        <v>475</v>
      </c>
      <c r="U261" s="10" t="s">
        <v>1061</v>
      </c>
      <c r="V261" s="10" t="s">
        <v>1085</v>
      </c>
      <c r="W261" s="10" t="s">
        <v>1085</v>
      </c>
      <c r="X261" s="10" t="s">
        <v>1068</v>
      </c>
      <c r="Y261" t="s">
        <v>39</v>
      </c>
      <c r="Z261" t="s">
        <v>40</v>
      </c>
      <c r="AA261" t="s">
        <v>63</v>
      </c>
    </row>
    <row r="262" spans="1:27" x14ac:dyDescent="0.8">
      <c r="A262">
        <v>1586</v>
      </c>
      <c r="B262">
        <v>329</v>
      </c>
      <c r="C262" s="2">
        <v>44388</v>
      </c>
      <c r="D262" t="s">
        <v>235</v>
      </c>
      <c r="E262" t="s">
        <v>53</v>
      </c>
      <c r="F262" t="s">
        <v>26</v>
      </c>
      <c r="G262" t="s">
        <v>94</v>
      </c>
      <c r="H262" t="s">
        <v>389</v>
      </c>
      <c r="I262" t="s">
        <v>390</v>
      </c>
      <c r="J262" t="s">
        <v>489</v>
      </c>
      <c r="K262" t="s">
        <v>392</v>
      </c>
      <c r="L262" t="s">
        <v>490</v>
      </c>
      <c r="M262" t="s">
        <v>491</v>
      </c>
      <c r="N262" t="s">
        <v>395</v>
      </c>
      <c r="O262" t="s">
        <v>480</v>
      </c>
      <c r="P262" t="s">
        <v>85</v>
      </c>
      <c r="Q262" t="s">
        <v>348</v>
      </c>
      <c r="R262" t="s">
        <v>470</v>
      </c>
      <c r="S262" t="s">
        <v>474</v>
      </c>
      <c r="T262" t="s">
        <v>475</v>
      </c>
      <c r="U262" s="10" t="s">
        <v>1061</v>
      </c>
      <c r="V262" s="10" t="s">
        <v>1085</v>
      </c>
      <c r="W262" s="10" t="s">
        <v>1085</v>
      </c>
      <c r="X262" s="10" t="s">
        <v>1068</v>
      </c>
      <c r="Y262" t="s">
        <v>39</v>
      </c>
      <c r="Z262" t="s">
        <v>40</v>
      </c>
      <c r="AA262" t="s">
        <v>125</v>
      </c>
    </row>
    <row r="263" spans="1:27" x14ac:dyDescent="0.8">
      <c r="A263">
        <v>1021</v>
      </c>
      <c r="B263">
        <v>1377</v>
      </c>
      <c r="C263" s="2">
        <v>44385</v>
      </c>
      <c r="D263" t="s">
        <v>203</v>
      </c>
      <c r="E263" t="s">
        <v>25</v>
      </c>
      <c r="F263" t="s">
        <v>26</v>
      </c>
      <c r="G263" t="s">
        <v>45</v>
      </c>
      <c r="H263" t="s">
        <v>68</v>
      </c>
      <c r="I263" t="s">
        <v>69</v>
      </c>
      <c r="J263" t="s">
        <v>70</v>
      </c>
      <c r="K263" t="s">
        <v>71</v>
      </c>
      <c r="L263" t="s">
        <v>72</v>
      </c>
      <c r="M263" t="s">
        <v>73</v>
      </c>
      <c r="N263" t="s">
        <v>61</v>
      </c>
      <c r="O263" t="s">
        <v>473</v>
      </c>
      <c r="P263" t="s">
        <v>85</v>
      </c>
      <c r="Q263" t="s">
        <v>348</v>
      </c>
      <c r="R263" t="s">
        <v>470</v>
      </c>
      <c r="S263" t="s">
        <v>474</v>
      </c>
      <c r="T263" t="s">
        <v>475</v>
      </c>
      <c r="U263" s="10" t="s">
        <v>1061</v>
      </c>
      <c r="V263" s="10" t="s">
        <v>1085</v>
      </c>
      <c r="W263" s="10" t="s">
        <v>1085</v>
      </c>
      <c r="X263" s="10" t="s">
        <v>1068</v>
      </c>
      <c r="Y263" t="s">
        <v>39</v>
      </c>
      <c r="Z263" t="s">
        <v>40</v>
      </c>
      <c r="AA263" t="s">
        <v>63</v>
      </c>
    </row>
    <row r="264" spans="1:27" x14ac:dyDescent="0.8">
      <c r="A264">
        <v>1003</v>
      </c>
      <c r="B264">
        <v>1359</v>
      </c>
      <c r="C264" s="2">
        <v>44385</v>
      </c>
      <c r="D264" t="s">
        <v>203</v>
      </c>
      <c r="E264" t="s">
        <v>63</v>
      </c>
      <c r="F264" t="s">
        <v>26</v>
      </c>
      <c r="G264" t="s">
        <v>45</v>
      </c>
      <c r="H264" t="s">
        <v>68</v>
      </c>
      <c r="I264" t="s">
        <v>69</v>
      </c>
      <c r="J264" t="s">
        <v>70</v>
      </c>
      <c r="K264" t="s">
        <v>71</v>
      </c>
      <c r="L264" t="s">
        <v>72</v>
      </c>
      <c r="M264" t="s">
        <v>73</v>
      </c>
      <c r="N264" t="s">
        <v>61</v>
      </c>
      <c r="O264" t="s">
        <v>473</v>
      </c>
      <c r="P264" t="s">
        <v>85</v>
      </c>
      <c r="Q264" t="s">
        <v>348</v>
      </c>
      <c r="R264" t="s">
        <v>470</v>
      </c>
      <c r="S264" t="s">
        <v>474</v>
      </c>
      <c r="T264" t="s">
        <v>475</v>
      </c>
      <c r="U264" s="10" t="s">
        <v>1061</v>
      </c>
      <c r="V264" s="10" t="s">
        <v>1085</v>
      </c>
      <c r="W264" s="10" t="s">
        <v>1085</v>
      </c>
      <c r="X264" s="10" t="s">
        <v>1068</v>
      </c>
      <c r="Y264" t="s">
        <v>39</v>
      </c>
      <c r="Z264" t="s">
        <v>40</v>
      </c>
      <c r="AA264" t="s">
        <v>63</v>
      </c>
    </row>
    <row r="265" spans="1:27" x14ac:dyDescent="0.8">
      <c r="A265">
        <v>979</v>
      </c>
      <c r="B265">
        <v>1287</v>
      </c>
      <c r="C265" s="2">
        <v>44385</v>
      </c>
      <c r="D265" t="s">
        <v>203</v>
      </c>
      <c r="E265" t="s">
        <v>63</v>
      </c>
      <c r="F265" t="s">
        <v>26</v>
      </c>
      <c r="G265" t="s">
        <v>45</v>
      </c>
      <c r="H265" t="s">
        <v>68</v>
      </c>
      <c r="I265" t="s">
        <v>69</v>
      </c>
      <c r="J265" t="s">
        <v>70</v>
      </c>
      <c r="K265" t="s">
        <v>71</v>
      </c>
      <c r="L265" t="s">
        <v>72</v>
      </c>
      <c r="M265" t="s">
        <v>73</v>
      </c>
      <c r="N265" t="s">
        <v>61</v>
      </c>
      <c r="O265" t="s">
        <v>473</v>
      </c>
      <c r="P265" t="s">
        <v>85</v>
      </c>
      <c r="Q265" t="s">
        <v>348</v>
      </c>
      <c r="R265" t="s">
        <v>470</v>
      </c>
      <c r="S265" t="s">
        <v>474</v>
      </c>
      <c r="T265" t="s">
        <v>475</v>
      </c>
      <c r="U265" s="10" t="s">
        <v>1061</v>
      </c>
      <c r="V265" s="10" t="s">
        <v>1085</v>
      </c>
      <c r="W265" s="10" t="s">
        <v>1085</v>
      </c>
      <c r="X265" s="10" t="s">
        <v>1068</v>
      </c>
      <c r="Y265" t="s">
        <v>39</v>
      </c>
      <c r="Z265" t="s">
        <v>40</v>
      </c>
      <c r="AA265" t="s">
        <v>63</v>
      </c>
    </row>
    <row r="266" spans="1:27" x14ac:dyDescent="0.8">
      <c r="A266">
        <v>968</v>
      </c>
      <c r="B266">
        <v>1276</v>
      </c>
      <c r="C266" s="2">
        <v>44385</v>
      </c>
      <c r="D266" t="s">
        <v>203</v>
      </c>
      <c r="E266" t="s">
        <v>103</v>
      </c>
      <c r="F266" t="s">
        <v>26</v>
      </c>
      <c r="G266" t="s">
        <v>45</v>
      </c>
      <c r="H266" t="s">
        <v>68</v>
      </c>
      <c r="I266" t="s">
        <v>69</v>
      </c>
      <c r="J266" t="s">
        <v>70</v>
      </c>
      <c r="K266" t="s">
        <v>71</v>
      </c>
      <c r="L266" t="s">
        <v>72</v>
      </c>
      <c r="M266" t="s">
        <v>73</v>
      </c>
      <c r="N266" t="s">
        <v>61</v>
      </c>
      <c r="O266" t="s">
        <v>473</v>
      </c>
      <c r="P266" t="s">
        <v>85</v>
      </c>
      <c r="Q266" t="s">
        <v>348</v>
      </c>
      <c r="R266" t="s">
        <v>470</v>
      </c>
      <c r="S266" t="s">
        <v>474</v>
      </c>
      <c r="T266" t="s">
        <v>475</v>
      </c>
      <c r="U266" s="10" t="s">
        <v>1061</v>
      </c>
      <c r="V266" s="10" t="s">
        <v>1085</v>
      </c>
      <c r="W266" s="10" t="s">
        <v>1085</v>
      </c>
      <c r="X266" s="10" t="s">
        <v>1068</v>
      </c>
      <c r="Y266" t="s">
        <v>140</v>
      </c>
      <c r="Z266" t="s">
        <v>40</v>
      </c>
      <c r="AA266" t="s">
        <v>63</v>
      </c>
    </row>
    <row r="267" spans="1:27" x14ac:dyDescent="0.8">
      <c r="A267">
        <v>1026</v>
      </c>
      <c r="B267">
        <v>840</v>
      </c>
      <c r="C267" s="2">
        <v>44385</v>
      </c>
      <c r="D267" t="s">
        <v>203</v>
      </c>
      <c r="E267" t="s">
        <v>25</v>
      </c>
      <c r="F267" t="s">
        <v>26</v>
      </c>
      <c r="G267" t="s">
        <v>45</v>
      </c>
      <c r="H267" t="s">
        <v>476</v>
      </c>
      <c r="I267" t="s">
        <v>69</v>
      </c>
      <c r="J267" t="s">
        <v>295</v>
      </c>
      <c r="K267" t="s">
        <v>477</v>
      </c>
      <c r="L267" t="s">
        <v>478</v>
      </c>
      <c r="M267" t="s">
        <v>479</v>
      </c>
      <c r="N267" t="s">
        <v>61</v>
      </c>
      <c r="O267" t="s">
        <v>473</v>
      </c>
      <c r="P267" t="s">
        <v>85</v>
      </c>
      <c r="Q267" t="s">
        <v>348</v>
      </c>
      <c r="R267" t="s">
        <v>470</v>
      </c>
      <c r="S267" t="s">
        <v>474</v>
      </c>
      <c r="T267" t="s">
        <v>475</v>
      </c>
      <c r="U267" s="10" t="s">
        <v>1061</v>
      </c>
      <c r="V267" s="10" t="s">
        <v>1085</v>
      </c>
      <c r="W267" s="10" t="s">
        <v>1085</v>
      </c>
      <c r="X267" s="10" t="s">
        <v>1068</v>
      </c>
      <c r="Y267" t="s">
        <v>39</v>
      </c>
      <c r="Z267" t="s">
        <v>62</v>
      </c>
      <c r="AA267" t="s">
        <v>63</v>
      </c>
    </row>
    <row r="268" spans="1:27" x14ac:dyDescent="0.8">
      <c r="A268">
        <v>970</v>
      </c>
      <c r="B268">
        <v>1278</v>
      </c>
      <c r="C268" s="2">
        <v>44385</v>
      </c>
      <c r="D268" t="s">
        <v>203</v>
      </c>
      <c r="E268" t="s">
        <v>44</v>
      </c>
      <c r="F268" t="s">
        <v>26</v>
      </c>
      <c r="G268" t="s">
        <v>45</v>
      </c>
      <c r="H268" t="s">
        <v>476</v>
      </c>
      <c r="I268" t="s">
        <v>69</v>
      </c>
      <c r="J268" t="s">
        <v>295</v>
      </c>
      <c r="K268" t="s">
        <v>477</v>
      </c>
      <c r="L268" t="s">
        <v>478</v>
      </c>
      <c r="M268" t="s">
        <v>479</v>
      </c>
      <c r="N268" t="s">
        <v>52</v>
      </c>
      <c r="O268" t="s">
        <v>473</v>
      </c>
      <c r="P268" t="s">
        <v>85</v>
      </c>
      <c r="Q268" t="s">
        <v>348</v>
      </c>
      <c r="R268" t="s">
        <v>470</v>
      </c>
      <c r="S268" t="s">
        <v>474</v>
      </c>
      <c r="T268" t="s">
        <v>475</v>
      </c>
      <c r="U268" s="10" t="s">
        <v>1061</v>
      </c>
      <c r="V268" s="10" t="s">
        <v>1085</v>
      </c>
      <c r="W268" s="10" t="s">
        <v>1085</v>
      </c>
      <c r="X268" s="10" t="s">
        <v>1068</v>
      </c>
      <c r="Y268" t="s">
        <v>140</v>
      </c>
      <c r="Z268" t="s">
        <v>40</v>
      </c>
      <c r="AA268" t="s">
        <v>63</v>
      </c>
    </row>
    <row r="269" spans="1:27" x14ac:dyDescent="0.8">
      <c r="A269">
        <v>969</v>
      </c>
      <c r="B269">
        <v>1277</v>
      </c>
      <c r="C269" s="2">
        <v>44385</v>
      </c>
      <c r="D269" t="s">
        <v>203</v>
      </c>
      <c r="E269" t="s">
        <v>103</v>
      </c>
      <c r="F269" t="s">
        <v>26</v>
      </c>
      <c r="G269" t="s">
        <v>45</v>
      </c>
      <c r="H269" t="s">
        <v>476</v>
      </c>
      <c r="I269" t="s">
        <v>69</v>
      </c>
      <c r="J269" t="s">
        <v>295</v>
      </c>
      <c r="K269" t="s">
        <v>477</v>
      </c>
      <c r="L269" t="s">
        <v>478</v>
      </c>
      <c r="M269" t="s">
        <v>479</v>
      </c>
      <c r="N269" t="s">
        <v>52</v>
      </c>
      <c r="O269" t="s">
        <v>473</v>
      </c>
      <c r="P269" t="s">
        <v>85</v>
      </c>
      <c r="Q269" t="s">
        <v>348</v>
      </c>
      <c r="R269" t="s">
        <v>470</v>
      </c>
      <c r="S269" t="s">
        <v>474</v>
      </c>
      <c r="T269" t="s">
        <v>475</v>
      </c>
      <c r="U269" s="10" t="s">
        <v>1061</v>
      </c>
      <c r="V269" s="10" t="s">
        <v>1085</v>
      </c>
      <c r="W269" s="10" t="s">
        <v>1085</v>
      </c>
      <c r="X269" s="10" t="s">
        <v>1068</v>
      </c>
      <c r="Y269" t="s">
        <v>140</v>
      </c>
      <c r="Z269" t="s">
        <v>40</v>
      </c>
      <c r="AA269" t="s">
        <v>63</v>
      </c>
    </row>
    <row r="270" spans="1:27" x14ac:dyDescent="0.8">
      <c r="A270">
        <v>681</v>
      </c>
      <c r="B270">
        <v>1066</v>
      </c>
      <c r="C270" s="2">
        <v>44385</v>
      </c>
      <c r="D270" t="s">
        <v>133</v>
      </c>
      <c r="E270" t="s">
        <v>44</v>
      </c>
      <c r="F270" t="s">
        <v>26</v>
      </c>
      <c r="G270" t="s">
        <v>94</v>
      </c>
      <c r="H270" t="s">
        <v>95</v>
      </c>
      <c r="I270" t="s">
        <v>236</v>
      </c>
      <c r="J270" t="s">
        <v>237</v>
      </c>
      <c r="K270" t="s">
        <v>238</v>
      </c>
      <c r="L270" t="s">
        <v>239</v>
      </c>
      <c r="M270" t="s">
        <v>240</v>
      </c>
      <c r="N270" t="s">
        <v>263</v>
      </c>
      <c r="O270" t="s">
        <v>473</v>
      </c>
      <c r="P270" t="s">
        <v>85</v>
      </c>
      <c r="Q270" t="s">
        <v>348</v>
      </c>
      <c r="R270" t="s">
        <v>470</v>
      </c>
      <c r="S270" t="s">
        <v>474</v>
      </c>
      <c r="T270" t="s">
        <v>475</v>
      </c>
      <c r="U270" s="10" t="s">
        <v>1061</v>
      </c>
      <c r="V270" s="10" t="s">
        <v>1085</v>
      </c>
      <c r="W270" s="10" t="s">
        <v>1085</v>
      </c>
      <c r="X270" s="10" t="s">
        <v>1068</v>
      </c>
      <c r="Y270" t="s">
        <v>39</v>
      </c>
      <c r="Z270" t="s">
        <v>40</v>
      </c>
      <c r="AA270" t="s">
        <v>63</v>
      </c>
    </row>
    <row r="271" spans="1:27" x14ac:dyDescent="0.8">
      <c r="A271">
        <v>1134</v>
      </c>
      <c r="B271">
        <v>1581</v>
      </c>
      <c r="C271" s="2">
        <v>44384</v>
      </c>
      <c r="D271" t="s">
        <v>384</v>
      </c>
      <c r="E271" t="s">
        <v>63</v>
      </c>
      <c r="F271" t="s">
        <v>26</v>
      </c>
      <c r="G271" t="s">
        <v>27</v>
      </c>
      <c r="H271" t="s">
        <v>28</v>
      </c>
      <c r="I271" t="s">
        <v>109</v>
      </c>
      <c r="J271" t="s">
        <v>110</v>
      </c>
      <c r="K271" t="s">
        <v>111</v>
      </c>
      <c r="L271" t="s">
        <v>59</v>
      </c>
      <c r="M271" t="s">
        <v>492</v>
      </c>
      <c r="N271" t="s">
        <v>52</v>
      </c>
      <c r="O271" t="s">
        <v>473</v>
      </c>
      <c r="P271" t="s">
        <v>85</v>
      </c>
      <c r="Q271" t="s">
        <v>348</v>
      </c>
      <c r="R271" t="s">
        <v>470</v>
      </c>
      <c r="S271" t="s">
        <v>474</v>
      </c>
      <c r="T271" t="s">
        <v>475</v>
      </c>
      <c r="U271" s="10" t="s">
        <v>1061</v>
      </c>
      <c r="V271" s="10" t="s">
        <v>1085</v>
      </c>
      <c r="W271" s="10" t="s">
        <v>1085</v>
      </c>
      <c r="X271" s="10" t="s">
        <v>1068</v>
      </c>
      <c r="Y271" t="s">
        <v>39</v>
      </c>
      <c r="Z271" t="s">
        <v>40</v>
      </c>
      <c r="AA271" t="s">
        <v>63</v>
      </c>
    </row>
    <row r="272" spans="1:27" x14ac:dyDescent="0.8">
      <c r="A272">
        <v>1153</v>
      </c>
      <c r="B272">
        <v>1650</v>
      </c>
      <c r="C272" s="2">
        <v>44384</v>
      </c>
      <c r="D272" t="s">
        <v>384</v>
      </c>
      <c r="E272" t="s">
        <v>63</v>
      </c>
      <c r="F272" t="s">
        <v>26</v>
      </c>
      <c r="G272" t="s">
        <v>27</v>
      </c>
      <c r="H272" t="s">
        <v>28</v>
      </c>
      <c r="I272" t="s">
        <v>223</v>
      </c>
      <c r="K272" t="s">
        <v>224</v>
      </c>
      <c r="L272" t="s">
        <v>59</v>
      </c>
      <c r="M272" t="s">
        <v>225</v>
      </c>
      <c r="O272" t="s">
        <v>473</v>
      </c>
      <c r="P272" t="s">
        <v>85</v>
      </c>
      <c r="Q272" t="s">
        <v>348</v>
      </c>
      <c r="R272" t="s">
        <v>470</v>
      </c>
      <c r="S272" t="s">
        <v>474</v>
      </c>
      <c r="T272" t="s">
        <v>475</v>
      </c>
      <c r="U272" s="10" t="s">
        <v>1061</v>
      </c>
      <c r="V272" s="10" t="s">
        <v>1085</v>
      </c>
      <c r="W272" s="10" t="s">
        <v>1085</v>
      </c>
      <c r="X272" s="10" t="s">
        <v>1068</v>
      </c>
      <c r="Y272" t="s">
        <v>39</v>
      </c>
      <c r="Z272" t="s">
        <v>40</v>
      </c>
      <c r="AA272" t="s">
        <v>63</v>
      </c>
    </row>
    <row r="273" spans="1:28" x14ac:dyDescent="0.8">
      <c r="A273">
        <v>1106</v>
      </c>
      <c r="B273">
        <v>1206</v>
      </c>
      <c r="C273" s="2">
        <v>44384</v>
      </c>
      <c r="D273" t="s">
        <v>384</v>
      </c>
      <c r="E273" t="s">
        <v>63</v>
      </c>
      <c r="F273" t="s">
        <v>26</v>
      </c>
      <c r="G273" t="s">
        <v>27</v>
      </c>
      <c r="H273" t="s">
        <v>28</v>
      </c>
      <c r="I273" t="s">
        <v>223</v>
      </c>
      <c r="K273" t="s">
        <v>224</v>
      </c>
      <c r="L273" t="s">
        <v>59</v>
      </c>
      <c r="M273" t="s">
        <v>225</v>
      </c>
      <c r="O273" t="s">
        <v>473</v>
      </c>
      <c r="P273" t="s">
        <v>85</v>
      </c>
      <c r="Q273" t="s">
        <v>348</v>
      </c>
      <c r="R273" t="s">
        <v>470</v>
      </c>
      <c r="S273" t="s">
        <v>474</v>
      </c>
      <c r="T273" t="s">
        <v>475</v>
      </c>
      <c r="U273" s="10" t="s">
        <v>1061</v>
      </c>
      <c r="V273" s="10" t="s">
        <v>1085</v>
      </c>
      <c r="W273" s="10" t="s">
        <v>1085</v>
      </c>
      <c r="X273" s="10" t="s">
        <v>1068</v>
      </c>
      <c r="Y273" t="s">
        <v>39</v>
      </c>
      <c r="Z273" t="s">
        <v>40</v>
      </c>
      <c r="AA273" t="s">
        <v>63</v>
      </c>
    </row>
    <row r="274" spans="1:28" x14ac:dyDescent="0.8">
      <c r="A274">
        <v>1135</v>
      </c>
      <c r="B274">
        <v>1582</v>
      </c>
      <c r="C274" s="2">
        <v>44384</v>
      </c>
      <c r="D274" t="s">
        <v>384</v>
      </c>
      <c r="E274" t="s">
        <v>63</v>
      </c>
      <c r="F274" t="s">
        <v>26</v>
      </c>
      <c r="G274" t="s">
        <v>27</v>
      </c>
      <c r="H274" t="s">
        <v>28</v>
      </c>
      <c r="I274" t="s">
        <v>493</v>
      </c>
      <c r="K274" t="s">
        <v>494</v>
      </c>
      <c r="L274" t="s">
        <v>112</v>
      </c>
      <c r="M274" t="s">
        <v>495</v>
      </c>
      <c r="O274" t="s">
        <v>473</v>
      </c>
      <c r="P274" t="s">
        <v>85</v>
      </c>
      <c r="Q274" t="s">
        <v>348</v>
      </c>
      <c r="R274" t="s">
        <v>470</v>
      </c>
      <c r="S274" t="s">
        <v>474</v>
      </c>
      <c r="T274" t="s">
        <v>475</v>
      </c>
      <c r="U274" s="10" t="s">
        <v>1061</v>
      </c>
      <c r="V274" s="10" t="s">
        <v>1085</v>
      </c>
      <c r="W274" s="10" t="s">
        <v>1085</v>
      </c>
      <c r="X274" s="10" t="s">
        <v>1068</v>
      </c>
      <c r="Y274" t="s">
        <v>39</v>
      </c>
      <c r="Z274" t="s">
        <v>40</v>
      </c>
      <c r="AA274" t="s">
        <v>63</v>
      </c>
    </row>
    <row r="275" spans="1:28" x14ac:dyDescent="0.8">
      <c r="A275">
        <v>1143</v>
      </c>
      <c r="B275">
        <v>1590</v>
      </c>
      <c r="C275" s="2">
        <v>44384</v>
      </c>
      <c r="D275" t="s">
        <v>384</v>
      </c>
      <c r="E275" t="s">
        <v>63</v>
      </c>
      <c r="F275" t="s">
        <v>26</v>
      </c>
      <c r="G275" t="s">
        <v>45</v>
      </c>
      <c r="H275" t="s">
        <v>476</v>
      </c>
      <c r="I275" t="s">
        <v>69</v>
      </c>
      <c r="J275" t="s">
        <v>295</v>
      </c>
      <c r="K275" t="s">
        <v>477</v>
      </c>
      <c r="L275" t="s">
        <v>478</v>
      </c>
      <c r="M275" t="s">
        <v>479</v>
      </c>
      <c r="N275" t="s">
        <v>52</v>
      </c>
      <c r="O275" t="s">
        <v>473</v>
      </c>
      <c r="P275" t="s">
        <v>85</v>
      </c>
      <c r="Q275" t="s">
        <v>348</v>
      </c>
      <c r="R275" t="s">
        <v>470</v>
      </c>
      <c r="S275" t="s">
        <v>474</v>
      </c>
      <c r="T275" t="s">
        <v>475</v>
      </c>
      <c r="U275" s="10" t="s">
        <v>1061</v>
      </c>
      <c r="V275" s="10" t="s">
        <v>1085</v>
      </c>
      <c r="W275" s="10" t="s">
        <v>1085</v>
      </c>
      <c r="X275" s="10" t="s">
        <v>1068</v>
      </c>
      <c r="Y275" t="s">
        <v>39</v>
      </c>
      <c r="Z275" t="s">
        <v>40</v>
      </c>
      <c r="AA275" t="s">
        <v>63</v>
      </c>
    </row>
    <row r="276" spans="1:28" x14ac:dyDescent="0.8">
      <c r="A276">
        <v>1137</v>
      </c>
      <c r="B276">
        <v>1584</v>
      </c>
      <c r="C276" s="2">
        <v>44384</v>
      </c>
      <c r="D276" t="s">
        <v>384</v>
      </c>
      <c r="E276" t="s">
        <v>150</v>
      </c>
      <c r="F276" t="s">
        <v>26</v>
      </c>
      <c r="G276" t="s">
        <v>45</v>
      </c>
      <c r="H276" t="s">
        <v>476</v>
      </c>
      <c r="I276" t="s">
        <v>69</v>
      </c>
      <c r="J276" t="s">
        <v>295</v>
      </c>
      <c r="K276" t="s">
        <v>477</v>
      </c>
      <c r="L276" t="s">
        <v>478</v>
      </c>
      <c r="M276" t="s">
        <v>479</v>
      </c>
      <c r="N276" t="s">
        <v>52</v>
      </c>
      <c r="O276" t="s">
        <v>473</v>
      </c>
      <c r="P276" t="s">
        <v>85</v>
      </c>
      <c r="Q276" t="s">
        <v>348</v>
      </c>
      <c r="R276" t="s">
        <v>470</v>
      </c>
      <c r="S276" t="s">
        <v>474</v>
      </c>
      <c r="T276" t="s">
        <v>475</v>
      </c>
      <c r="U276" s="10" t="s">
        <v>1061</v>
      </c>
      <c r="V276" s="10" t="s">
        <v>1085</v>
      </c>
      <c r="W276" s="10" t="s">
        <v>1085</v>
      </c>
      <c r="X276" s="10" t="s">
        <v>1068</v>
      </c>
      <c r="Y276" t="s">
        <v>39</v>
      </c>
      <c r="Z276" t="s">
        <v>40</v>
      </c>
      <c r="AA276" t="s">
        <v>63</v>
      </c>
    </row>
    <row r="277" spans="1:28" x14ac:dyDescent="0.8">
      <c r="A277">
        <v>1128</v>
      </c>
      <c r="B277">
        <v>1575</v>
      </c>
      <c r="C277" s="2">
        <v>44384</v>
      </c>
      <c r="D277" t="s">
        <v>384</v>
      </c>
      <c r="E277" t="s">
        <v>25</v>
      </c>
      <c r="F277" t="s">
        <v>26</v>
      </c>
      <c r="G277" t="s">
        <v>45</v>
      </c>
      <c r="H277" t="s">
        <v>476</v>
      </c>
      <c r="I277" t="s">
        <v>69</v>
      </c>
      <c r="J277" t="s">
        <v>295</v>
      </c>
      <c r="K277" t="s">
        <v>477</v>
      </c>
      <c r="L277" t="s">
        <v>478</v>
      </c>
      <c r="M277" t="s">
        <v>479</v>
      </c>
      <c r="N277" t="s">
        <v>52</v>
      </c>
      <c r="O277" t="s">
        <v>473</v>
      </c>
      <c r="P277" t="s">
        <v>85</v>
      </c>
      <c r="Q277" t="s">
        <v>348</v>
      </c>
      <c r="R277" t="s">
        <v>470</v>
      </c>
      <c r="S277" t="s">
        <v>474</v>
      </c>
      <c r="T277" t="s">
        <v>475</v>
      </c>
      <c r="U277" s="10" t="s">
        <v>1061</v>
      </c>
      <c r="V277" s="10" t="s">
        <v>1085</v>
      </c>
      <c r="W277" s="10" t="s">
        <v>1085</v>
      </c>
      <c r="X277" s="10" t="s">
        <v>1068</v>
      </c>
      <c r="Y277" t="s">
        <v>39</v>
      </c>
      <c r="Z277" t="s">
        <v>40</v>
      </c>
      <c r="AA277" t="s">
        <v>63</v>
      </c>
    </row>
    <row r="278" spans="1:28" x14ac:dyDescent="0.8">
      <c r="A278">
        <v>1120</v>
      </c>
      <c r="B278">
        <v>1567</v>
      </c>
      <c r="C278" s="2">
        <v>44384</v>
      </c>
      <c r="D278" t="s">
        <v>384</v>
      </c>
      <c r="E278" t="s">
        <v>25</v>
      </c>
      <c r="F278" t="s">
        <v>26</v>
      </c>
      <c r="G278" t="s">
        <v>45</v>
      </c>
      <c r="H278" t="s">
        <v>476</v>
      </c>
      <c r="I278" t="s">
        <v>69</v>
      </c>
      <c r="J278" t="s">
        <v>295</v>
      </c>
      <c r="K278" t="s">
        <v>477</v>
      </c>
      <c r="L278" t="s">
        <v>478</v>
      </c>
      <c r="M278" t="s">
        <v>479</v>
      </c>
      <c r="N278" t="s">
        <v>52</v>
      </c>
      <c r="O278" t="s">
        <v>473</v>
      </c>
      <c r="P278" t="s">
        <v>85</v>
      </c>
      <c r="Q278" t="s">
        <v>348</v>
      </c>
      <c r="R278" t="s">
        <v>470</v>
      </c>
      <c r="S278" t="s">
        <v>474</v>
      </c>
      <c r="T278" t="s">
        <v>475</v>
      </c>
      <c r="U278" s="10" t="s">
        <v>1061</v>
      </c>
      <c r="V278" s="10" t="s">
        <v>1085</v>
      </c>
      <c r="W278" s="10" t="s">
        <v>1085</v>
      </c>
      <c r="X278" s="10" t="s">
        <v>1068</v>
      </c>
      <c r="Y278" t="s">
        <v>39</v>
      </c>
      <c r="Z278" t="s">
        <v>62</v>
      </c>
      <c r="AA278" t="s">
        <v>63</v>
      </c>
    </row>
    <row r="279" spans="1:28" x14ac:dyDescent="0.8">
      <c r="A279">
        <v>1119</v>
      </c>
      <c r="B279">
        <v>1566</v>
      </c>
      <c r="C279" s="2">
        <v>44384</v>
      </c>
      <c r="D279" t="s">
        <v>384</v>
      </c>
      <c r="E279" t="s">
        <v>25</v>
      </c>
      <c r="F279" t="s">
        <v>26</v>
      </c>
      <c r="G279" t="s">
        <v>45</v>
      </c>
      <c r="H279" t="s">
        <v>476</v>
      </c>
      <c r="I279" t="s">
        <v>69</v>
      </c>
      <c r="J279" t="s">
        <v>295</v>
      </c>
      <c r="K279" t="s">
        <v>477</v>
      </c>
      <c r="L279" t="s">
        <v>478</v>
      </c>
      <c r="M279" t="s">
        <v>479</v>
      </c>
      <c r="N279" t="s">
        <v>52</v>
      </c>
      <c r="O279" t="s">
        <v>473</v>
      </c>
      <c r="P279" t="s">
        <v>85</v>
      </c>
      <c r="Q279" t="s">
        <v>348</v>
      </c>
      <c r="R279" t="s">
        <v>470</v>
      </c>
      <c r="S279" t="s">
        <v>474</v>
      </c>
      <c r="T279" t="s">
        <v>475</v>
      </c>
      <c r="U279" s="10" t="s">
        <v>1061</v>
      </c>
      <c r="V279" s="10" t="s">
        <v>1085</v>
      </c>
      <c r="W279" s="10" t="s">
        <v>1085</v>
      </c>
      <c r="X279" s="10" t="s">
        <v>1068</v>
      </c>
      <c r="Y279" t="s">
        <v>39</v>
      </c>
      <c r="Z279" t="s">
        <v>40</v>
      </c>
      <c r="AA279" t="s">
        <v>63</v>
      </c>
    </row>
    <row r="280" spans="1:28" x14ac:dyDescent="0.8">
      <c r="A280">
        <v>1104</v>
      </c>
      <c r="B280">
        <v>1204</v>
      </c>
      <c r="C280" s="2">
        <v>44384</v>
      </c>
      <c r="D280" t="s">
        <v>384</v>
      </c>
      <c r="E280" t="s">
        <v>25</v>
      </c>
      <c r="F280" t="s">
        <v>26</v>
      </c>
      <c r="G280" t="s">
        <v>45</v>
      </c>
      <c r="H280" t="s">
        <v>476</v>
      </c>
      <c r="I280" t="s">
        <v>69</v>
      </c>
      <c r="J280" t="s">
        <v>295</v>
      </c>
      <c r="K280" t="s">
        <v>477</v>
      </c>
      <c r="L280" t="s">
        <v>478</v>
      </c>
      <c r="M280" t="s">
        <v>479</v>
      </c>
      <c r="N280" t="s">
        <v>52</v>
      </c>
      <c r="O280" t="s">
        <v>473</v>
      </c>
      <c r="P280" t="s">
        <v>85</v>
      </c>
      <c r="Q280" t="s">
        <v>348</v>
      </c>
      <c r="R280" t="s">
        <v>470</v>
      </c>
      <c r="S280" t="s">
        <v>474</v>
      </c>
      <c r="T280" t="s">
        <v>475</v>
      </c>
      <c r="U280" s="10" t="s">
        <v>1061</v>
      </c>
      <c r="V280" s="10" t="s">
        <v>1085</v>
      </c>
      <c r="W280" s="10" t="s">
        <v>1085</v>
      </c>
      <c r="X280" s="10" t="s">
        <v>1068</v>
      </c>
      <c r="Y280" t="s">
        <v>140</v>
      </c>
      <c r="Z280" t="s">
        <v>62</v>
      </c>
      <c r="AA280" t="s">
        <v>63</v>
      </c>
    </row>
    <row r="281" spans="1:28" x14ac:dyDescent="0.8">
      <c r="A281">
        <v>200</v>
      </c>
      <c r="B281">
        <v>1426</v>
      </c>
      <c r="C281" s="2">
        <v>44388</v>
      </c>
      <c r="D281" t="s">
        <v>124</v>
      </c>
      <c r="E281" t="s">
        <v>53</v>
      </c>
      <c r="F281" t="s">
        <v>26</v>
      </c>
      <c r="G281" t="s">
        <v>45</v>
      </c>
      <c r="H281" t="s">
        <v>68</v>
      </c>
      <c r="I281" t="s">
        <v>69</v>
      </c>
      <c r="J281" t="s">
        <v>70</v>
      </c>
      <c r="K281" t="s">
        <v>71</v>
      </c>
      <c r="L281" t="s">
        <v>72</v>
      </c>
      <c r="M281" t="s">
        <v>73</v>
      </c>
      <c r="N281" t="s">
        <v>61</v>
      </c>
      <c r="O281" t="s">
        <v>480</v>
      </c>
      <c r="P281" t="s">
        <v>85</v>
      </c>
      <c r="Q281" t="s">
        <v>348</v>
      </c>
      <c r="R281" t="s">
        <v>470</v>
      </c>
      <c r="S281" t="s">
        <v>474</v>
      </c>
      <c r="T281" t="s">
        <v>475</v>
      </c>
      <c r="U281" s="10" t="s">
        <v>1061</v>
      </c>
      <c r="V281" s="10" t="s">
        <v>1085</v>
      </c>
      <c r="W281" s="10" t="s">
        <v>1085</v>
      </c>
      <c r="X281" s="10" t="s">
        <v>1068</v>
      </c>
      <c r="Y281" t="s">
        <v>39</v>
      </c>
      <c r="Z281" t="s">
        <v>40</v>
      </c>
      <c r="AA281" t="s">
        <v>53</v>
      </c>
    </row>
    <row r="282" spans="1:28" x14ac:dyDescent="0.8">
      <c r="A282">
        <v>188</v>
      </c>
      <c r="B282">
        <v>1344</v>
      </c>
      <c r="C282" s="2">
        <v>44388</v>
      </c>
      <c r="D282" t="s">
        <v>124</v>
      </c>
      <c r="E282" t="s">
        <v>63</v>
      </c>
      <c r="F282" t="s">
        <v>26</v>
      </c>
      <c r="G282" t="s">
        <v>45</v>
      </c>
      <c r="H282" t="s">
        <v>476</v>
      </c>
      <c r="I282" t="s">
        <v>69</v>
      </c>
      <c r="J282" t="s">
        <v>295</v>
      </c>
      <c r="K282" t="s">
        <v>477</v>
      </c>
      <c r="L282" t="s">
        <v>478</v>
      </c>
      <c r="M282" t="s">
        <v>479</v>
      </c>
      <c r="N282" t="s">
        <v>52</v>
      </c>
      <c r="O282" t="s">
        <v>473</v>
      </c>
      <c r="P282" t="s">
        <v>85</v>
      </c>
      <c r="Q282" t="s">
        <v>348</v>
      </c>
      <c r="R282" t="s">
        <v>470</v>
      </c>
      <c r="S282" t="s">
        <v>474</v>
      </c>
      <c r="T282" t="s">
        <v>475</v>
      </c>
      <c r="U282" s="10" t="s">
        <v>1061</v>
      </c>
      <c r="V282" s="10" t="s">
        <v>1085</v>
      </c>
      <c r="W282" s="10" t="s">
        <v>1085</v>
      </c>
      <c r="X282" s="10" t="s">
        <v>1068</v>
      </c>
      <c r="Y282" t="s">
        <v>140</v>
      </c>
      <c r="Z282" t="s">
        <v>40</v>
      </c>
      <c r="AA282" t="s">
        <v>53</v>
      </c>
    </row>
    <row r="283" spans="1:28" x14ac:dyDescent="0.8">
      <c r="A283">
        <v>403</v>
      </c>
      <c r="B283">
        <v>499</v>
      </c>
      <c r="C283" s="2">
        <v>44384</v>
      </c>
      <c r="D283" t="s">
        <v>306</v>
      </c>
      <c r="E283" t="s">
        <v>63</v>
      </c>
      <c r="F283" t="s">
        <v>26</v>
      </c>
      <c r="G283" t="s">
        <v>27</v>
      </c>
      <c r="H283" t="s">
        <v>28</v>
      </c>
      <c r="I283" t="s">
        <v>29</v>
      </c>
      <c r="K283" t="s">
        <v>30</v>
      </c>
      <c r="L283" t="s">
        <v>59</v>
      </c>
      <c r="M283" t="s">
        <v>181</v>
      </c>
      <c r="O283" t="s">
        <v>480</v>
      </c>
      <c r="P283" t="s">
        <v>85</v>
      </c>
      <c r="Q283" t="s">
        <v>348</v>
      </c>
      <c r="R283" t="s">
        <v>470</v>
      </c>
      <c r="S283" t="s">
        <v>474</v>
      </c>
      <c r="T283" t="s">
        <v>475</v>
      </c>
      <c r="U283" s="10" t="s">
        <v>1061</v>
      </c>
      <c r="V283" s="10" t="s">
        <v>1085</v>
      </c>
      <c r="W283" s="10" t="s">
        <v>1085</v>
      </c>
      <c r="X283" s="10" t="s">
        <v>1068</v>
      </c>
      <c r="Y283" t="s">
        <v>39</v>
      </c>
      <c r="Z283" t="s">
        <v>40</v>
      </c>
      <c r="AA283" t="s">
        <v>53</v>
      </c>
      <c r="AB283" t="s">
        <v>222</v>
      </c>
    </row>
    <row r="284" spans="1:28" x14ac:dyDescent="0.8">
      <c r="A284">
        <v>402</v>
      </c>
      <c r="B284">
        <v>498</v>
      </c>
      <c r="C284" s="2">
        <v>44384</v>
      </c>
      <c r="D284" t="s">
        <v>306</v>
      </c>
      <c r="E284" t="s">
        <v>63</v>
      </c>
      <c r="F284" t="s">
        <v>26</v>
      </c>
      <c r="G284" t="s">
        <v>94</v>
      </c>
      <c r="H284" t="s">
        <v>95</v>
      </c>
      <c r="I284" t="s">
        <v>236</v>
      </c>
      <c r="J284" t="s">
        <v>237</v>
      </c>
      <c r="K284" t="s">
        <v>238</v>
      </c>
      <c r="L284" t="s">
        <v>239</v>
      </c>
      <c r="M284" t="s">
        <v>240</v>
      </c>
      <c r="N284" t="s">
        <v>101</v>
      </c>
      <c r="O284" t="s">
        <v>480</v>
      </c>
      <c r="P284" t="s">
        <v>85</v>
      </c>
      <c r="Q284" t="s">
        <v>348</v>
      </c>
      <c r="R284" t="s">
        <v>470</v>
      </c>
      <c r="S284" t="s">
        <v>474</v>
      </c>
      <c r="T284" t="s">
        <v>475</v>
      </c>
      <c r="U284" s="10" t="s">
        <v>1061</v>
      </c>
      <c r="V284" s="10" t="s">
        <v>1085</v>
      </c>
      <c r="W284" s="10" t="s">
        <v>1085</v>
      </c>
      <c r="X284" s="10" t="s">
        <v>1068</v>
      </c>
      <c r="Y284" t="s">
        <v>39</v>
      </c>
      <c r="Z284" t="s">
        <v>40</v>
      </c>
      <c r="AA284" t="s">
        <v>53</v>
      </c>
      <c r="AB284" t="s">
        <v>226</v>
      </c>
    </row>
    <row r="285" spans="1:28" x14ac:dyDescent="0.8">
      <c r="A285">
        <v>924</v>
      </c>
      <c r="B285">
        <v>1100</v>
      </c>
      <c r="C285" s="2">
        <v>44384</v>
      </c>
      <c r="D285" t="s">
        <v>242</v>
      </c>
      <c r="E285" t="s">
        <v>25</v>
      </c>
      <c r="F285" t="s">
        <v>26</v>
      </c>
      <c r="G285" t="s">
        <v>27</v>
      </c>
      <c r="H285" t="s">
        <v>28</v>
      </c>
      <c r="I285" t="s">
        <v>496</v>
      </c>
      <c r="K285" t="s">
        <v>497</v>
      </c>
      <c r="L285" t="s">
        <v>59</v>
      </c>
      <c r="M285" t="s">
        <v>498</v>
      </c>
      <c r="O285" t="s">
        <v>473</v>
      </c>
      <c r="P285" t="s">
        <v>85</v>
      </c>
      <c r="Q285" t="s">
        <v>348</v>
      </c>
      <c r="R285" t="s">
        <v>470</v>
      </c>
      <c r="S285" t="s">
        <v>474</v>
      </c>
      <c r="T285" t="s">
        <v>475</v>
      </c>
      <c r="U285" s="10" t="s">
        <v>1061</v>
      </c>
      <c r="V285" s="10" t="s">
        <v>1085</v>
      </c>
      <c r="W285" s="10" t="s">
        <v>1085</v>
      </c>
      <c r="X285" s="10" t="s">
        <v>1068</v>
      </c>
      <c r="Y285" t="s">
        <v>39</v>
      </c>
      <c r="Z285" t="s">
        <v>40</v>
      </c>
      <c r="AA285" t="s">
        <v>63</v>
      </c>
      <c r="AB285" t="s">
        <v>499</v>
      </c>
    </row>
    <row r="286" spans="1:28" x14ac:dyDescent="0.8">
      <c r="A286">
        <v>923</v>
      </c>
      <c r="B286">
        <v>1099</v>
      </c>
      <c r="C286" s="2">
        <v>44384</v>
      </c>
      <c r="D286" t="s">
        <v>242</v>
      </c>
      <c r="E286" t="s">
        <v>25</v>
      </c>
      <c r="F286" t="s">
        <v>26</v>
      </c>
      <c r="G286" t="s">
        <v>45</v>
      </c>
      <c r="H286" t="s">
        <v>68</v>
      </c>
      <c r="I286" t="s">
        <v>69</v>
      </c>
      <c r="J286" t="s">
        <v>70</v>
      </c>
      <c r="K286" t="s">
        <v>71</v>
      </c>
      <c r="L286" t="s">
        <v>72</v>
      </c>
      <c r="M286" t="s">
        <v>73</v>
      </c>
      <c r="N286" t="s">
        <v>61</v>
      </c>
      <c r="O286" t="s">
        <v>473</v>
      </c>
      <c r="P286" t="s">
        <v>85</v>
      </c>
      <c r="Q286" t="s">
        <v>348</v>
      </c>
      <c r="R286" t="s">
        <v>470</v>
      </c>
      <c r="S286" t="s">
        <v>474</v>
      </c>
      <c r="T286" t="s">
        <v>475</v>
      </c>
      <c r="U286" s="10" t="s">
        <v>1061</v>
      </c>
      <c r="V286" s="10" t="s">
        <v>1085</v>
      </c>
      <c r="W286" s="10" t="s">
        <v>1085</v>
      </c>
      <c r="X286" s="10" t="s">
        <v>1068</v>
      </c>
      <c r="Y286" t="s">
        <v>39</v>
      </c>
      <c r="Z286" t="s">
        <v>40</v>
      </c>
      <c r="AA286" t="s">
        <v>63</v>
      </c>
      <c r="AB286" t="s">
        <v>499</v>
      </c>
    </row>
    <row r="287" spans="1:28" x14ac:dyDescent="0.8">
      <c r="A287">
        <v>934</v>
      </c>
      <c r="B287">
        <v>1110</v>
      </c>
      <c r="C287" s="2">
        <v>44384</v>
      </c>
      <c r="D287" t="s">
        <v>242</v>
      </c>
      <c r="E287" t="s">
        <v>25</v>
      </c>
      <c r="F287" t="s">
        <v>26</v>
      </c>
      <c r="G287" t="s">
        <v>45</v>
      </c>
      <c r="H287" t="s">
        <v>476</v>
      </c>
      <c r="I287" t="s">
        <v>69</v>
      </c>
      <c r="J287" t="s">
        <v>295</v>
      </c>
      <c r="K287" t="s">
        <v>477</v>
      </c>
      <c r="L287" t="s">
        <v>478</v>
      </c>
      <c r="M287" t="s">
        <v>479</v>
      </c>
      <c r="N287" t="s">
        <v>52</v>
      </c>
      <c r="O287" t="s">
        <v>61</v>
      </c>
      <c r="P287" t="s">
        <v>85</v>
      </c>
      <c r="Q287" t="s">
        <v>348</v>
      </c>
      <c r="R287" t="s">
        <v>470</v>
      </c>
      <c r="S287" t="s">
        <v>474</v>
      </c>
      <c r="T287" t="s">
        <v>475</v>
      </c>
      <c r="U287" s="10" t="s">
        <v>1061</v>
      </c>
      <c r="V287" s="10" t="s">
        <v>1085</v>
      </c>
      <c r="W287" s="10" t="s">
        <v>1085</v>
      </c>
      <c r="X287" s="10" t="s">
        <v>1068</v>
      </c>
      <c r="Y287" t="s">
        <v>39</v>
      </c>
      <c r="Z287" t="s">
        <v>62</v>
      </c>
      <c r="AA287" t="s">
        <v>63</v>
      </c>
    </row>
    <row r="288" spans="1:28" x14ac:dyDescent="0.8">
      <c r="A288">
        <v>942</v>
      </c>
      <c r="B288">
        <v>1118</v>
      </c>
      <c r="C288" s="2">
        <v>44384</v>
      </c>
      <c r="D288" t="s">
        <v>242</v>
      </c>
      <c r="E288" t="s">
        <v>25</v>
      </c>
      <c r="F288" t="s">
        <v>26</v>
      </c>
      <c r="G288" t="s">
        <v>45</v>
      </c>
      <c r="H288" t="s">
        <v>476</v>
      </c>
      <c r="I288" t="s">
        <v>69</v>
      </c>
      <c r="J288" t="s">
        <v>295</v>
      </c>
      <c r="K288" t="s">
        <v>477</v>
      </c>
      <c r="L288" t="s">
        <v>478</v>
      </c>
      <c r="M288" t="s">
        <v>479</v>
      </c>
      <c r="N288" t="s">
        <v>52</v>
      </c>
      <c r="O288" t="s">
        <v>473</v>
      </c>
      <c r="P288" t="s">
        <v>85</v>
      </c>
      <c r="Q288" t="s">
        <v>348</v>
      </c>
      <c r="R288" t="s">
        <v>470</v>
      </c>
      <c r="S288" t="s">
        <v>474</v>
      </c>
      <c r="T288" t="s">
        <v>475</v>
      </c>
      <c r="U288" s="10" t="s">
        <v>1061</v>
      </c>
      <c r="V288" s="10" t="s">
        <v>1085</v>
      </c>
      <c r="W288" s="10" t="s">
        <v>1085</v>
      </c>
      <c r="X288" s="10" t="s">
        <v>1068</v>
      </c>
      <c r="Y288" t="s">
        <v>39</v>
      </c>
      <c r="Z288" t="s">
        <v>62</v>
      </c>
      <c r="AA288" t="s">
        <v>63</v>
      </c>
    </row>
    <row r="289" spans="1:28" x14ac:dyDescent="0.8">
      <c r="A289">
        <v>929</v>
      </c>
      <c r="B289">
        <v>1105</v>
      </c>
      <c r="C289" s="2">
        <v>44384</v>
      </c>
      <c r="D289" t="s">
        <v>242</v>
      </c>
      <c r="E289" t="s">
        <v>25</v>
      </c>
      <c r="F289" t="s">
        <v>26</v>
      </c>
      <c r="G289" t="s">
        <v>45</v>
      </c>
      <c r="H289" t="s">
        <v>476</v>
      </c>
      <c r="I289" t="s">
        <v>69</v>
      </c>
      <c r="J289" t="s">
        <v>295</v>
      </c>
      <c r="K289" t="s">
        <v>477</v>
      </c>
      <c r="L289" t="s">
        <v>478</v>
      </c>
      <c r="M289" t="s">
        <v>479</v>
      </c>
      <c r="N289" t="s">
        <v>61</v>
      </c>
      <c r="O289" t="s">
        <v>473</v>
      </c>
      <c r="P289" t="s">
        <v>85</v>
      </c>
      <c r="Q289" t="s">
        <v>348</v>
      </c>
      <c r="R289" t="s">
        <v>470</v>
      </c>
      <c r="S289" t="s">
        <v>474</v>
      </c>
      <c r="T289" t="s">
        <v>475</v>
      </c>
      <c r="U289" s="10" t="s">
        <v>1061</v>
      </c>
      <c r="V289" s="10" t="s">
        <v>1085</v>
      </c>
      <c r="W289" s="10" t="s">
        <v>1085</v>
      </c>
      <c r="X289" s="10" t="s">
        <v>1068</v>
      </c>
      <c r="Y289" t="s">
        <v>39</v>
      </c>
      <c r="Z289" t="s">
        <v>40</v>
      </c>
      <c r="AA289" t="s">
        <v>63</v>
      </c>
    </row>
    <row r="290" spans="1:28" x14ac:dyDescent="0.8">
      <c r="A290">
        <v>139</v>
      </c>
      <c r="B290">
        <v>1085</v>
      </c>
      <c r="C290" s="2">
        <v>44386</v>
      </c>
      <c r="D290" t="s">
        <v>93</v>
      </c>
      <c r="E290" t="s">
        <v>25</v>
      </c>
      <c r="F290" t="s">
        <v>26</v>
      </c>
      <c r="G290" t="s">
        <v>45</v>
      </c>
      <c r="H290" t="s">
        <v>55</v>
      </c>
      <c r="I290" t="s">
        <v>249</v>
      </c>
      <c r="J290" t="s">
        <v>250</v>
      </c>
      <c r="K290" t="s">
        <v>251</v>
      </c>
      <c r="L290" t="s">
        <v>323</v>
      </c>
      <c r="M290" t="s">
        <v>324</v>
      </c>
      <c r="N290" t="s">
        <v>61</v>
      </c>
      <c r="O290" t="s">
        <v>1047</v>
      </c>
      <c r="P290" t="s">
        <v>34</v>
      </c>
      <c r="Q290" t="s">
        <v>35</v>
      </c>
      <c r="R290" t="s">
        <v>1048</v>
      </c>
      <c r="S290" t="s">
        <v>1049</v>
      </c>
      <c r="T290" t="s">
        <v>1050</v>
      </c>
      <c r="U290" s="10" t="s">
        <v>1061</v>
      </c>
      <c r="V290" s="10" t="s">
        <v>1088</v>
      </c>
      <c r="W290" s="10" t="s">
        <v>1141</v>
      </c>
      <c r="X290" s="10" t="s">
        <v>1059</v>
      </c>
      <c r="Y290" t="s">
        <v>39</v>
      </c>
      <c r="Z290" t="s">
        <v>202</v>
      </c>
      <c r="AA290" t="s">
        <v>53</v>
      </c>
    </row>
    <row r="291" spans="1:28" x14ac:dyDescent="0.8">
      <c r="A291">
        <v>502</v>
      </c>
      <c r="B291">
        <v>791</v>
      </c>
      <c r="C291" s="2">
        <v>44386</v>
      </c>
      <c r="D291" t="s">
        <v>93</v>
      </c>
      <c r="E291" t="s">
        <v>53</v>
      </c>
      <c r="F291" t="s">
        <v>26</v>
      </c>
      <c r="G291" t="s">
        <v>45</v>
      </c>
      <c r="H291" t="s">
        <v>55</v>
      </c>
      <c r="I291" t="s">
        <v>249</v>
      </c>
      <c r="J291" t="s">
        <v>250</v>
      </c>
      <c r="K291" t="s">
        <v>251</v>
      </c>
      <c r="L291" t="s">
        <v>323</v>
      </c>
      <c r="M291" t="s">
        <v>324</v>
      </c>
      <c r="N291" t="s">
        <v>61</v>
      </c>
      <c r="O291" t="s">
        <v>1047</v>
      </c>
      <c r="P291" t="s">
        <v>34</v>
      </c>
      <c r="Q291" t="s">
        <v>35</v>
      </c>
      <c r="R291" t="s">
        <v>1048</v>
      </c>
      <c r="S291" t="s">
        <v>1049</v>
      </c>
      <c r="T291" t="s">
        <v>1050</v>
      </c>
      <c r="U291" s="10" t="s">
        <v>1061</v>
      </c>
      <c r="V291" s="10" t="s">
        <v>1088</v>
      </c>
      <c r="W291" s="10" t="s">
        <v>1141</v>
      </c>
      <c r="X291" s="10" t="s">
        <v>1059</v>
      </c>
      <c r="Y291" t="s">
        <v>39</v>
      </c>
      <c r="Z291" t="s">
        <v>40</v>
      </c>
      <c r="AA291" t="s">
        <v>63</v>
      </c>
    </row>
    <row r="292" spans="1:28" x14ac:dyDescent="0.8">
      <c r="A292">
        <v>138</v>
      </c>
      <c r="B292">
        <v>1084</v>
      </c>
      <c r="C292" s="2">
        <v>44386</v>
      </c>
      <c r="D292" t="s">
        <v>93</v>
      </c>
      <c r="E292" t="s">
        <v>63</v>
      </c>
      <c r="F292" t="s">
        <v>26</v>
      </c>
      <c r="G292" t="s">
        <v>94</v>
      </c>
      <c r="H292" t="s">
        <v>95</v>
      </c>
      <c r="I292" t="s">
        <v>96</v>
      </c>
      <c r="J292" t="s">
        <v>97</v>
      </c>
      <c r="K292" t="s">
        <v>98</v>
      </c>
      <c r="L292" t="s">
        <v>99</v>
      </c>
      <c r="M292" t="s">
        <v>100</v>
      </c>
      <c r="N292" t="s">
        <v>101</v>
      </c>
      <c r="O292" t="s">
        <v>1047</v>
      </c>
      <c r="P292" t="s">
        <v>34</v>
      </c>
      <c r="Q292" t="s">
        <v>35</v>
      </c>
      <c r="R292" t="s">
        <v>1048</v>
      </c>
      <c r="S292" t="s">
        <v>1049</v>
      </c>
      <c r="T292" t="s">
        <v>1050</v>
      </c>
      <c r="U292" s="10" t="s">
        <v>1061</v>
      </c>
      <c r="V292" s="10" t="s">
        <v>1088</v>
      </c>
      <c r="W292" s="10" t="s">
        <v>1141</v>
      </c>
      <c r="X292" s="10" t="s">
        <v>1059</v>
      </c>
      <c r="Y292" t="s">
        <v>39</v>
      </c>
      <c r="Z292" t="s">
        <v>40</v>
      </c>
      <c r="AA292" t="s">
        <v>53</v>
      </c>
      <c r="AB292" t="s">
        <v>1051</v>
      </c>
    </row>
    <row r="293" spans="1:28" x14ac:dyDescent="0.8">
      <c r="A293">
        <v>1777</v>
      </c>
      <c r="B293">
        <v>1495</v>
      </c>
      <c r="C293" s="2">
        <v>44387</v>
      </c>
      <c r="D293" t="s">
        <v>173</v>
      </c>
      <c r="E293" t="s">
        <v>150</v>
      </c>
      <c r="F293" t="s">
        <v>26</v>
      </c>
      <c r="G293" t="s">
        <v>45</v>
      </c>
      <c r="H293" t="s">
        <v>46</v>
      </c>
      <c r="I293" t="s">
        <v>47</v>
      </c>
      <c r="J293" t="s">
        <v>48</v>
      </c>
      <c r="K293" t="s">
        <v>49</v>
      </c>
      <c r="L293" t="s">
        <v>50</v>
      </c>
      <c r="M293" t="s">
        <v>51</v>
      </c>
      <c r="N293" t="s">
        <v>61</v>
      </c>
      <c r="O293" t="s">
        <v>1047</v>
      </c>
      <c r="P293" t="s">
        <v>34</v>
      </c>
      <c r="Q293" t="s">
        <v>35</v>
      </c>
      <c r="R293" t="s">
        <v>1048</v>
      </c>
      <c r="S293" t="s">
        <v>1049</v>
      </c>
      <c r="T293" t="s">
        <v>1050</v>
      </c>
      <c r="U293" s="10" t="s">
        <v>1061</v>
      </c>
      <c r="V293" s="10" t="s">
        <v>1088</v>
      </c>
      <c r="W293" s="10" t="s">
        <v>1141</v>
      </c>
      <c r="X293" s="10" t="s">
        <v>1059</v>
      </c>
      <c r="Y293" t="s">
        <v>39</v>
      </c>
      <c r="Z293" t="s">
        <v>40</v>
      </c>
      <c r="AA293" t="s">
        <v>41</v>
      </c>
      <c r="AB293" t="s">
        <v>154</v>
      </c>
    </row>
    <row r="294" spans="1:28" x14ac:dyDescent="0.8">
      <c r="A294">
        <v>811</v>
      </c>
      <c r="B294">
        <v>798</v>
      </c>
      <c r="C294" s="2">
        <v>44387</v>
      </c>
      <c r="D294" t="s">
        <v>149</v>
      </c>
      <c r="E294" t="s">
        <v>25</v>
      </c>
      <c r="F294" t="s">
        <v>26</v>
      </c>
      <c r="G294" t="s">
        <v>45</v>
      </c>
      <c r="H294" t="s">
        <v>155</v>
      </c>
      <c r="I294" t="s">
        <v>69</v>
      </c>
      <c r="J294" t="s">
        <v>156</v>
      </c>
      <c r="K294" t="s">
        <v>157</v>
      </c>
      <c r="L294" t="s">
        <v>158</v>
      </c>
      <c r="M294" t="s">
        <v>159</v>
      </c>
      <c r="N294" t="s">
        <v>52</v>
      </c>
      <c r="O294" t="s">
        <v>1047</v>
      </c>
      <c r="P294" t="s">
        <v>34</v>
      </c>
      <c r="Q294" t="s">
        <v>35</v>
      </c>
      <c r="R294" t="s">
        <v>1048</v>
      </c>
      <c r="S294" t="s">
        <v>1049</v>
      </c>
      <c r="T294" t="s">
        <v>1050</v>
      </c>
      <c r="U294" s="10" t="s">
        <v>1061</v>
      </c>
      <c r="V294" s="10" t="s">
        <v>1088</v>
      </c>
      <c r="W294" s="10" t="s">
        <v>1141</v>
      </c>
      <c r="X294" s="10" t="s">
        <v>1059</v>
      </c>
      <c r="Y294" t="s">
        <v>39</v>
      </c>
      <c r="Z294" t="s">
        <v>40</v>
      </c>
      <c r="AA294" t="s">
        <v>63</v>
      </c>
    </row>
    <row r="295" spans="1:28" x14ac:dyDescent="0.8">
      <c r="A295">
        <v>802</v>
      </c>
      <c r="B295">
        <v>1331</v>
      </c>
      <c r="C295" s="2">
        <v>44387</v>
      </c>
      <c r="D295" t="s">
        <v>149</v>
      </c>
      <c r="E295" t="s">
        <v>25</v>
      </c>
      <c r="F295" t="s">
        <v>26</v>
      </c>
      <c r="G295" t="s">
        <v>45</v>
      </c>
      <c r="H295" t="s">
        <v>155</v>
      </c>
      <c r="I295" t="s">
        <v>69</v>
      </c>
      <c r="J295" t="s">
        <v>156</v>
      </c>
      <c r="K295" t="s">
        <v>157</v>
      </c>
      <c r="L295" t="s">
        <v>158</v>
      </c>
      <c r="M295" t="s">
        <v>159</v>
      </c>
      <c r="N295" t="s">
        <v>52</v>
      </c>
      <c r="O295" t="s">
        <v>1047</v>
      </c>
      <c r="P295" t="s">
        <v>34</v>
      </c>
      <c r="Q295" t="s">
        <v>35</v>
      </c>
      <c r="R295" t="s">
        <v>1048</v>
      </c>
      <c r="S295" t="s">
        <v>1049</v>
      </c>
      <c r="T295" t="s">
        <v>1050</v>
      </c>
      <c r="U295" s="10" t="s">
        <v>1061</v>
      </c>
      <c r="V295" s="10" t="s">
        <v>1088</v>
      </c>
      <c r="W295" s="10" t="s">
        <v>1141</v>
      </c>
      <c r="X295" s="10" t="s">
        <v>1059</v>
      </c>
      <c r="Y295" t="s">
        <v>39</v>
      </c>
      <c r="Z295" t="s">
        <v>40</v>
      </c>
      <c r="AA295" t="s">
        <v>63</v>
      </c>
    </row>
    <row r="296" spans="1:28" x14ac:dyDescent="0.8">
      <c r="A296">
        <v>941</v>
      </c>
      <c r="B296">
        <v>1117</v>
      </c>
      <c r="C296" s="2">
        <v>44384</v>
      </c>
      <c r="D296" t="s">
        <v>242</v>
      </c>
      <c r="E296" t="s">
        <v>150</v>
      </c>
      <c r="F296" t="s">
        <v>26</v>
      </c>
      <c r="G296" t="s">
        <v>45</v>
      </c>
      <c r="H296" t="s">
        <v>68</v>
      </c>
      <c r="I296" t="s">
        <v>69</v>
      </c>
      <c r="J296" t="s">
        <v>70</v>
      </c>
      <c r="K296" t="s">
        <v>71</v>
      </c>
      <c r="L296" t="s">
        <v>72</v>
      </c>
      <c r="M296" t="s">
        <v>73</v>
      </c>
      <c r="N296" t="s">
        <v>61</v>
      </c>
      <c r="O296" t="s">
        <v>1047</v>
      </c>
      <c r="P296" t="s">
        <v>34</v>
      </c>
      <c r="Q296" t="s">
        <v>35</v>
      </c>
      <c r="R296" t="s">
        <v>1048</v>
      </c>
      <c r="S296" t="s">
        <v>1049</v>
      </c>
      <c r="T296" t="s">
        <v>1050</v>
      </c>
      <c r="U296" s="10" t="s">
        <v>1061</v>
      </c>
      <c r="V296" s="10" t="s">
        <v>1088</v>
      </c>
      <c r="W296" s="10" t="s">
        <v>1141</v>
      </c>
      <c r="X296" s="10" t="s">
        <v>1059</v>
      </c>
      <c r="Y296" t="s">
        <v>39</v>
      </c>
      <c r="Z296" t="s">
        <v>40</v>
      </c>
      <c r="AA296" t="s">
        <v>63</v>
      </c>
    </row>
    <row r="297" spans="1:28" x14ac:dyDescent="0.8">
      <c r="A297">
        <v>569</v>
      </c>
      <c r="B297">
        <v>200</v>
      </c>
      <c r="C297" s="2">
        <v>44388</v>
      </c>
      <c r="D297" t="s">
        <v>328</v>
      </c>
      <c r="E297" t="s">
        <v>63</v>
      </c>
      <c r="F297" t="s">
        <v>26</v>
      </c>
      <c r="G297" t="s">
        <v>45</v>
      </c>
      <c r="H297" t="s">
        <v>155</v>
      </c>
      <c r="I297" t="s">
        <v>69</v>
      </c>
      <c r="J297" t="s">
        <v>156</v>
      </c>
      <c r="K297" t="s">
        <v>157</v>
      </c>
      <c r="L297" t="s">
        <v>158</v>
      </c>
      <c r="M297" t="s">
        <v>159</v>
      </c>
      <c r="N297" t="s">
        <v>61</v>
      </c>
      <c r="O297" t="s">
        <v>511</v>
      </c>
      <c r="P297" t="s">
        <v>34</v>
      </c>
      <c r="Q297" t="s">
        <v>35</v>
      </c>
      <c r="R297" t="s">
        <v>512</v>
      </c>
      <c r="S297" t="s">
        <v>131</v>
      </c>
      <c r="T297" t="s">
        <v>513</v>
      </c>
      <c r="U297" s="10" t="s">
        <v>1061</v>
      </c>
      <c r="V297" s="10" t="s">
        <v>1088</v>
      </c>
      <c r="W297" s="10" t="s">
        <v>1064</v>
      </c>
      <c r="X297" s="10" t="s">
        <v>1068</v>
      </c>
      <c r="Y297" t="s">
        <v>140</v>
      </c>
      <c r="Z297" t="s">
        <v>40</v>
      </c>
      <c r="AA297" t="s">
        <v>63</v>
      </c>
    </row>
    <row r="298" spans="1:28" x14ac:dyDescent="0.8">
      <c r="A298">
        <v>944</v>
      </c>
      <c r="B298">
        <v>1120</v>
      </c>
      <c r="C298" s="2">
        <v>44384</v>
      </c>
      <c r="D298" t="s">
        <v>242</v>
      </c>
      <c r="E298" t="s">
        <v>125</v>
      </c>
      <c r="F298" t="s">
        <v>26</v>
      </c>
      <c r="G298" t="s">
        <v>45</v>
      </c>
      <c r="H298" t="s">
        <v>68</v>
      </c>
      <c r="I298" t="s">
        <v>69</v>
      </c>
      <c r="J298" t="s">
        <v>70</v>
      </c>
      <c r="K298" t="s">
        <v>71</v>
      </c>
      <c r="L298" t="s">
        <v>72</v>
      </c>
      <c r="M298" t="s">
        <v>73</v>
      </c>
      <c r="N298" t="s">
        <v>61</v>
      </c>
      <c r="O298" t="s">
        <v>511</v>
      </c>
      <c r="P298" t="s">
        <v>34</v>
      </c>
      <c r="Q298" t="s">
        <v>35</v>
      </c>
      <c r="R298" t="s">
        <v>512</v>
      </c>
      <c r="S298" t="s">
        <v>131</v>
      </c>
      <c r="T298" t="s">
        <v>513</v>
      </c>
      <c r="U298" s="10" t="s">
        <v>1061</v>
      </c>
      <c r="V298" s="10" t="s">
        <v>1088</v>
      </c>
      <c r="W298" s="10" t="s">
        <v>1064</v>
      </c>
      <c r="X298" s="10" t="s">
        <v>1068</v>
      </c>
      <c r="Y298" t="s">
        <v>39</v>
      </c>
      <c r="Z298" t="s">
        <v>40</v>
      </c>
      <c r="AA298" t="s">
        <v>63</v>
      </c>
    </row>
    <row r="299" spans="1:28" x14ac:dyDescent="0.8">
      <c r="A299">
        <v>168</v>
      </c>
      <c r="B299">
        <v>1254</v>
      </c>
      <c r="C299" s="2">
        <v>44388</v>
      </c>
      <c r="D299" t="s">
        <v>235</v>
      </c>
      <c r="E299" t="s">
        <v>25</v>
      </c>
      <c r="F299" t="s">
        <v>26</v>
      </c>
      <c r="G299" t="s">
        <v>45</v>
      </c>
      <c r="H299" t="s">
        <v>68</v>
      </c>
      <c r="I299" t="s">
        <v>69</v>
      </c>
      <c r="J299" t="s">
        <v>70</v>
      </c>
      <c r="K299" t="s">
        <v>71</v>
      </c>
      <c r="L299" t="s">
        <v>72</v>
      </c>
      <c r="M299" t="s">
        <v>73</v>
      </c>
      <c r="N299" t="s">
        <v>61</v>
      </c>
      <c r="O299" t="s">
        <v>863</v>
      </c>
      <c r="P299" t="s">
        <v>85</v>
      </c>
      <c r="Q299" t="s">
        <v>864</v>
      </c>
      <c r="R299" t="s">
        <v>865</v>
      </c>
      <c r="S299" t="s">
        <v>866</v>
      </c>
      <c r="T299" t="s">
        <v>867</v>
      </c>
      <c r="U299" s="10" t="s">
        <v>1061</v>
      </c>
      <c r="V299" s="10" t="s">
        <v>1105</v>
      </c>
      <c r="W299" s="10" t="s">
        <v>1109</v>
      </c>
      <c r="X299" s="10" t="s">
        <v>1063</v>
      </c>
      <c r="Y299" t="s">
        <v>39</v>
      </c>
      <c r="Z299" t="s">
        <v>62</v>
      </c>
      <c r="AA299" t="s">
        <v>53</v>
      </c>
    </row>
    <row r="300" spans="1:28" x14ac:dyDescent="0.8">
      <c r="A300">
        <v>248</v>
      </c>
      <c r="B300">
        <v>1299</v>
      </c>
      <c r="C300" s="2">
        <v>44384</v>
      </c>
      <c r="D300" t="s">
        <v>24</v>
      </c>
      <c r="E300" t="s">
        <v>150</v>
      </c>
      <c r="F300" t="s">
        <v>26</v>
      </c>
      <c r="G300" t="s">
        <v>45</v>
      </c>
      <c r="H300" t="s">
        <v>68</v>
      </c>
      <c r="I300" t="s">
        <v>69</v>
      </c>
      <c r="J300" t="s">
        <v>70</v>
      </c>
      <c r="K300" t="s">
        <v>71</v>
      </c>
      <c r="L300" t="s">
        <v>72</v>
      </c>
      <c r="M300" t="s">
        <v>73</v>
      </c>
      <c r="N300" t="s">
        <v>61</v>
      </c>
      <c r="O300" t="s">
        <v>582</v>
      </c>
      <c r="P300" t="s">
        <v>34</v>
      </c>
      <c r="Q300" t="s">
        <v>35</v>
      </c>
      <c r="R300" t="s">
        <v>583</v>
      </c>
      <c r="S300" t="s">
        <v>584</v>
      </c>
      <c r="T300" t="s">
        <v>585</v>
      </c>
      <c r="U300" s="10" t="s">
        <v>1055</v>
      </c>
      <c r="V300" s="10" t="s">
        <v>1077</v>
      </c>
      <c r="W300" s="10" t="s">
        <v>1075</v>
      </c>
      <c r="X300" s="10" t="s">
        <v>1059</v>
      </c>
      <c r="Y300" t="s">
        <v>39</v>
      </c>
      <c r="Z300" t="s">
        <v>40</v>
      </c>
      <c r="AA300" t="s">
        <v>53</v>
      </c>
    </row>
    <row r="301" spans="1:28" x14ac:dyDescent="0.8">
      <c r="A301">
        <v>1395</v>
      </c>
      <c r="B301">
        <v>2428</v>
      </c>
      <c r="C301" s="2">
        <v>44386</v>
      </c>
      <c r="D301" t="s">
        <v>67</v>
      </c>
      <c r="E301" t="s">
        <v>44</v>
      </c>
      <c r="F301" t="s">
        <v>26</v>
      </c>
      <c r="G301" t="s">
        <v>45</v>
      </c>
      <c r="H301" t="s">
        <v>46</v>
      </c>
      <c r="I301" t="s">
        <v>47</v>
      </c>
      <c r="J301" t="s">
        <v>48</v>
      </c>
      <c r="K301" t="s">
        <v>49</v>
      </c>
      <c r="L301" t="s">
        <v>50</v>
      </c>
      <c r="M301" t="s">
        <v>51</v>
      </c>
      <c r="N301" t="s">
        <v>61</v>
      </c>
      <c r="O301" t="s">
        <v>582</v>
      </c>
      <c r="P301" t="s">
        <v>34</v>
      </c>
      <c r="Q301" t="s">
        <v>35</v>
      </c>
      <c r="R301" t="s">
        <v>583</v>
      </c>
      <c r="S301" t="s">
        <v>584</v>
      </c>
      <c r="T301" t="s">
        <v>585</v>
      </c>
      <c r="U301" s="10" t="s">
        <v>1055</v>
      </c>
      <c r="V301" s="10" t="s">
        <v>1077</v>
      </c>
      <c r="W301" s="10" t="s">
        <v>1075</v>
      </c>
      <c r="X301" s="10" t="s">
        <v>1059</v>
      </c>
      <c r="Y301" t="s">
        <v>39</v>
      </c>
      <c r="Z301" t="s">
        <v>40</v>
      </c>
      <c r="AA301" t="s">
        <v>63</v>
      </c>
    </row>
    <row r="302" spans="1:28" x14ac:dyDescent="0.8">
      <c r="A302">
        <v>1554</v>
      </c>
      <c r="B302">
        <v>298</v>
      </c>
      <c r="C302" s="2">
        <v>44386</v>
      </c>
      <c r="D302" t="s">
        <v>93</v>
      </c>
      <c r="E302" t="s">
        <v>25</v>
      </c>
      <c r="F302" t="s">
        <v>26</v>
      </c>
      <c r="G302" t="s">
        <v>45</v>
      </c>
      <c r="H302" t="s">
        <v>55</v>
      </c>
      <c r="I302" t="s">
        <v>69</v>
      </c>
      <c r="J302" t="s">
        <v>295</v>
      </c>
      <c r="K302" t="s">
        <v>296</v>
      </c>
      <c r="L302" t="s">
        <v>65</v>
      </c>
      <c r="M302" t="s">
        <v>297</v>
      </c>
      <c r="N302" t="s">
        <v>61</v>
      </c>
      <c r="O302" t="s">
        <v>582</v>
      </c>
      <c r="P302" t="s">
        <v>34</v>
      </c>
      <c r="Q302" t="s">
        <v>35</v>
      </c>
      <c r="R302" t="s">
        <v>583</v>
      </c>
      <c r="S302" t="s">
        <v>584</v>
      </c>
      <c r="T302" t="s">
        <v>585</v>
      </c>
      <c r="U302" s="10" t="s">
        <v>1055</v>
      </c>
      <c r="V302" s="10" t="s">
        <v>1077</v>
      </c>
      <c r="W302" s="10" t="s">
        <v>1075</v>
      </c>
      <c r="X302" s="10" t="s">
        <v>1059</v>
      </c>
      <c r="Y302" t="s">
        <v>140</v>
      </c>
      <c r="Z302" t="s">
        <v>62</v>
      </c>
      <c r="AA302" t="s">
        <v>125</v>
      </c>
    </row>
    <row r="303" spans="1:28" x14ac:dyDescent="0.8">
      <c r="A303">
        <v>514</v>
      </c>
      <c r="B303">
        <v>54</v>
      </c>
      <c r="C303" s="2">
        <v>44386</v>
      </c>
      <c r="D303" t="s">
        <v>93</v>
      </c>
      <c r="E303" t="s">
        <v>25</v>
      </c>
      <c r="F303" t="s">
        <v>26</v>
      </c>
      <c r="G303" t="s">
        <v>45</v>
      </c>
      <c r="H303" t="s">
        <v>55</v>
      </c>
      <c r="I303" t="s">
        <v>69</v>
      </c>
      <c r="J303" t="s">
        <v>295</v>
      </c>
      <c r="K303" t="s">
        <v>296</v>
      </c>
      <c r="L303" t="s">
        <v>65</v>
      </c>
      <c r="M303" t="s">
        <v>297</v>
      </c>
      <c r="N303" t="s">
        <v>61</v>
      </c>
      <c r="O303" t="s">
        <v>582</v>
      </c>
      <c r="P303" t="s">
        <v>34</v>
      </c>
      <c r="Q303" t="s">
        <v>35</v>
      </c>
      <c r="R303" t="s">
        <v>583</v>
      </c>
      <c r="S303" t="s">
        <v>584</v>
      </c>
      <c r="T303" t="s">
        <v>585</v>
      </c>
      <c r="U303" s="10" t="s">
        <v>1055</v>
      </c>
      <c r="V303" s="10" t="s">
        <v>1077</v>
      </c>
      <c r="W303" s="10" t="s">
        <v>1075</v>
      </c>
      <c r="X303" s="10" t="s">
        <v>1059</v>
      </c>
      <c r="Y303" t="s">
        <v>39</v>
      </c>
      <c r="Z303" t="s">
        <v>62</v>
      </c>
      <c r="AA303" t="s">
        <v>63</v>
      </c>
    </row>
    <row r="304" spans="1:28" x14ac:dyDescent="0.8">
      <c r="A304">
        <v>143</v>
      </c>
      <c r="B304">
        <v>1089</v>
      </c>
      <c r="C304" s="2">
        <v>44386</v>
      </c>
      <c r="D304" t="s">
        <v>93</v>
      </c>
      <c r="E304" t="s">
        <v>53</v>
      </c>
      <c r="F304" t="s">
        <v>26</v>
      </c>
      <c r="G304" t="s">
        <v>45</v>
      </c>
      <c r="H304" t="s">
        <v>46</v>
      </c>
      <c r="I304" t="s">
        <v>47</v>
      </c>
      <c r="J304" t="s">
        <v>48</v>
      </c>
      <c r="K304" t="s">
        <v>49</v>
      </c>
      <c r="L304" t="s">
        <v>50</v>
      </c>
      <c r="M304" t="s">
        <v>51</v>
      </c>
      <c r="N304" t="s">
        <v>61</v>
      </c>
      <c r="O304" t="s">
        <v>582</v>
      </c>
      <c r="P304" t="s">
        <v>34</v>
      </c>
      <c r="Q304" t="s">
        <v>35</v>
      </c>
      <c r="R304" t="s">
        <v>583</v>
      </c>
      <c r="S304" t="s">
        <v>584</v>
      </c>
      <c r="T304" t="s">
        <v>585</v>
      </c>
      <c r="U304" s="10" t="s">
        <v>1055</v>
      </c>
      <c r="V304" s="10" t="s">
        <v>1077</v>
      </c>
      <c r="W304" s="10" t="s">
        <v>1075</v>
      </c>
      <c r="X304" s="10" t="s">
        <v>1059</v>
      </c>
      <c r="Y304" t="s">
        <v>39</v>
      </c>
      <c r="Z304" t="s">
        <v>40</v>
      </c>
      <c r="AA304" t="s">
        <v>53</v>
      </c>
    </row>
    <row r="305" spans="1:28" x14ac:dyDescent="0.8">
      <c r="A305">
        <v>1761</v>
      </c>
      <c r="B305">
        <v>1479</v>
      </c>
      <c r="C305" s="2">
        <v>44387</v>
      </c>
      <c r="D305" t="s">
        <v>173</v>
      </c>
      <c r="E305" t="s">
        <v>63</v>
      </c>
      <c r="F305" t="s">
        <v>26</v>
      </c>
      <c r="G305" t="s">
        <v>45</v>
      </c>
      <c r="H305" t="s">
        <v>68</v>
      </c>
      <c r="I305" t="s">
        <v>69</v>
      </c>
      <c r="J305" t="s">
        <v>70</v>
      </c>
      <c r="K305" t="s">
        <v>71</v>
      </c>
      <c r="L305" t="s">
        <v>72</v>
      </c>
      <c r="M305" t="s">
        <v>73</v>
      </c>
      <c r="N305" t="s">
        <v>61</v>
      </c>
      <c r="O305" t="s">
        <v>582</v>
      </c>
      <c r="P305" t="s">
        <v>34</v>
      </c>
      <c r="Q305" t="s">
        <v>35</v>
      </c>
      <c r="R305" t="s">
        <v>583</v>
      </c>
      <c r="S305" t="s">
        <v>584</v>
      </c>
      <c r="T305" t="s">
        <v>585</v>
      </c>
      <c r="U305" s="10" t="s">
        <v>1055</v>
      </c>
      <c r="V305" s="10" t="s">
        <v>1077</v>
      </c>
      <c r="W305" s="10" t="s">
        <v>1075</v>
      </c>
      <c r="X305" s="10" t="s">
        <v>1059</v>
      </c>
      <c r="Y305" t="s">
        <v>39</v>
      </c>
      <c r="Z305" t="s">
        <v>40</v>
      </c>
      <c r="AA305" t="s">
        <v>41</v>
      </c>
    </row>
    <row r="306" spans="1:28" x14ac:dyDescent="0.8">
      <c r="A306">
        <v>1401</v>
      </c>
      <c r="B306">
        <v>2148</v>
      </c>
      <c r="C306" s="2">
        <v>44387</v>
      </c>
      <c r="D306" t="s">
        <v>173</v>
      </c>
      <c r="E306" t="s">
        <v>25</v>
      </c>
      <c r="F306" t="s">
        <v>26</v>
      </c>
      <c r="G306" t="s">
        <v>45</v>
      </c>
      <c r="H306" t="s">
        <v>68</v>
      </c>
      <c r="I306" t="s">
        <v>69</v>
      </c>
      <c r="J306" t="s">
        <v>70</v>
      </c>
      <c r="K306" t="s">
        <v>71</v>
      </c>
      <c r="L306" t="s">
        <v>72</v>
      </c>
      <c r="M306" t="s">
        <v>73</v>
      </c>
      <c r="N306" t="s">
        <v>61</v>
      </c>
      <c r="O306" t="s">
        <v>582</v>
      </c>
      <c r="P306" t="s">
        <v>34</v>
      </c>
      <c r="Q306" t="s">
        <v>35</v>
      </c>
      <c r="R306" t="s">
        <v>583</v>
      </c>
      <c r="S306" t="s">
        <v>584</v>
      </c>
      <c r="T306" t="s">
        <v>585</v>
      </c>
      <c r="U306" s="10" t="s">
        <v>1055</v>
      </c>
      <c r="V306" s="10" t="s">
        <v>1077</v>
      </c>
      <c r="W306" s="10" t="s">
        <v>1075</v>
      </c>
      <c r="X306" s="10" t="s">
        <v>1059</v>
      </c>
      <c r="Y306" t="s">
        <v>140</v>
      </c>
      <c r="Z306" t="s">
        <v>40</v>
      </c>
      <c r="AA306" t="s">
        <v>63</v>
      </c>
    </row>
    <row r="307" spans="1:28" x14ac:dyDescent="0.8">
      <c r="A307">
        <v>1400</v>
      </c>
      <c r="B307">
        <v>2147</v>
      </c>
      <c r="C307" s="2">
        <v>44387</v>
      </c>
      <c r="D307" t="s">
        <v>173</v>
      </c>
      <c r="E307" t="s">
        <v>25</v>
      </c>
      <c r="F307" t="s">
        <v>26</v>
      </c>
      <c r="G307" t="s">
        <v>45</v>
      </c>
      <c r="H307" t="s">
        <v>68</v>
      </c>
      <c r="I307" t="s">
        <v>69</v>
      </c>
      <c r="J307" t="s">
        <v>70</v>
      </c>
      <c r="K307" t="s">
        <v>71</v>
      </c>
      <c r="L307" t="s">
        <v>72</v>
      </c>
      <c r="M307" t="s">
        <v>73</v>
      </c>
      <c r="N307" t="s">
        <v>61</v>
      </c>
      <c r="O307" t="s">
        <v>582</v>
      </c>
      <c r="P307" t="s">
        <v>34</v>
      </c>
      <c r="Q307" t="s">
        <v>35</v>
      </c>
      <c r="R307" t="s">
        <v>583</v>
      </c>
      <c r="S307" t="s">
        <v>584</v>
      </c>
      <c r="T307" t="s">
        <v>585</v>
      </c>
      <c r="U307" s="10" t="s">
        <v>1055</v>
      </c>
      <c r="V307" s="10" t="s">
        <v>1077</v>
      </c>
      <c r="W307" s="10" t="s">
        <v>1075</v>
      </c>
      <c r="X307" s="10" t="s">
        <v>1059</v>
      </c>
      <c r="Y307" t="s">
        <v>140</v>
      </c>
      <c r="Z307" t="s">
        <v>40</v>
      </c>
      <c r="AA307" t="s">
        <v>63</v>
      </c>
    </row>
    <row r="308" spans="1:28" x14ac:dyDescent="0.8">
      <c r="A308">
        <v>1421</v>
      </c>
      <c r="B308">
        <v>2168</v>
      </c>
      <c r="C308" s="2">
        <v>44387</v>
      </c>
      <c r="D308" t="s">
        <v>173</v>
      </c>
      <c r="E308" t="s">
        <v>63</v>
      </c>
      <c r="F308" t="s">
        <v>26</v>
      </c>
      <c r="G308" t="s">
        <v>45</v>
      </c>
      <c r="H308" t="s">
        <v>155</v>
      </c>
      <c r="I308" t="s">
        <v>69</v>
      </c>
      <c r="J308" t="s">
        <v>156</v>
      </c>
      <c r="K308" t="s">
        <v>157</v>
      </c>
      <c r="L308" t="s">
        <v>586</v>
      </c>
      <c r="M308" t="s">
        <v>587</v>
      </c>
      <c r="N308" t="s">
        <v>61</v>
      </c>
      <c r="O308" t="s">
        <v>582</v>
      </c>
      <c r="P308" t="s">
        <v>34</v>
      </c>
      <c r="Q308" t="s">
        <v>35</v>
      </c>
      <c r="R308" t="s">
        <v>583</v>
      </c>
      <c r="S308" t="s">
        <v>584</v>
      </c>
      <c r="T308" t="s">
        <v>585</v>
      </c>
      <c r="U308" s="10" t="s">
        <v>1055</v>
      </c>
      <c r="V308" s="10" t="s">
        <v>1077</v>
      </c>
      <c r="W308" s="10" t="s">
        <v>1075</v>
      </c>
      <c r="X308" s="10" t="s">
        <v>1059</v>
      </c>
      <c r="Y308" t="s">
        <v>39</v>
      </c>
      <c r="Z308" t="s">
        <v>40</v>
      </c>
      <c r="AA308" t="s">
        <v>63</v>
      </c>
    </row>
    <row r="309" spans="1:28" x14ac:dyDescent="0.8">
      <c r="A309">
        <v>1436</v>
      </c>
      <c r="B309">
        <v>2233</v>
      </c>
      <c r="C309" s="2">
        <v>44387</v>
      </c>
      <c r="D309" t="s">
        <v>173</v>
      </c>
      <c r="E309" t="s">
        <v>63</v>
      </c>
      <c r="F309" t="s">
        <v>26</v>
      </c>
      <c r="G309" t="s">
        <v>45</v>
      </c>
      <c r="H309" t="s">
        <v>55</v>
      </c>
      <c r="I309" t="s">
        <v>69</v>
      </c>
      <c r="J309" t="s">
        <v>295</v>
      </c>
      <c r="K309" t="s">
        <v>296</v>
      </c>
      <c r="L309" t="s">
        <v>65</v>
      </c>
      <c r="M309" t="s">
        <v>297</v>
      </c>
      <c r="N309" t="s">
        <v>61</v>
      </c>
      <c r="O309" t="s">
        <v>582</v>
      </c>
      <c r="P309" t="s">
        <v>34</v>
      </c>
      <c r="Q309" t="s">
        <v>35</v>
      </c>
      <c r="R309" t="s">
        <v>583</v>
      </c>
      <c r="S309" t="s">
        <v>584</v>
      </c>
      <c r="T309" t="s">
        <v>585</v>
      </c>
      <c r="U309" s="10" t="s">
        <v>1055</v>
      </c>
      <c r="V309" s="10" t="s">
        <v>1077</v>
      </c>
      <c r="W309" s="10" t="s">
        <v>1075</v>
      </c>
      <c r="X309" s="10" t="s">
        <v>1059</v>
      </c>
      <c r="Y309" t="s">
        <v>39</v>
      </c>
      <c r="Z309" t="s">
        <v>40</v>
      </c>
      <c r="AA309" t="s">
        <v>63</v>
      </c>
    </row>
    <row r="310" spans="1:28" x14ac:dyDescent="0.8">
      <c r="A310">
        <v>1417</v>
      </c>
      <c r="B310">
        <v>2164</v>
      </c>
      <c r="C310" s="2">
        <v>44387</v>
      </c>
      <c r="D310" t="s">
        <v>173</v>
      </c>
      <c r="E310" t="s">
        <v>63</v>
      </c>
      <c r="F310" t="s">
        <v>26</v>
      </c>
      <c r="G310" t="s">
        <v>45</v>
      </c>
      <c r="H310" t="s">
        <v>55</v>
      </c>
      <c r="I310" t="s">
        <v>69</v>
      </c>
      <c r="J310" t="s">
        <v>295</v>
      </c>
      <c r="K310" t="s">
        <v>296</v>
      </c>
      <c r="L310" t="s">
        <v>65</v>
      </c>
      <c r="M310" t="s">
        <v>297</v>
      </c>
      <c r="N310" t="s">
        <v>61</v>
      </c>
      <c r="O310" t="s">
        <v>582</v>
      </c>
      <c r="P310" t="s">
        <v>34</v>
      </c>
      <c r="Q310" t="s">
        <v>35</v>
      </c>
      <c r="R310" t="s">
        <v>583</v>
      </c>
      <c r="S310" t="s">
        <v>584</v>
      </c>
      <c r="T310" t="s">
        <v>585</v>
      </c>
      <c r="U310" s="10" t="s">
        <v>1055</v>
      </c>
      <c r="V310" s="10" t="s">
        <v>1077</v>
      </c>
      <c r="W310" s="10" t="s">
        <v>1075</v>
      </c>
      <c r="X310" s="10" t="s">
        <v>1059</v>
      </c>
      <c r="Y310" t="s">
        <v>39</v>
      </c>
      <c r="Z310" t="s">
        <v>40</v>
      </c>
      <c r="AA310" t="s">
        <v>63</v>
      </c>
    </row>
    <row r="311" spans="1:28" x14ac:dyDescent="0.8">
      <c r="A311">
        <v>1779</v>
      </c>
      <c r="B311">
        <v>1497</v>
      </c>
      <c r="C311" s="2">
        <v>44387</v>
      </c>
      <c r="D311" t="s">
        <v>173</v>
      </c>
      <c r="E311" t="s">
        <v>25</v>
      </c>
      <c r="F311" t="s">
        <v>26</v>
      </c>
      <c r="G311" t="s">
        <v>45</v>
      </c>
      <c r="H311" t="s">
        <v>46</v>
      </c>
      <c r="I311" t="s">
        <v>47</v>
      </c>
      <c r="J311" t="s">
        <v>48</v>
      </c>
      <c r="K311" t="s">
        <v>49</v>
      </c>
      <c r="L311" t="s">
        <v>50</v>
      </c>
      <c r="M311" t="s">
        <v>51</v>
      </c>
      <c r="N311" t="s">
        <v>61</v>
      </c>
      <c r="O311" t="s">
        <v>582</v>
      </c>
      <c r="P311" t="s">
        <v>34</v>
      </c>
      <c r="Q311" t="s">
        <v>35</v>
      </c>
      <c r="R311" t="s">
        <v>583</v>
      </c>
      <c r="S311" t="s">
        <v>584</v>
      </c>
      <c r="T311" t="s">
        <v>585</v>
      </c>
      <c r="U311" s="10" t="s">
        <v>1055</v>
      </c>
      <c r="V311" s="10" t="s">
        <v>1077</v>
      </c>
      <c r="W311" s="10" t="s">
        <v>1075</v>
      </c>
      <c r="X311" s="10" t="s">
        <v>1059</v>
      </c>
      <c r="Y311" t="s">
        <v>39</v>
      </c>
      <c r="Z311" t="s">
        <v>62</v>
      </c>
      <c r="AA311" t="s">
        <v>41</v>
      </c>
    </row>
    <row r="312" spans="1:28" x14ac:dyDescent="0.8">
      <c r="A312">
        <v>1768</v>
      </c>
      <c r="B312">
        <v>1486</v>
      </c>
      <c r="C312" s="2">
        <v>44387</v>
      </c>
      <c r="D312" t="s">
        <v>173</v>
      </c>
      <c r="E312" t="s">
        <v>25</v>
      </c>
      <c r="F312" t="s">
        <v>26</v>
      </c>
      <c r="G312" t="s">
        <v>45</v>
      </c>
      <c r="H312" t="s">
        <v>46</v>
      </c>
      <c r="I312" t="s">
        <v>47</v>
      </c>
      <c r="J312" t="s">
        <v>48</v>
      </c>
      <c r="K312" t="s">
        <v>49</v>
      </c>
      <c r="L312" t="s">
        <v>50</v>
      </c>
      <c r="M312" t="s">
        <v>51</v>
      </c>
      <c r="N312" t="s">
        <v>61</v>
      </c>
      <c r="O312" t="s">
        <v>582</v>
      </c>
      <c r="P312" t="s">
        <v>34</v>
      </c>
      <c r="Q312" t="s">
        <v>35</v>
      </c>
      <c r="R312" t="s">
        <v>583</v>
      </c>
      <c r="S312" t="s">
        <v>584</v>
      </c>
      <c r="T312" t="s">
        <v>585</v>
      </c>
      <c r="U312" s="10" t="s">
        <v>1055</v>
      </c>
      <c r="V312" s="10" t="s">
        <v>1077</v>
      </c>
      <c r="W312" s="10" t="s">
        <v>1075</v>
      </c>
      <c r="X312" s="10" t="s">
        <v>1059</v>
      </c>
      <c r="Y312" t="s">
        <v>39</v>
      </c>
      <c r="Z312" t="s">
        <v>62</v>
      </c>
      <c r="AA312" t="s">
        <v>41</v>
      </c>
    </row>
    <row r="313" spans="1:28" x14ac:dyDescent="0.8">
      <c r="A313">
        <v>1411</v>
      </c>
      <c r="B313">
        <v>2158</v>
      </c>
      <c r="C313" s="2">
        <v>44387</v>
      </c>
      <c r="D313" t="s">
        <v>173</v>
      </c>
      <c r="E313" t="s">
        <v>63</v>
      </c>
      <c r="F313" t="s">
        <v>26</v>
      </c>
      <c r="G313" t="s">
        <v>45</v>
      </c>
      <c r="H313" t="s">
        <v>46</v>
      </c>
      <c r="I313" t="s">
        <v>47</v>
      </c>
      <c r="J313" t="s">
        <v>48</v>
      </c>
      <c r="K313" t="s">
        <v>49</v>
      </c>
      <c r="L313" t="s">
        <v>50</v>
      </c>
      <c r="M313" t="s">
        <v>51</v>
      </c>
      <c r="N313" t="s">
        <v>61</v>
      </c>
      <c r="O313" t="s">
        <v>582</v>
      </c>
      <c r="P313" t="s">
        <v>34</v>
      </c>
      <c r="Q313" t="s">
        <v>35</v>
      </c>
      <c r="R313" t="s">
        <v>583</v>
      </c>
      <c r="S313" t="s">
        <v>584</v>
      </c>
      <c r="T313" t="s">
        <v>585</v>
      </c>
      <c r="U313" s="10" t="s">
        <v>1055</v>
      </c>
      <c r="V313" s="10" t="s">
        <v>1077</v>
      </c>
      <c r="W313" s="10" t="s">
        <v>1075</v>
      </c>
      <c r="X313" s="10" t="s">
        <v>1059</v>
      </c>
      <c r="Y313" t="s">
        <v>39</v>
      </c>
      <c r="Z313" t="s">
        <v>40</v>
      </c>
      <c r="AA313" t="s">
        <v>63</v>
      </c>
    </row>
    <row r="314" spans="1:28" x14ac:dyDescent="0.8">
      <c r="A314">
        <v>1410</v>
      </c>
      <c r="B314">
        <v>2157</v>
      </c>
      <c r="C314" s="2">
        <v>44387</v>
      </c>
      <c r="D314" t="s">
        <v>173</v>
      </c>
      <c r="E314" t="s">
        <v>150</v>
      </c>
      <c r="F314" t="s">
        <v>26</v>
      </c>
      <c r="G314" t="s">
        <v>45</v>
      </c>
      <c r="H314" t="s">
        <v>46</v>
      </c>
      <c r="I314" t="s">
        <v>47</v>
      </c>
      <c r="J314" t="s">
        <v>48</v>
      </c>
      <c r="K314" t="s">
        <v>49</v>
      </c>
      <c r="L314" t="s">
        <v>50</v>
      </c>
      <c r="M314" t="s">
        <v>51</v>
      </c>
      <c r="N314" t="s">
        <v>61</v>
      </c>
      <c r="O314" t="s">
        <v>582</v>
      </c>
      <c r="P314" t="s">
        <v>34</v>
      </c>
      <c r="Q314" t="s">
        <v>35</v>
      </c>
      <c r="R314" t="s">
        <v>583</v>
      </c>
      <c r="S314" t="s">
        <v>584</v>
      </c>
      <c r="T314" t="s">
        <v>585</v>
      </c>
      <c r="U314" s="10" t="s">
        <v>1055</v>
      </c>
      <c r="V314" s="10" t="s">
        <v>1077</v>
      </c>
      <c r="W314" s="10" t="s">
        <v>1075</v>
      </c>
      <c r="X314" s="10" t="s">
        <v>1059</v>
      </c>
      <c r="Y314" t="s">
        <v>39</v>
      </c>
      <c r="Z314" t="s">
        <v>40</v>
      </c>
      <c r="AA314" t="s">
        <v>63</v>
      </c>
    </row>
    <row r="315" spans="1:28" x14ac:dyDescent="0.8">
      <c r="A315">
        <v>1407</v>
      </c>
      <c r="B315">
        <v>2154</v>
      </c>
      <c r="C315" s="2">
        <v>44387</v>
      </c>
      <c r="D315" t="s">
        <v>173</v>
      </c>
      <c r="E315" t="s">
        <v>63</v>
      </c>
      <c r="F315" t="s">
        <v>26</v>
      </c>
      <c r="G315" t="s">
        <v>45</v>
      </c>
      <c r="H315" t="s">
        <v>46</v>
      </c>
      <c r="I315" t="s">
        <v>47</v>
      </c>
      <c r="J315" t="s">
        <v>48</v>
      </c>
      <c r="K315" t="s">
        <v>49</v>
      </c>
      <c r="L315" t="s">
        <v>50</v>
      </c>
      <c r="M315" t="s">
        <v>51</v>
      </c>
      <c r="N315" t="s">
        <v>61</v>
      </c>
      <c r="O315" t="s">
        <v>582</v>
      </c>
      <c r="P315" t="s">
        <v>34</v>
      </c>
      <c r="Q315" t="s">
        <v>35</v>
      </c>
      <c r="R315" t="s">
        <v>583</v>
      </c>
      <c r="S315" t="s">
        <v>584</v>
      </c>
      <c r="T315" t="s">
        <v>585</v>
      </c>
      <c r="U315" s="10" t="s">
        <v>1055</v>
      </c>
      <c r="V315" s="10" t="s">
        <v>1077</v>
      </c>
      <c r="W315" s="10" t="s">
        <v>1075</v>
      </c>
      <c r="X315" s="10" t="s">
        <v>1059</v>
      </c>
      <c r="Y315" t="s">
        <v>39</v>
      </c>
      <c r="Z315" t="s">
        <v>40</v>
      </c>
      <c r="AA315" t="s">
        <v>63</v>
      </c>
    </row>
    <row r="316" spans="1:28" x14ac:dyDescent="0.8">
      <c r="A316">
        <v>1571</v>
      </c>
      <c r="B316">
        <v>316</v>
      </c>
      <c r="C316" s="2">
        <v>44388</v>
      </c>
      <c r="D316" t="s">
        <v>235</v>
      </c>
      <c r="E316" t="s">
        <v>25</v>
      </c>
      <c r="F316" t="s">
        <v>26</v>
      </c>
      <c r="G316" t="s">
        <v>45</v>
      </c>
      <c r="H316" t="s">
        <v>68</v>
      </c>
      <c r="I316" t="s">
        <v>69</v>
      </c>
      <c r="J316" t="s">
        <v>70</v>
      </c>
      <c r="K316" t="s">
        <v>71</v>
      </c>
      <c r="L316" t="s">
        <v>72</v>
      </c>
      <c r="M316" t="s">
        <v>73</v>
      </c>
      <c r="N316" t="s">
        <v>61</v>
      </c>
      <c r="O316" t="s">
        <v>582</v>
      </c>
      <c r="P316" t="s">
        <v>34</v>
      </c>
      <c r="Q316" t="s">
        <v>35</v>
      </c>
      <c r="R316" t="s">
        <v>583</v>
      </c>
      <c r="S316" t="s">
        <v>584</v>
      </c>
      <c r="T316" t="s">
        <v>585</v>
      </c>
      <c r="U316" s="10" t="s">
        <v>1055</v>
      </c>
      <c r="V316" s="10" t="s">
        <v>1077</v>
      </c>
      <c r="W316" s="10" t="s">
        <v>1075</v>
      </c>
      <c r="X316" s="10" t="s">
        <v>1059</v>
      </c>
      <c r="Y316" t="s">
        <v>140</v>
      </c>
      <c r="Z316" t="s">
        <v>40</v>
      </c>
      <c r="AA316" t="s">
        <v>125</v>
      </c>
    </row>
    <row r="317" spans="1:28" x14ac:dyDescent="0.8">
      <c r="A317">
        <v>155</v>
      </c>
      <c r="B317">
        <v>1171</v>
      </c>
      <c r="C317" s="2">
        <v>44388</v>
      </c>
      <c r="D317" t="s">
        <v>235</v>
      </c>
      <c r="E317" t="s">
        <v>25</v>
      </c>
      <c r="F317" t="s">
        <v>26</v>
      </c>
      <c r="G317" t="s">
        <v>45</v>
      </c>
      <c r="H317" t="s">
        <v>68</v>
      </c>
      <c r="I317" t="s">
        <v>69</v>
      </c>
      <c r="J317" t="s">
        <v>70</v>
      </c>
      <c r="K317" t="s">
        <v>71</v>
      </c>
      <c r="L317" t="s">
        <v>72</v>
      </c>
      <c r="M317" t="s">
        <v>73</v>
      </c>
      <c r="N317" t="s">
        <v>61</v>
      </c>
      <c r="O317" t="s">
        <v>582</v>
      </c>
      <c r="P317" t="s">
        <v>34</v>
      </c>
      <c r="Q317" t="s">
        <v>35</v>
      </c>
      <c r="R317" t="s">
        <v>583</v>
      </c>
      <c r="S317" t="s">
        <v>584</v>
      </c>
      <c r="T317" t="s">
        <v>585</v>
      </c>
      <c r="U317" s="10" t="s">
        <v>1055</v>
      </c>
      <c r="V317" s="10" t="s">
        <v>1077</v>
      </c>
      <c r="W317" s="10" t="s">
        <v>1075</v>
      </c>
      <c r="X317" s="10" t="s">
        <v>1059</v>
      </c>
      <c r="Y317" t="s">
        <v>140</v>
      </c>
      <c r="Z317" t="s">
        <v>40</v>
      </c>
      <c r="AA317" t="s">
        <v>53</v>
      </c>
    </row>
    <row r="318" spans="1:28" x14ac:dyDescent="0.8">
      <c r="A318">
        <v>1654</v>
      </c>
      <c r="B318">
        <v>425</v>
      </c>
      <c r="C318" s="2">
        <v>44388</v>
      </c>
      <c r="D318" t="s">
        <v>235</v>
      </c>
      <c r="E318" t="s">
        <v>53</v>
      </c>
      <c r="F318" t="s">
        <v>26</v>
      </c>
      <c r="G318" t="s">
        <v>45</v>
      </c>
      <c r="H318" t="s">
        <v>55</v>
      </c>
      <c r="I318" t="s">
        <v>249</v>
      </c>
      <c r="J318" t="s">
        <v>250</v>
      </c>
      <c r="K318" t="s">
        <v>251</v>
      </c>
      <c r="L318" t="s">
        <v>323</v>
      </c>
      <c r="M318" t="s">
        <v>324</v>
      </c>
      <c r="N318" t="s">
        <v>61</v>
      </c>
      <c r="O318" t="s">
        <v>582</v>
      </c>
      <c r="P318" t="s">
        <v>34</v>
      </c>
      <c r="Q318" t="s">
        <v>35</v>
      </c>
      <c r="R318" t="s">
        <v>583</v>
      </c>
      <c r="S318" t="s">
        <v>584</v>
      </c>
      <c r="T318" t="s">
        <v>585</v>
      </c>
      <c r="U318" s="10" t="s">
        <v>1055</v>
      </c>
      <c r="V318" s="10" t="s">
        <v>1077</v>
      </c>
      <c r="W318" s="10" t="s">
        <v>1075</v>
      </c>
      <c r="X318" s="10" t="s">
        <v>1059</v>
      </c>
      <c r="Y318" t="s">
        <v>39</v>
      </c>
      <c r="Z318" t="s">
        <v>40</v>
      </c>
      <c r="AA318" t="s">
        <v>41</v>
      </c>
    </row>
    <row r="319" spans="1:28" x14ac:dyDescent="0.8">
      <c r="A319">
        <v>270</v>
      </c>
      <c r="B319">
        <v>42</v>
      </c>
      <c r="C319" s="2">
        <v>44386</v>
      </c>
      <c r="D319" t="s">
        <v>43</v>
      </c>
      <c r="E319" t="s">
        <v>25</v>
      </c>
      <c r="F319" t="s">
        <v>26</v>
      </c>
      <c r="G319" t="s">
        <v>27</v>
      </c>
      <c r="H319" t="s">
        <v>28</v>
      </c>
      <c r="I319" t="s">
        <v>588</v>
      </c>
      <c r="K319" t="s">
        <v>589</v>
      </c>
      <c r="L319" t="s">
        <v>59</v>
      </c>
      <c r="M319" t="s">
        <v>590</v>
      </c>
      <c r="O319" t="s">
        <v>582</v>
      </c>
      <c r="P319" t="s">
        <v>34</v>
      </c>
      <c r="Q319" t="s">
        <v>35</v>
      </c>
      <c r="R319" t="s">
        <v>583</v>
      </c>
      <c r="S319" t="s">
        <v>584</v>
      </c>
      <c r="T319" t="s">
        <v>585</v>
      </c>
      <c r="U319" s="10" t="s">
        <v>1055</v>
      </c>
      <c r="V319" s="10" t="s">
        <v>1077</v>
      </c>
      <c r="W319" s="10" t="s">
        <v>1075</v>
      </c>
      <c r="X319" s="10" t="s">
        <v>1059</v>
      </c>
      <c r="Y319" t="s">
        <v>39</v>
      </c>
      <c r="Z319" t="s">
        <v>40</v>
      </c>
      <c r="AA319" t="s">
        <v>53</v>
      </c>
    </row>
    <row r="320" spans="1:28" x14ac:dyDescent="0.8">
      <c r="A320">
        <v>612</v>
      </c>
      <c r="B320">
        <v>1383</v>
      </c>
      <c r="C320" s="2">
        <v>44386</v>
      </c>
      <c r="D320" t="s">
        <v>43</v>
      </c>
      <c r="E320" t="s">
        <v>44</v>
      </c>
      <c r="F320" t="s">
        <v>26</v>
      </c>
      <c r="G320" t="s">
        <v>45</v>
      </c>
      <c r="H320" t="s">
        <v>46</v>
      </c>
      <c r="I320" t="s">
        <v>47</v>
      </c>
      <c r="J320" t="s">
        <v>48</v>
      </c>
      <c r="K320" t="s">
        <v>49</v>
      </c>
      <c r="L320" t="s">
        <v>50</v>
      </c>
      <c r="M320" t="s">
        <v>51</v>
      </c>
      <c r="N320" t="s">
        <v>61</v>
      </c>
      <c r="O320" t="s">
        <v>582</v>
      </c>
      <c r="P320" t="s">
        <v>34</v>
      </c>
      <c r="Q320" t="s">
        <v>35</v>
      </c>
      <c r="R320" t="s">
        <v>583</v>
      </c>
      <c r="S320" t="s">
        <v>584</v>
      </c>
      <c r="T320" t="s">
        <v>585</v>
      </c>
      <c r="U320" s="10" t="s">
        <v>1055</v>
      </c>
      <c r="V320" s="10" t="s">
        <v>1077</v>
      </c>
      <c r="W320" s="10" t="s">
        <v>1075</v>
      </c>
      <c r="X320" s="10" t="s">
        <v>1059</v>
      </c>
      <c r="Y320" t="s">
        <v>140</v>
      </c>
      <c r="Z320" t="s">
        <v>40</v>
      </c>
      <c r="AA320" t="s">
        <v>63</v>
      </c>
      <c r="AB320" t="s">
        <v>591</v>
      </c>
    </row>
    <row r="321" spans="1:28" x14ac:dyDescent="0.8">
      <c r="A321">
        <v>611</v>
      </c>
      <c r="B321">
        <v>1382</v>
      </c>
      <c r="C321" s="2">
        <v>44386</v>
      </c>
      <c r="D321" t="s">
        <v>43</v>
      </c>
      <c r="E321" t="s">
        <v>44</v>
      </c>
      <c r="F321" t="s">
        <v>26</v>
      </c>
      <c r="G321" t="s">
        <v>45</v>
      </c>
      <c r="H321" t="s">
        <v>46</v>
      </c>
      <c r="I321" t="s">
        <v>47</v>
      </c>
      <c r="J321" t="s">
        <v>48</v>
      </c>
      <c r="K321" t="s">
        <v>49</v>
      </c>
      <c r="L321" t="s">
        <v>50</v>
      </c>
      <c r="M321" t="s">
        <v>51</v>
      </c>
      <c r="N321" t="s">
        <v>61</v>
      </c>
      <c r="O321" t="s">
        <v>582</v>
      </c>
      <c r="P321" t="s">
        <v>34</v>
      </c>
      <c r="Q321" t="s">
        <v>35</v>
      </c>
      <c r="R321" t="s">
        <v>583</v>
      </c>
      <c r="S321" t="s">
        <v>584</v>
      </c>
      <c r="T321" t="s">
        <v>585</v>
      </c>
      <c r="U321" s="10" t="s">
        <v>1055</v>
      </c>
      <c r="V321" s="10" t="s">
        <v>1077</v>
      </c>
      <c r="W321" s="10" t="s">
        <v>1075</v>
      </c>
      <c r="X321" s="10" t="s">
        <v>1059</v>
      </c>
      <c r="Y321" t="s">
        <v>140</v>
      </c>
      <c r="Z321" t="s">
        <v>40</v>
      </c>
      <c r="AA321" t="s">
        <v>63</v>
      </c>
      <c r="AB321" t="s">
        <v>592</v>
      </c>
    </row>
    <row r="322" spans="1:28" x14ac:dyDescent="0.8">
      <c r="A322">
        <v>269</v>
      </c>
      <c r="B322">
        <v>41</v>
      </c>
      <c r="C322" s="2">
        <v>44386</v>
      </c>
      <c r="D322" t="s">
        <v>43</v>
      </c>
      <c r="E322" t="s">
        <v>25</v>
      </c>
      <c r="F322" t="s">
        <v>26</v>
      </c>
      <c r="G322" t="s">
        <v>45</v>
      </c>
      <c r="H322" t="s">
        <v>46</v>
      </c>
      <c r="I322" t="s">
        <v>47</v>
      </c>
      <c r="J322" t="s">
        <v>48</v>
      </c>
      <c r="K322" t="s">
        <v>49</v>
      </c>
      <c r="L322" t="s">
        <v>50</v>
      </c>
      <c r="M322" t="s">
        <v>51</v>
      </c>
      <c r="N322" t="s">
        <v>61</v>
      </c>
      <c r="O322" t="s">
        <v>582</v>
      </c>
      <c r="P322" t="s">
        <v>34</v>
      </c>
      <c r="Q322" t="s">
        <v>35</v>
      </c>
      <c r="R322" t="s">
        <v>583</v>
      </c>
      <c r="S322" t="s">
        <v>584</v>
      </c>
      <c r="T322" t="s">
        <v>585</v>
      </c>
      <c r="U322" s="10" t="s">
        <v>1055</v>
      </c>
      <c r="V322" s="10" t="s">
        <v>1077</v>
      </c>
      <c r="W322" s="10" t="s">
        <v>1075</v>
      </c>
      <c r="X322" s="10" t="s">
        <v>1059</v>
      </c>
      <c r="Y322" t="s">
        <v>39</v>
      </c>
      <c r="Z322" t="s">
        <v>40</v>
      </c>
      <c r="AA322" t="s">
        <v>53</v>
      </c>
    </row>
    <row r="323" spans="1:28" x14ac:dyDescent="0.8">
      <c r="A323">
        <v>1231</v>
      </c>
      <c r="B323">
        <v>1828</v>
      </c>
      <c r="C323" s="2">
        <v>44387</v>
      </c>
      <c r="D323" t="s">
        <v>102</v>
      </c>
      <c r="E323" t="s">
        <v>103</v>
      </c>
      <c r="F323" t="s">
        <v>26</v>
      </c>
      <c r="G323" t="s">
        <v>45</v>
      </c>
      <c r="H323" t="s">
        <v>68</v>
      </c>
      <c r="I323" t="s">
        <v>69</v>
      </c>
      <c r="J323" t="s">
        <v>70</v>
      </c>
      <c r="K323" t="s">
        <v>71</v>
      </c>
      <c r="L323" t="s">
        <v>72</v>
      </c>
      <c r="M323" t="s">
        <v>73</v>
      </c>
      <c r="N323" t="s">
        <v>61</v>
      </c>
      <c r="O323" t="s">
        <v>582</v>
      </c>
      <c r="P323" t="s">
        <v>34</v>
      </c>
      <c r="Q323" t="s">
        <v>35</v>
      </c>
      <c r="R323" t="s">
        <v>583</v>
      </c>
      <c r="S323" t="s">
        <v>584</v>
      </c>
      <c r="T323" t="s">
        <v>585</v>
      </c>
      <c r="U323" s="10" t="s">
        <v>1055</v>
      </c>
      <c r="V323" s="10" t="s">
        <v>1077</v>
      </c>
      <c r="W323" s="10" t="s">
        <v>1075</v>
      </c>
      <c r="X323" s="10" t="s">
        <v>1059</v>
      </c>
      <c r="Y323" t="s">
        <v>39</v>
      </c>
      <c r="Z323" t="s">
        <v>40</v>
      </c>
      <c r="AA323" t="s">
        <v>63</v>
      </c>
    </row>
    <row r="324" spans="1:28" x14ac:dyDescent="0.8">
      <c r="A324">
        <v>1212</v>
      </c>
      <c r="B324">
        <v>1759</v>
      </c>
      <c r="C324" s="2">
        <v>44387</v>
      </c>
      <c r="D324" t="s">
        <v>102</v>
      </c>
      <c r="E324" t="s">
        <v>150</v>
      </c>
      <c r="F324" t="s">
        <v>26</v>
      </c>
      <c r="G324" t="s">
        <v>45</v>
      </c>
      <c r="H324" t="s">
        <v>155</v>
      </c>
      <c r="I324" t="s">
        <v>69</v>
      </c>
      <c r="J324" t="s">
        <v>156</v>
      </c>
      <c r="K324" t="s">
        <v>157</v>
      </c>
      <c r="L324" t="s">
        <v>158</v>
      </c>
      <c r="M324" t="s">
        <v>159</v>
      </c>
      <c r="N324" t="s">
        <v>61</v>
      </c>
      <c r="O324" t="s">
        <v>582</v>
      </c>
      <c r="P324" t="s">
        <v>34</v>
      </c>
      <c r="Q324" t="s">
        <v>35</v>
      </c>
      <c r="R324" t="s">
        <v>583</v>
      </c>
      <c r="S324" t="s">
        <v>584</v>
      </c>
      <c r="T324" t="s">
        <v>585</v>
      </c>
      <c r="U324" s="10" t="s">
        <v>1055</v>
      </c>
      <c r="V324" s="10" t="s">
        <v>1077</v>
      </c>
      <c r="W324" s="10" t="s">
        <v>1075</v>
      </c>
      <c r="X324" s="10" t="s">
        <v>1059</v>
      </c>
      <c r="Y324" t="s">
        <v>140</v>
      </c>
      <c r="Z324" t="s">
        <v>40</v>
      </c>
      <c r="AA324" t="s">
        <v>63</v>
      </c>
    </row>
    <row r="325" spans="1:28" x14ac:dyDescent="0.8">
      <c r="A325">
        <v>1262</v>
      </c>
      <c r="B325">
        <v>1909</v>
      </c>
      <c r="C325" s="2">
        <v>44387</v>
      </c>
      <c r="D325" t="s">
        <v>102</v>
      </c>
      <c r="E325" t="s">
        <v>25</v>
      </c>
      <c r="F325" t="s">
        <v>26</v>
      </c>
      <c r="G325" t="s">
        <v>45</v>
      </c>
      <c r="H325" t="s">
        <v>55</v>
      </c>
      <c r="I325" t="s">
        <v>69</v>
      </c>
      <c r="J325" t="s">
        <v>295</v>
      </c>
      <c r="K325" t="s">
        <v>296</v>
      </c>
      <c r="L325" t="s">
        <v>593</v>
      </c>
      <c r="M325" t="s">
        <v>594</v>
      </c>
      <c r="N325" t="s">
        <v>52</v>
      </c>
      <c r="O325" t="s">
        <v>582</v>
      </c>
      <c r="P325" t="s">
        <v>34</v>
      </c>
      <c r="Q325" t="s">
        <v>35</v>
      </c>
      <c r="R325" t="s">
        <v>583</v>
      </c>
      <c r="S325" t="s">
        <v>584</v>
      </c>
      <c r="T325" t="s">
        <v>585</v>
      </c>
      <c r="U325" s="10" t="s">
        <v>1055</v>
      </c>
      <c r="V325" s="10" t="s">
        <v>1077</v>
      </c>
      <c r="W325" s="10" t="s">
        <v>1075</v>
      </c>
      <c r="X325" s="10" t="s">
        <v>1059</v>
      </c>
      <c r="Y325" t="s">
        <v>39</v>
      </c>
      <c r="Z325" t="s">
        <v>40</v>
      </c>
      <c r="AA325" t="s">
        <v>63</v>
      </c>
      <c r="AB325" t="s">
        <v>595</v>
      </c>
    </row>
    <row r="326" spans="1:28" x14ac:dyDescent="0.8">
      <c r="A326">
        <v>1261</v>
      </c>
      <c r="B326">
        <v>1908</v>
      </c>
      <c r="C326" s="2">
        <v>44387</v>
      </c>
      <c r="D326" t="s">
        <v>102</v>
      </c>
      <c r="E326" t="s">
        <v>25</v>
      </c>
      <c r="F326" t="s">
        <v>26</v>
      </c>
      <c r="G326" t="s">
        <v>45</v>
      </c>
      <c r="H326" t="s">
        <v>55</v>
      </c>
      <c r="I326" t="s">
        <v>69</v>
      </c>
      <c r="J326" t="s">
        <v>295</v>
      </c>
      <c r="K326" t="s">
        <v>296</v>
      </c>
      <c r="L326" t="s">
        <v>593</v>
      </c>
      <c r="M326" t="s">
        <v>594</v>
      </c>
      <c r="N326" t="s">
        <v>52</v>
      </c>
      <c r="O326" t="s">
        <v>582</v>
      </c>
      <c r="P326" t="s">
        <v>34</v>
      </c>
      <c r="Q326" t="s">
        <v>35</v>
      </c>
      <c r="R326" t="s">
        <v>583</v>
      </c>
      <c r="S326" t="s">
        <v>584</v>
      </c>
      <c r="T326" t="s">
        <v>585</v>
      </c>
      <c r="U326" s="10" t="s">
        <v>1055</v>
      </c>
      <c r="V326" s="10" t="s">
        <v>1077</v>
      </c>
      <c r="W326" s="10" t="s">
        <v>1075</v>
      </c>
      <c r="X326" s="10" t="s">
        <v>1059</v>
      </c>
      <c r="Y326" t="s">
        <v>39</v>
      </c>
      <c r="Z326" t="s">
        <v>40</v>
      </c>
      <c r="AA326" t="s">
        <v>63</v>
      </c>
      <c r="AB326" t="s">
        <v>595</v>
      </c>
    </row>
    <row r="327" spans="1:28" x14ac:dyDescent="0.8">
      <c r="A327">
        <v>1243</v>
      </c>
      <c r="B327">
        <v>1840</v>
      </c>
      <c r="C327" s="2">
        <v>44387</v>
      </c>
      <c r="D327" t="s">
        <v>102</v>
      </c>
      <c r="E327" t="s">
        <v>103</v>
      </c>
      <c r="F327" t="s">
        <v>26</v>
      </c>
      <c r="G327" t="s">
        <v>45</v>
      </c>
      <c r="H327" t="s">
        <v>55</v>
      </c>
      <c r="I327" t="s">
        <v>69</v>
      </c>
      <c r="J327" t="s">
        <v>295</v>
      </c>
      <c r="K327" t="s">
        <v>296</v>
      </c>
      <c r="L327" t="s">
        <v>593</v>
      </c>
      <c r="M327" t="s">
        <v>594</v>
      </c>
      <c r="N327" t="s">
        <v>52</v>
      </c>
      <c r="O327" t="s">
        <v>582</v>
      </c>
      <c r="P327" t="s">
        <v>34</v>
      </c>
      <c r="Q327" t="s">
        <v>35</v>
      </c>
      <c r="R327" t="s">
        <v>583</v>
      </c>
      <c r="S327" t="s">
        <v>584</v>
      </c>
      <c r="T327" t="s">
        <v>585</v>
      </c>
      <c r="U327" s="10" t="s">
        <v>1055</v>
      </c>
      <c r="V327" s="10" t="s">
        <v>1077</v>
      </c>
      <c r="W327" s="10" t="s">
        <v>1075</v>
      </c>
      <c r="X327" s="10" t="s">
        <v>1059</v>
      </c>
      <c r="Y327" t="s">
        <v>39</v>
      </c>
      <c r="Z327" t="s">
        <v>40</v>
      </c>
      <c r="AA327" t="s">
        <v>63</v>
      </c>
    </row>
    <row r="328" spans="1:28" x14ac:dyDescent="0.8">
      <c r="A328">
        <v>1274</v>
      </c>
      <c r="B328">
        <v>1921</v>
      </c>
      <c r="C328" s="2">
        <v>44387</v>
      </c>
      <c r="D328" t="s">
        <v>102</v>
      </c>
      <c r="E328" t="s">
        <v>25</v>
      </c>
      <c r="F328" t="s">
        <v>26</v>
      </c>
      <c r="G328" t="s">
        <v>45</v>
      </c>
      <c r="H328" t="s">
        <v>55</v>
      </c>
      <c r="I328" t="s">
        <v>69</v>
      </c>
      <c r="J328" t="s">
        <v>295</v>
      </c>
      <c r="K328" t="s">
        <v>296</v>
      </c>
      <c r="L328" t="s">
        <v>593</v>
      </c>
      <c r="M328" t="s">
        <v>594</v>
      </c>
      <c r="N328" t="s">
        <v>52</v>
      </c>
      <c r="O328" t="s">
        <v>582</v>
      </c>
      <c r="P328" t="s">
        <v>34</v>
      </c>
      <c r="Q328" t="s">
        <v>35</v>
      </c>
      <c r="R328" t="s">
        <v>583</v>
      </c>
      <c r="S328" t="s">
        <v>584</v>
      </c>
      <c r="T328" t="s">
        <v>585</v>
      </c>
      <c r="U328" s="10" t="s">
        <v>1055</v>
      </c>
      <c r="V328" s="10" t="s">
        <v>1077</v>
      </c>
      <c r="W328" s="10" t="s">
        <v>1075</v>
      </c>
      <c r="X328" s="10" t="s">
        <v>1059</v>
      </c>
      <c r="Y328" t="s">
        <v>39</v>
      </c>
      <c r="Z328" t="s">
        <v>40</v>
      </c>
      <c r="AA328" t="s">
        <v>63</v>
      </c>
    </row>
    <row r="329" spans="1:28" x14ac:dyDescent="0.8">
      <c r="A329">
        <v>1216</v>
      </c>
      <c r="B329">
        <v>1763</v>
      </c>
      <c r="C329" s="2">
        <v>44387</v>
      </c>
      <c r="D329" t="s">
        <v>102</v>
      </c>
      <c r="E329" t="s">
        <v>150</v>
      </c>
      <c r="F329" t="s">
        <v>26</v>
      </c>
      <c r="G329" t="s">
        <v>45</v>
      </c>
      <c r="H329" t="s">
        <v>55</v>
      </c>
      <c r="I329" t="s">
        <v>69</v>
      </c>
      <c r="J329" t="s">
        <v>295</v>
      </c>
      <c r="K329" t="s">
        <v>296</v>
      </c>
      <c r="L329" t="s">
        <v>65</v>
      </c>
      <c r="M329" t="s">
        <v>297</v>
      </c>
      <c r="N329" t="s">
        <v>61</v>
      </c>
      <c r="O329" t="s">
        <v>582</v>
      </c>
      <c r="P329" t="s">
        <v>34</v>
      </c>
      <c r="Q329" t="s">
        <v>35</v>
      </c>
      <c r="R329" t="s">
        <v>583</v>
      </c>
      <c r="S329" t="s">
        <v>584</v>
      </c>
      <c r="T329" t="s">
        <v>585</v>
      </c>
      <c r="U329" s="10" t="s">
        <v>1055</v>
      </c>
      <c r="V329" s="10" t="s">
        <v>1077</v>
      </c>
      <c r="W329" s="10" t="s">
        <v>1075</v>
      </c>
      <c r="X329" s="10" t="s">
        <v>1059</v>
      </c>
      <c r="Y329" t="s">
        <v>140</v>
      </c>
      <c r="Z329" t="s">
        <v>40</v>
      </c>
      <c r="AA329" t="s">
        <v>63</v>
      </c>
    </row>
    <row r="330" spans="1:28" x14ac:dyDescent="0.8">
      <c r="A330">
        <v>1215</v>
      </c>
      <c r="B330">
        <v>1762</v>
      </c>
      <c r="C330" s="2">
        <v>44387</v>
      </c>
      <c r="D330" t="s">
        <v>102</v>
      </c>
      <c r="E330" t="s">
        <v>103</v>
      </c>
      <c r="F330" t="s">
        <v>26</v>
      </c>
      <c r="G330" t="s">
        <v>45</v>
      </c>
      <c r="H330" t="s">
        <v>46</v>
      </c>
      <c r="I330" t="s">
        <v>47</v>
      </c>
      <c r="J330" t="s">
        <v>48</v>
      </c>
      <c r="K330" t="s">
        <v>49</v>
      </c>
      <c r="L330" t="s">
        <v>50</v>
      </c>
      <c r="M330" t="s">
        <v>51</v>
      </c>
      <c r="N330" t="s">
        <v>61</v>
      </c>
      <c r="O330" t="s">
        <v>582</v>
      </c>
      <c r="P330" t="s">
        <v>34</v>
      </c>
      <c r="Q330" t="s">
        <v>35</v>
      </c>
      <c r="R330" t="s">
        <v>583</v>
      </c>
      <c r="S330" t="s">
        <v>584</v>
      </c>
      <c r="T330" t="s">
        <v>585</v>
      </c>
      <c r="U330" s="10" t="s">
        <v>1055</v>
      </c>
      <c r="V330" s="10" t="s">
        <v>1077</v>
      </c>
      <c r="W330" s="10" t="s">
        <v>1075</v>
      </c>
      <c r="X330" s="10" t="s">
        <v>1059</v>
      </c>
      <c r="Y330" t="s">
        <v>140</v>
      </c>
      <c r="Z330" t="s">
        <v>40</v>
      </c>
      <c r="AA330" t="s">
        <v>63</v>
      </c>
    </row>
    <row r="331" spans="1:28" x14ac:dyDescent="0.8">
      <c r="A331">
        <v>1263</v>
      </c>
      <c r="B331">
        <v>1910</v>
      </c>
      <c r="C331" s="2">
        <v>44387</v>
      </c>
      <c r="D331" t="s">
        <v>102</v>
      </c>
      <c r="E331" t="s">
        <v>25</v>
      </c>
      <c r="F331" t="s">
        <v>26</v>
      </c>
      <c r="G331" t="s">
        <v>45</v>
      </c>
      <c r="H331" t="s">
        <v>46</v>
      </c>
      <c r="I331" t="s">
        <v>47</v>
      </c>
      <c r="J331" t="s">
        <v>48</v>
      </c>
      <c r="K331" t="s">
        <v>49</v>
      </c>
      <c r="L331" t="s">
        <v>50</v>
      </c>
      <c r="M331" t="s">
        <v>51</v>
      </c>
      <c r="N331" t="s">
        <v>61</v>
      </c>
      <c r="O331" t="s">
        <v>582</v>
      </c>
      <c r="P331" t="s">
        <v>34</v>
      </c>
      <c r="Q331" t="s">
        <v>35</v>
      </c>
      <c r="R331" t="s">
        <v>583</v>
      </c>
      <c r="S331" t="s">
        <v>584</v>
      </c>
      <c r="T331" t="s">
        <v>585</v>
      </c>
      <c r="U331" s="10" t="s">
        <v>1055</v>
      </c>
      <c r="V331" s="10" t="s">
        <v>1077</v>
      </c>
      <c r="W331" s="10" t="s">
        <v>1075</v>
      </c>
      <c r="X331" s="10" t="s">
        <v>1059</v>
      </c>
      <c r="Y331" t="s">
        <v>39</v>
      </c>
      <c r="Z331" t="s">
        <v>62</v>
      </c>
      <c r="AA331" t="s">
        <v>63</v>
      </c>
    </row>
    <row r="332" spans="1:28" x14ac:dyDescent="0.8">
      <c r="A332">
        <v>1235</v>
      </c>
      <c r="B332">
        <v>1832</v>
      </c>
      <c r="C332" s="2">
        <v>44387</v>
      </c>
      <c r="D332" t="s">
        <v>102</v>
      </c>
      <c r="E332" t="s">
        <v>25</v>
      </c>
      <c r="F332" t="s">
        <v>26</v>
      </c>
      <c r="G332" t="s">
        <v>45</v>
      </c>
      <c r="H332" t="s">
        <v>46</v>
      </c>
      <c r="I332" t="s">
        <v>47</v>
      </c>
      <c r="J332" t="s">
        <v>48</v>
      </c>
      <c r="K332" t="s">
        <v>49</v>
      </c>
      <c r="L332" t="s">
        <v>50</v>
      </c>
      <c r="M332" t="s">
        <v>51</v>
      </c>
      <c r="N332" t="s">
        <v>61</v>
      </c>
      <c r="O332" t="s">
        <v>582</v>
      </c>
      <c r="P332" t="s">
        <v>34</v>
      </c>
      <c r="Q332" t="s">
        <v>35</v>
      </c>
      <c r="R332" t="s">
        <v>583</v>
      </c>
      <c r="S332" t="s">
        <v>584</v>
      </c>
      <c r="T332" t="s">
        <v>585</v>
      </c>
      <c r="U332" s="10" t="s">
        <v>1055</v>
      </c>
      <c r="V332" s="10" t="s">
        <v>1077</v>
      </c>
      <c r="W332" s="10" t="s">
        <v>1075</v>
      </c>
      <c r="X332" s="10" t="s">
        <v>1059</v>
      </c>
      <c r="Y332" t="s">
        <v>39</v>
      </c>
      <c r="Z332" t="s">
        <v>40</v>
      </c>
      <c r="AA332" t="s">
        <v>63</v>
      </c>
    </row>
    <row r="333" spans="1:28" x14ac:dyDescent="0.8">
      <c r="A333">
        <v>1229</v>
      </c>
      <c r="B333">
        <v>1826</v>
      </c>
      <c r="C333" s="2">
        <v>44387</v>
      </c>
      <c r="D333" t="s">
        <v>102</v>
      </c>
      <c r="E333" t="s">
        <v>25</v>
      </c>
      <c r="F333" t="s">
        <v>26</v>
      </c>
      <c r="G333" t="s">
        <v>45</v>
      </c>
      <c r="H333" t="s">
        <v>46</v>
      </c>
      <c r="I333" t="s">
        <v>47</v>
      </c>
      <c r="J333" t="s">
        <v>48</v>
      </c>
      <c r="K333" t="s">
        <v>49</v>
      </c>
      <c r="L333" t="s">
        <v>50</v>
      </c>
      <c r="M333" t="s">
        <v>51</v>
      </c>
      <c r="N333" t="s">
        <v>61</v>
      </c>
      <c r="O333" t="s">
        <v>582</v>
      </c>
      <c r="P333" t="s">
        <v>34</v>
      </c>
      <c r="Q333" t="s">
        <v>35</v>
      </c>
      <c r="R333" t="s">
        <v>583</v>
      </c>
      <c r="S333" t="s">
        <v>584</v>
      </c>
      <c r="T333" t="s">
        <v>585</v>
      </c>
      <c r="U333" s="10" t="s">
        <v>1055</v>
      </c>
      <c r="V333" s="10" t="s">
        <v>1077</v>
      </c>
      <c r="W333" s="10" t="s">
        <v>1075</v>
      </c>
      <c r="X333" s="10" t="s">
        <v>1059</v>
      </c>
      <c r="Y333" t="s">
        <v>39</v>
      </c>
      <c r="Z333" t="s">
        <v>40</v>
      </c>
      <c r="AA333" t="s">
        <v>63</v>
      </c>
    </row>
    <row r="334" spans="1:28" x14ac:dyDescent="0.8">
      <c r="A334">
        <v>1264</v>
      </c>
      <c r="B334">
        <v>1911</v>
      </c>
      <c r="C334" s="2">
        <v>44387</v>
      </c>
      <c r="D334" t="s">
        <v>102</v>
      </c>
      <c r="E334" t="s">
        <v>25</v>
      </c>
      <c r="F334" t="s">
        <v>26</v>
      </c>
      <c r="G334" t="s">
        <v>45</v>
      </c>
      <c r="H334" t="s">
        <v>46</v>
      </c>
      <c r="I334" t="s">
        <v>47</v>
      </c>
      <c r="J334" t="s">
        <v>48</v>
      </c>
      <c r="K334" t="s">
        <v>49</v>
      </c>
      <c r="L334" t="s">
        <v>50</v>
      </c>
      <c r="M334" t="s">
        <v>51</v>
      </c>
      <c r="N334" t="s">
        <v>61</v>
      </c>
      <c r="O334" t="s">
        <v>582</v>
      </c>
      <c r="P334" t="s">
        <v>34</v>
      </c>
      <c r="Q334" t="s">
        <v>35</v>
      </c>
      <c r="R334" t="s">
        <v>583</v>
      </c>
      <c r="S334" t="s">
        <v>584</v>
      </c>
      <c r="T334" t="s">
        <v>585</v>
      </c>
      <c r="U334" s="10" t="s">
        <v>1055</v>
      </c>
      <c r="V334" s="10" t="s">
        <v>1077</v>
      </c>
      <c r="W334" s="10" t="s">
        <v>1075</v>
      </c>
      <c r="X334" s="10" t="s">
        <v>1059</v>
      </c>
      <c r="Y334" t="s">
        <v>39</v>
      </c>
      <c r="Z334" t="s">
        <v>62</v>
      </c>
      <c r="AA334" t="s">
        <v>63</v>
      </c>
    </row>
    <row r="335" spans="1:28" x14ac:dyDescent="0.8">
      <c r="A335">
        <v>1045</v>
      </c>
      <c r="B335">
        <v>1449</v>
      </c>
      <c r="C335" s="2">
        <v>44387</v>
      </c>
      <c r="D335" t="s">
        <v>54</v>
      </c>
      <c r="E335" t="s">
        <v>150</v>
      </c>
      <c r="F335" t="s">
        <v>26</v>
      </c>
      <c r="G335" t="s">
        <v>45</v>
      </c>
      <c r="H335" t="s">
        <v>68</v>
      </c>
      <c r="I335" t="s">
        <v>69</v>
      </c>
      <c r="J335" t="s">
        <v>70</v>
      </c>
      <c r="K335" t="s">
        <v>71</v>
      </c>
      <c r="L335" t="s">
        <v>72</v>
      </c>
      <c r="M335" t="s">
        <v>73</v>
      </c>
      <c r="N335" t="s">
        <v>61</v>
      </c>
      <c r="O335" t="s">
        <v>582</v>
      </c>
      <c r="P335" t="s">
        <v>34</v>
      </c>
      <c r="Q335" t="s">
        <v>35</v>
      </c>
      <c r="R335" t="s">
        <v>583</v>
      </c>
      <c r="S335" t="s">
        <v>584</v>
      </c>
      <c r="T335" t="s">
        <v>585</v>
      </c>
      <c r="U335" s="10" t="s">
        <v>1055</v>
      </c>
      <c r="V335" s="10" t="s">
        <v>1077</v>
      </c>
      <c r="W335" s="10" t="s">
        <v>1075</v>
      </c>
      <c r="X335" s="10" t="s">
        <v>1059</v>
      </c>
      <c r="Y335" t="s">
        <v>39</v>
      </c>
      <c r="Z335" t="s">
        <v>40</v>
      </c>
      <c r="AA335" t="s">
        <v>63</v>
      </c>
    </row>
    <row r="336" spans="1:28" x14ac:dyDescent="0.8">
      <c r="A336">
        <v>1061</v>
      </c>
      <c r="B336">
        <v>126</v>
      </c>
      <c r="C336" s="2">
        <v>44387</v>
      </c>
      <c r="D336" t="s">
        <v>54</v>
      </c>
      <c r="E336" t="s">
        <v>25</v>
      </c>
      <c r="F336" t="s">
        <v>26</v>
      </c>
      <c r="G336" t="s">
        <v>45</v>
      </c>
      <c r="H336" t="s">
        <v>46</v>
      </c>
      <c r="I336" t="s">
        <v>47</v>
      </c>
      <c r="J336" t="s">
        <v>48</v>
      </c>
      <c r="K336" t="s">
        <v>49</v>
      </c>
      <c r="L336" t="s">
        <v>50</v>
      </c>
      <c r="M336" t="s">
        <v>51</v>
      </c>
      <c r="N336" t="s">
        <v>61</v>
      </c>
      <c r="O336" t="s">
        <v>582</v>
      </c>
      <c r="P336" t="s">
        <v>34</v>
      </c>
      <c r="Q336" t="s">
        <v>35</v>
      </c>
      <c r="R336" t="s">
        <v>583</v>
      </c>
      <c r="S336" t="s">
        <v>584</v>
      </c>
      <c r="T336" t="s">
        <v>585</v>
      </c>
      <c r="U336" s="10" t="s">
        <v>1055</v>
      </c>
      <c r="V336" s="10" t="s">
        <v>1077</v>
      </c>
      <c r="W336" s="10" t="s">
        <v>1075</v>
      </c>
      <c r="X336" s="10" t="s">
        <v>1059</v>
      </c>
      <c r="Y336" t="s">
        <v>39</v>
      </c>
      <c r="Z336" t="s">
        <v>40</v>
      </c>
      <c r="AA336" t="s">
        <v>63</v>
      </c>
    </row>
    <row r="337" spans="1:27" x14ac:dyDescent="0.8">
      <c r="A337">
        <v>1085</v>
      </c>
      <c r="B337">
        <v>1137</v>
      </c>
      <c r="C337" s="2">
        <v>44387</v>
      </c>
      <c r="D337" t="s">
        <v>54</v>
      </c>
      <c r="E337" t="s">
        <v>103</v>
      </c>
      <c r="F337" t="s">
        <v>26</v>
      </c>
      <c r="G337" t="s">
        <v>45</v>
      </c>
      <c r="H337" t="s">
        <v>46</v>
      </c>
      <c r="I337" t="s">
        <v>47</v>
      </c>
      <c r="J337" t="s">
        <v>48</v>
      </c>
      <c r="K337" t="s">
        <v>141</v>
      </c>
      <c r="L337" t="s">
        <v>142</v>
      </c>
      <c r="M337" t="s">
        <v>143</v>
      </c>
      <c r="N337" t="s">
        <v>61</v>
      </c>
      <c r="O337" t="s">
        <v>582</v>
      </c>
      <c r="P337" t="s">
        <v>34</v>
      </c>
      <c r="Q337" t="s">
        <v>35</v>
      </c>
      <c r="R337" t="s">
        <v>583</v>
      </c>
      <c r="S337" t="s">
        <v>584</v>
      </c>
      <c r="T337" t="s">
        <v>585</v>
      </c>
      <c r="U337" s="10" t="s">
        <v>1055</v>
      </c>
      <c r="V337" s="10" t="s">
        <v>1077</v>
      </c>
      <c r="W337" s="10" t="s">
        <v>1075</v>
      </c>
      <c r="X337" s="10" t="s">
        <v>1059</v>
      </c>
      <c r="Y337" t="s">
        <v>39</v>
      </c>
      <c r="Z337" t="s">
        <v>40</v>
      </c>
      <c r="AA337" t="s">
        <v>63</v>
      </c>
    </row>
    <row r="338" spans="1:27" x14ac:dyDescent="0.8">
      <c r="A338">
        <v>1005</v>
      </c>
      <c r="B338">
        <v>1361</v>
      </c>
      <c r="C338" s="2">
        <v>44385</v>
      </c>
      <c r="D338" t="s">
        <v>203</v>
      </c>
      <c r="E338" t="s">
        <v>103</v>
      </c>
      <c r="F338" t="s">
        <v>26</v>
      </c>
      <c r="G338" t="s">
        <v>45</v>
      </c>
      <c r="H338" t="s">
        <v>68</v>
      </c>
      <c r="I338" t="s">
        <v>69</v>
      </c>
      <c r="J338" t="s">
        <v>70</v>
      </c>
      <c r="K338" t="s">
        <v>71</v>
      </c>
      <c r="L338" t="s">
        <v>72</v>
      </c>
      <c r="M338" t="s">
        <v>73</v>
      </c>
      <c r="N338" t="s">
        <v>61</v>
      </c>
      <c r="O338" t="s">
        <v>582</v>
      </c>
      <c r="P338" t="s">
        <v>34</v>
      </c>
      <c r="Q338" t="s">
        <v>35</v>
      </c>
      <c r="R338" t="s">
        <v>583</v>
      </c>
      <c r="S338" t="s">
        <v>584</v>
      </c>
      <c r="T338" t="s">
        <v>585</v>
      </c>
      <c r="U338" s="10" t="s">
        <v>1055</v>
      </c>
      <c r="V338" s="10" t="s">
        <v>1077</v>
      </c>
      <c r="W338" s="10" t="s">
        <v>1075</v>
      </c>
      <c r="X338" s="10" t="s">
        <v>1059</v>
      </c>
      <c r="Y338" t="s">
        <v>39</v>
      </c>
      <c r="Z338" t="s">
        <v>40</v>
      </c>
      <c r="AA338" t="s">
        <v>63</v>
      </c>
    </row>
    <row r="339" spans="1:27" x14ac:dyDescent="0.8">
      <c r="A339">
        <v>985</v>
      </c>
      <c r="B339">
        <v>1293</v>
      </c>
      <c r="C339" s="2">
        <v>44385</v>
      </c>
      <c r="D339" t="s">
        <v>203</v>
      </c>
      <c r="E339" t="s">
        <v>25</v>
      </c>
      <c r="F339" t="s">
        <v>26</v>
      </c>
      <c r="G339" t="s">
        <v>45</v>
      </c>
      <c r="H339" t="s">
        <v>68</v>
      </c>
      <c r="I339" t="s">
        <v>69</v>
      </c>
      <c r="J339" t="s">
        <v>70</v>
      </c>
      <c r="K339" t="s">
        <v>71</v>
      </c>
      <c r="L339" t="s">
        <v>72</v>
      </c>
      <c r="M339" t="s">
        <v>73</v>
      </c>
      <c r="N339" t="s">
        <v>61</v>
      </c>
      <c r="O339" t="s">
        <v>582</v>
      </c>
      <c r="P339" t="s">
        <v>34</v>
      </c>
      <c r="Q339" t="s">
        <v>35</v>
      </c>
      <c r="R339" t="s">
        <v>583</v>
      </c>
      <c r="S339" t="s">
        <v>584</v>
      </c>
      <c r="T339" t="s">
        <v>585</v>
      </c>
      <c r="U339" s="10" t="s">
        <v>1055</v>
      </c>
      <c r="V339" s="10" t="s">
        <v>1077</v>
      </c>
      <c r="W339" s="10" t="s">
        <v>1075</v>
      </c>
      <c r="X339" s="10" t="s">
        <v>1059</v>
      </c>
      <c r="Y339" t="s">
        <v>39</v>
      </c>
      <c r="Z339" t="s">
        <v>40</v>
      </c>
      <c r="AA339" t="s">
        <v>63</v>
      </c>
    </row>
    <row r="340" spans="1:27" x14ac:dyDescent="0.8">
      <c r="A340">
        <v>773</v>
      </c>
      <c r="B340">
        <v>670</v>
      </c>
      <c r="C340" s="2">
        <v>44385</v>
      </c>
      <c r="D340" t="s">
        <v>108</v>
      </c>
      <c r="E340" t="s">
        <v>103</v>
      </c>
      <c r="F340" t="s">
        <v>26</v>
      </c>
      <c r="G340" t="s">
        <v>45</v>
      </c>
      <c r="H340" t="s">
        <v>155</v>
      </c>
      <c r="I340" t="s">
        <v>69</v>
      </c>
      <c r="J340" t="s">
        <v>156</v>
      </c>
      <c r="K340" t="s">
        <v>157</v>
      </c>
      <c r="L340" t="s">
        <v>158</v>
      </c>
      <c r="M340" t="s">
        <v>159</v>
      </c>
      <c r="N340" t="s">
        <v>52</v>
      </c>
      <c r="O340" t="s">
        <v>582</v>
      </c>
      <c r="P340" t="s">
        <v>34</v>
      </c>
      <c r="Q340" t="s">
        <v>35</v>
      </c>
      <c r="R340" t="s">
        <v>583</v>
      </c>
      <c r="S340" t="s">
        <v>584</v>
      </c>
      <c r="T340" t="s">
        <v>585</v>
      </c>
      <c r="U340" s="10" t="s">
        <v>1055</v>
      </c>
      <c r="V340" s="10" t="s">
        <v>1077</v>
      </c>
      <c r="W340" s="10" t="s">
        <v>1075</v>
      </c>
      <c r="X340" s="10" t="s">
        <v>1059</v>
      </c>
      <c r="Y340" t="s">
        <v>39</v>
      </c>
      <c r="Z340" t="s">
        <v>40</v>
      </c>
      <c r="AA340" t="s">
        <v>63</v>
      </c>
    </row>
    <row r="341" spans="1:27" x14ac:dyDescent="0.8">
      <c r="A341">
        <v>722</v>
      </c>
      <c r="B341">
        <v>1155</v>
      </c>
      <c r="C341" s="2">
        <v>44385</v>
      </c>
      <c r="D341" t="s">
        <v>133</v>
      </c>
      <c r="E341" t="s">
        <v>103</v>
      </c>
      <c r="F341" t="s">
        <v>26</v>
      </c>
      <c r="G341" t="s">
        <v>27</v>
      </c>
      <c r="H341" t="s">
        <v>28</v>
      </c>
      <c r="I341" t="s">
        <v>496</v>
      </c>
      <c r="K341" t="s">
        <v>497</v>
      </c>
      <c r="L341" t="s">
        <v>112</v>
      </c>
      <c r="M341" t="s">
        <v>596</v>
      </c>
      <c r="O341" t="s">
        <v>582</v>
      </c>
      <c r="P341" t="s">
        <v>34</v>
      </c>
      <c r="Q341" t="s">
        <v>35</v>
      </c>
      <c r="R341" t="s">
        <v>583</v>
      </c>
      <c r="S341" t="s">
        <v>584</v>
      </c>
      <c r="T341" t="s">
        <v>585</v>
      </c>
      <c r="U341" s="10" t="s">
        <v>1055</v>
      </c>
      <c r="V341" s="10" t="s">
        <v>1077</v>
      </c>
      <c r="W341" s="10" t="s">
        <v>1075</v>
      </c>
      <c r="X341" s="10" t="s">
        <v>1059</v>
      </c>
      <c r="Y341" t="s">
        <v>39</v>
      </c>
      <c r="Z341" t="s">
        <v>40</v>
      </c>
      <c r="AA341" t="s">
        <v>63</v>
      </c>
    </row>
    <row r="342" spans="1:27" x14ac:dyDescent="0.8">
      <c r="A342">
        <v>1199</v>
      </c>
      <c r="B342">
        <v>1746</v>
      </c>
      <c r="C342" s="2">
        <v>44386</v>
      </c>
      <c r="D342" t="s">
        <v>129</v>
      </c>
      <c r="E342" t="s">
        <v>53</v>
      </c>
      <c r="F342" t="s">
        <v>26</v>
      </c>
      <c r="G342" t="s">
        <v>45</v>
      </c>
      <c r="H342" t="s">
        <v>68</v>
      </c>
      <c r="I342" t="s">
        <v>69</v>
      </c>
      <c r="J342" t="s">
        <v>70</v>
      </c>
      <c r="K342" t="s">
        <v>71</v>
      </c>
      <c r="L342" t="s">
        <v>72</v>
      </c>
      <c r="M342" t="s">
        <v>73</v>
      </c>
      <c r="N342" t="s">
        <v>61</v>
      </c>
      <c r="O342" t="s">
        <v>582</v>
      </c>
      <c r="P342" t="s">
        <v>34</v>
      </c>
      <c r="Q342" t="s">
        <v>35</v>
      </c>
      <c r="R342" t="s">
        <v>583</v>
      </c>
      <c r="S342" t="s">
        <v>584</v>
      </c>
      <c r="T342" t="s">
        <v>585</v>
      </c>
      <c r="U342" s="10" t="s">
        <v>1055</v>
      </c>
      <c r="V342" s="10" t="s">
        <v>1077</v>
      </c>
      <c r="W342" s="10" t="s">
        <v>1075</v>
      </c>
      <c r="X342" s="10" t="s">
        <v>1059</v>
      </c>
      <c r="Y342" t="s">
        <v>39</v>
      </c>
      <c r="Z342" t="s">
        <v>40</v>
      </c>
      <c r="AA342" t="s">
        <v>63</v>
      </c>
    </row>
    <row r="343" spans="1:27" x14ac:dyDescent="0.8">
      <c r="A343">
        <v>1195</v>
      </c>
      <c r="B343">
        <v>1742</v>
      </c>
      <c r="C343" s="2">
        <v>44386</v>
      </c>
      <c r="D343" t="s">
        <v>129</v>
      </c>
      <c r="E343" t="s">
        <v>25</v>
      </c>
      <c r="F343" t="s">
        <v>26</v>
      </c>
      <c r="G343" t="s">
        <v>45</v>
      </c>
      <c r="H343" t="s">
        <v>68</v>
      </c>
      <c r="I343" t="s">
        <v>69</v>
      </c>
      <c r="J343" t="s">
        <v>70</v>
      </c>
      <c r="K343" t="s">
        <v>71</v>
      </c>
      <c r="L343" t="s">
        <v>72</v>
      </c>
      <c r="M343" t="s">
        <v>73</v>
      </c>
      <c r="N343" t="s">
        <v>61</v>
      </c>
      <c r="O343" t="s">
        <v>582</v>
      </c>
      <c r="P343" t="s">
        <v>34</v>
      </c>
      <c r="Q343" t="s">
        <v>35</v>
      </c>
      <c r="R343" t="s">
        <v>583</v>
      </c>
      <c r="S343" t="s">
        <v>584</v>
      </c>
      <c r="T343" t="s">
        <v>585</v>
      </c>
      <c r="U343" s="10" t="s">
        <v>1055</v>
      </c>
      <c r="V343" s="10" t="s">
        <v>1077</v>
      </c>
      <c r="W343" s="10" t="s">
        <v>1075</v>
      </c>
      <c r="X343" s="10" t="s">
        <v>1059</v>
      </c>
      <c r="Y343" t="s">
        <v>39</v>
      </c>
      <c r="Z343" t="s">
        <v>40</v>
      </c>
      <c r="AA343" t="s">
        <v>63</v>
      </c>
    </row>
    <row r="344" spans="1:27" x14ac:dyDescent="0.8">
      <c r="A344">
        <v>1163</v>
      </c>
      <c r="B344">
        <v>1660</v>
      </c>
      <c r="C344" s="2">
        <v>44386</v>
      </c>
      <c r="D344" t="s">
        <v>129</v>
      </c>
      <c r="E344" t="s">
        <v>44</v>
      </c>
      <c r="F344" t="s">
        <v>26</v>
      </c>
      <c r="G344" t="s">
        <v>45</v>
      </c>
      <c r="H344" t="s">
        <v>68</v>
      </c>
      <c r="I344" t="s">
        <v>69</v>
      </c>
      <c r="J344" t="s">
        <v>70</v>
      </c>
      <c r="K344" t="s">
        <v>71</v>
      </c>
      <c r="L344" t="s">
        <v>72</v>
      </c>
      <c r="M344" t="s">
        <v>73</v>
      </c>
      <c r="N344" t="s">
        <v>61</v>
      </c>
      <c r="O344" t="s">
        <v>582</v>
      </c>
      <c r="P344" t="s">
        <v>34</v>
      </c>
      <c r="Q344" t="s">
        <v>35</v>
      </c>
      <c r="R344" t="s">
        <v>583</v>
      </c>
      <c r="S344" t="s">
        <v>584</v>
      </c>
      <c r="T344" t="s">
        <v>585</v>
      </c>
      <c r="U344" s="10" t="s">
        <v>1055</v>
      </c>
      <c r="V344" s="10" t="s">
        <v>1077</v>
      </c>
      <c r="W344" s="10" t="s">
        <v>1075</v>
      </c>
      <c r="X344" s="10" t="s">
        <v>1059</v>
      </c>
      <c r="Y344" t="s">
        <v>140</v>
      </c>
      <c r="Z344" t="s">
        <v>40</v>
      </c>
      <c r="AA344" t="s">
        <v>63</v>
      </c>
    </row>
    <row r="345" spans="1:27" x14ac:dyDescent="0.8">
      <c r="A345">
        <v>1162</v>
      </c>
      <c r="B345">
        <v>1659</v>
      </c>
      <c r="C345" s="2">
        <v>44386</v>
      </c>
      <c r="D345" t="s">
        <v>129</v>
      </c>
      <c r="E345" t="s">
        <v>44</v>
      </c>
      <c r="F345" t="s">
        <v>26</v>
      </c>
      <c r="G345" t="s">
        <v>45</v>
      </c>
      <c r="H345" t="s">
        <v>68</v>
      </c>
      <c r="I345" t="s">
        <v>69</v>
      </c>
      <c r="J345" t="s">
        <v>70</v>
      </c>
      <c r="K345" t="s">
        <v>71</v>
      </c>
      <c r="L345" t="s">
        <v>72</v>
      </c>
      <c r="M345" t="s">
        <v>73</v>
      </c>
      <c r="N345" t="s">
        <v>61</v>
      </c>
      <c r="O345" t="s">
        <v>582</v>
      </c>
      <c r="P345" t="s">
        <v>34</v>
      </c>
      <c r="Q345" t="s">
        <v>35</v>
      </c>
      <c r="R345" t="s">
        <v>583</v>
      </c>
      <c r="S345" t="s">
        <v>584</v>
      </c>
      <c r="T345" t="s">
        <v>585</v>
      </c>
      <c r="U345" s="10" t="s">
        <v>1055</v>
      </c>
      <c r="V345" s="10" t="s">
        <v>1077</v>
      </c>
      <c r="W345" s="10" t="s">
        <v>1075</v>
      </c>
      <c r="X345" s="10" t="s">
        <v>1059</v>
      </c>
      <c r="Y345" t="s">
        <v>140</v>
      </c>
      <c r="Z345" t="s">
        <v>40</v>
      </c>
      <c r="AA345" t="s">
        <v>63</v>
      </c>
    </row>
    <row r="346" spans="1:27" x14ac:dyDescent="0.8">
      <c r="A346">
        <v>1161</v>
      </c>
      <c r="B346">
        <v>1658</v>
      </c>
      <c r="C346" s="2">
        <v>44386</v>
      </c>
      <c r="D346" t="s">
        <v>129</v>
      </c>
      <c r="E346" t="s">
        <v>53</v>
      </c>
      <c r="F346" t="s">
        <v>26</v>
      </c>
      <c r="G346" t="s">
        <v>45</v>
      </c>
      <c r="H346" t="s">
        <v>68</v>
      </c>
      <c r="I346" t="s">
        <v>69</v>
      </c>
      <c r="J346" t="s">
        <v>70</v>
      </c>
      <c r="K346" t="s">
        <v>71</v>
      </c>
      <c r="L346" t="s">
        <v>72</v>
      </c>
      <c r="M346" t="s">
        <v>73</v>
      </c>
      <c r="N346" t="s">
        <v>61</v>
      </c>
      <c r="O346" t="s">
        <v>582</v>
      </c>
      <c r="P346" t="s">
        <v>34</v>
      </c>
      <c r="Q346" t="s">
        <v>35</v>
      </c>
      <c r="R346" t="s">
        <v>583</v>
      </c>
      <c r="S346" t="s">
        <v>584</v>
      </c>
      <c r="T346" t="s">
        <v>585</v>
      </c>
      <c r="U346" s="10" t="s">
        <v>1055</v>
      </c>
      <c r="V346" s="10" t="s">
        <v>1077</v>
      </c>
      <c r="W346" s="10" t="s">
        <v>1075</v>
      </c>
      <c r="X346" s="10" t="s">
        <v>1059</v>
      </c>
      <c r="Y346" t="s">
        <v>140</v>
      </c>
      <c r="Z346" t="s">
        <v>40</v>
      </c>
      <c r="AA346" t="s">
        <v>63</v>
      </c>
    </row>
    <row r="347" spans="1:27" x14ac:dyDescent="0.8">
      <c r="A347">
        <v>1193</v>
      </c>
      <c r="B347">
        <v>1740</v>
      </c>
      <c r="C347" s="2">
        <v>44386</v>
      </c>
      <c r="D347" t="s">
        <v>129</v>
      </c>
      <c r="E347" t="s">
        <v>25</v>
      </c>
      <c r="F347" t="s">
        <v>26</v>
      </c>
      <c r="G347" t="s">
        <v>45</v>
      </c>
      <c r="H347" t="s">
        <v>55</v>
      </c>
      <c r="I347" t="s">
        <v>69</v>
      </c>
      <c r="J347" t="s">
        <v>295</v>
      </c>
      <c r="K347" t="s">
        <v>296</v>
      </c>
      <c r="L347" t="s">
        <v>112</v>
      </c>
      <c r="M347" t="s">
        <v>457</v>
      </c>
      <c r="N347" t="s">
        <v>52</v>
      </c>
      <c r="O347" t="s">
        <v>582</v>
      </c>
      <c r="P347" t="s">
        <v>34</v>
      </c>
      <c r="Q347" t="s">
        <v>35</v>
      </c>
      <c r="R347" t="s">
        <v>583</v>
      </c>
      <c r="S347" t="s">
        <v>584</v>
      </c>
      <c r="T347" t="s">
        <v>585</v>
      </c>
      <c r="U347" s="10" t="s">
        <v>1055</v>
      </c>
      <c r="V347" s="10" t="s">
        <v>1077</v>
      </c>
      <c r="W347" s="10" t="s">
        <v>1075</v>
      </c>
      <c r="X347" s="10" t="s">
        <v>1059</v>
      </c>
      <c r="Y347" t="s">
        <v>39</v>
      </c>
      <c r="Z347" t="s">
        <v>40</v>
      </c>
      <c r="AA347" t="s">
        <v>63</v>
      </c>
    </row>
    <row r="348" spans="1:27" x14ac:dyDescent="0.8">
      <c r="A348">
        <v>1188</v>
      </c>
      <c r="B348">
        <v>1735</v>
      </c>
      <c r="C348" s="2">
        <v>44386</v>
      </c>
      <c r="D348" t="s">
        <v>129</v>
      </c>
      <c r="E348" t="s">
        <v>25</v>
      </c>
      <c r="F348" t="s">
        <v>26</v>
      </c>
      <c r="G348" t="s">
        <v>45</v>
      </c>
      <c r="H348" t="s">
        <v>55</v>
      </c>
      <c r="I348" t="s">
        <v>69</v>
      </c>
      <c r="J348" t="s">
        <v>295</v>
      </c>
      <c r="K348" t="s">
        <v>296</v>
      </c>
      <c r="L348" t="s">
        <v>112</v>
      </c>
      <c r="M348" t="s">
        <v>457</v>
      </c>
      <c r="N348" t="s">
        <v>52</v>
      </c>
      <c r="O348" t="s">
        <v>582</v>
      </c>
      <c r="P348" t="s">
        <v>34</v>
      </c>
      <c r="Q348" t="s">
        <v>35</v>
      </c>
      <c r="R348" t="s">
        <v>583</v>
      </c>
      <c r="S348" t="s">
        <v>584</v>
      </c>
      <c r="T348" t="s">
        <v>585</v>
      </c>
      <c r="U348" s="10" t="s">
        <v>1055</v>
      </c>
      <c r="V348" s="10" t="s">
        <v>1077</v>
      </c>
      <c r="W348" s="10" t="s">
        <v>1075</v>
      </c>
      <c r="X348" s="10" t="s">
        <v>1059</v>
      </c>
      <c r="Y348" t="s">
        <v>39</v>
      </c>
      <c r="Z348" t="s">
        <v>40</v>
      </c>
      <c r="AA348" t="s">
        <v>63</v>
      </c>
    </row>
    <row r="349" spans="1:27" x14ac:dyDescent="0.8">
      <c r="A349">
        <v>1175</v>
      </c>
      <c r="B349">
        <v>1672</v>
      </c>
      <c r="C349" s="2">
        <v>44386</v>
      </c>
      <c r="D349" t="s">
        <v>129</v>
      </c>
      <c r="E349" t="s">
        <v>25</v>
      </c>
      <c r="F349" t="s">
        <v>26</v>
      </c>
      <c r="G349" t="s">
        <v>45</v>
      </c>
      <c r="H349" t="s">
        <v>55</v>
      </c>
      <c r="I349" t="s">
        <v>69</v>
      </c>
      <c r="J349" t="s">
        <v>295</v>
      </c>
      <c r="K349" t="s">
        <v>296</v>
      </c>
      <c r="L349" t="s">
        <v>112</v>
      </c>
      <c r="M349" t="s">
        <v>457</v>
      </c>
      <c r="N349" t="s">
        <v>52</v>
      </c>
      <c r="O349" t="s">
        <v>582</v>
      </c>
      <c r="P349" t="s">
        <v>34</v>
      </c>
      <c r="Q349" t="s">
        <v>35</v>
      </c>
      <c r="R349" t="s">
        <v>583</v>
      </c>
      <c r="S349" t="s">
        <v>584</v>
      </c>
      <c r="T349" t="s">
        <v>585</v>
      </c>
      <c r="U349" s="10" t="s">
        <v>1055</v>
      </c>
      <c r="V349" s="10" t="s">
        <v>1077</v>
      </c>
      <c r="W349" s="10" t="s">
        <v>1075</v>
      </c>
      <c r="X349" s="10" t="s">
        <v>1059</v>
      </c>
      <c r="Y349" t="s">
        <v>39</v>
      </c>
      <c r="Z349" t="s">
        <v>40</v>
      </c>
      <c r="AA349" t="s">
        <v>63</v>
      </c>
    </row>
    <row r="350" spans="1:27" x14ac:dyDescent="0.8">
      <c r="A350">
        <v>1159</v>
      </c>
      <c r="B350">
        <v>1656</v>
      </c>
      <c r="C350" s="2">
        <v>44386</v>
      </c>
      <c r="D350" t="s">
        <v>129</v>
      </c>
      <c r="E350" t="s">
        <v>63</v>
      </c>
      <c r="F350" t="s">
        <v>26</v>
      </c>
      <c r="G350" t="s">
        <v>45</v>
      </c>
      <c r="H350" t="s">
        <v>55</v>
      </c>
      <c r="I350" t="s">
        <v>69</v>
      </c>
      <c r="J350" t="s">
        <v>295</v>
      </c>
      <c r="K350" t="s">
        <v>296</v>
      </c>
      <c r="L350" t="s">
        <v>59</v>
      </c>
      <c r="M350" t="s">
        <v>460</v>
      </c>
      <c r="N350" t="s">
        <v>52</v>
      </c>
      <c r="O350" t="s">
        <v>582</v>
      </c>
      <c r="P350" t="s">
        <v>34</v>
      </c>
      <c r="Q350" t="s">
        <v>35</v>
      </c>
      <c r="R350" t="s">
        <v>583</v>
      </c>
      <c r="S350" t="s">
        <v>584</v>
      </c>
      <c r="T350" t="s">
        <v>585</v>
      </c>
      <c r="U350" s="10" t="s">
        <v>1055</v>
      </c>
      <c r="V350" s="10" t="s">
        <v>1077</v>
      </c>
      <c r="W350" s="10" t="s">
        <v>1075</v>
      </c>
      <c r="X350" s="10" t="s">
        <v>1059</v>
      </c>
      <c r="Y350" t="s">
        <v>140</v>
      </c>
      <c r="Z350" t="s">
        <v>40</v>
      </c>
      <c r="AA350" t="s">
        <v>63</v>
      </c>
    </row>
    <row r="351" spans="1:27" x14ac:dyDescent="0.8">
      <c r="A351">
        <v>1156</v>
      </c>
      <c r="B351">
        <v>1653</v>
      </c>
      <c r="C351" s="2">
        <v>44386</v>
      </c>
      <c r="D351" t="s">
        <v>129</v>
      </c>
      <c r="E351" t="s">
        <v>63</v>
      </c>
      <c r="F351" t="s">
        <v>26</v>
      </c>
      <c r="G351" t="s">
        <v>45</v>
      </c>
      <c r="H351" t="s">
        <v>55</v>
      </c>
      <c r="I351" t="s">
        <v>69</v>
      </c>
      <c r="J351" t="s">
        <v>295</v>
      </c>
      <c r="K351" t="s">
        <v>296</v>
      </c>
      <c r="L351" t="s">
        <v>59</v>
      </c>
      <c r="M351" t="s">
        <v>460</v>
      </c>
      <c r="N351" t="s">
        <v>52</v>
      </c>
      <c r="O351" t="s">
        <v>582</v>
      </c>
      <c r="P351" t="s">
        <v>34</v>
      </c>
      <c r="Q351" t="s">
        <v>35</v>
      </c>
      <c r="R351" t="s">
        <v>583</v>
      </c>
      <c r="S351" t="s">
        <v>584</v>
      </c>
      <c r="T351" t="s">
        <v>585</v>
      </c>
      <c r="U351" s="10" t="s">
        <v>1055</v>
      </c>
      <c r="V351" s="10" t="s">
        <v>1077</v>
      </c>
      <c r="W351" s="10" t="s">
        <v>1075</v>
      </c>
      <c r="X351" s="10" t="s">
        <v>1059</v>
      </c>
      <c r="Y351" t="s">
        <v>140</v>
      </c>
      <c r="Z351" t="s">
        <v>40</v>
      </c>
      <c r="AA351" t="s">
        <v>63</v>
      </c>
    </row>
    <row r="352" spans="1:27" x14ac:dyDescent="0.8">
      <c r="A352">
        <v>1201</v>
      </c>
      <c r="B352">
        <v>1748</v>
      </c>
      <c r="C352" s="2">
        <v>44386</v>
      </c>
      <c r="D352" t="s">
        <v>129</v>
      </c>
      <c r="E352" t="s">
        <v>125</v>
      </c>
      <c r="F352" t="s">
        <v>26</v>
      </c>
      <c r="G352" t="s">
        <v>45</v>
      </c>
      <c r="H352" t="s">
        <v>55</v>
      </c>
      <c r="I352" t="s">
        <v>69</v>
      </c>
      <c r="J352" t="s">
        <v>295</v>
      </c>
      <c r="K352" t="s">
        <v>296</v>
      </c>
      <c r="L352" t="s">
        <v>65</v>
      </c>
      <c r="M352" t="s">
        <v>297</v>
      </c>
      <c r="N352" t="s">
        <v>61</v>
      </c>
      <c r="O352" t="s">
        <v>582</v>
      </c>
      <c r="P352" t="s">
        <v>34</v>
      </c>
      <c r="Q352" t="s">
        <v>35</v>
      </c>
      <c r="R352" t="s">
        <v>583</v>
      </c>
      <c r="S352" t="s">
        <v>584</v>
      </c>
      <c r="T352" t="s">
        <v>585</v>
      </c>
      <c r="U352" s="10" t="s">
        <v>1055</v>
      </c>
      <c r="V352" s="10" t="s">
        <v>1077</v>
      </c>
      <c r="W352" s="10" t="s">
        <v>1075</v>
      </c>
      <c r="X352" s="10" t="s">
        <v>1059</v>
      </c>
      <c r="Y352" t="s">
        <v>39</v>
      </c>
      <c r="Z352" t="s">
        <v>40</v>
      </c>
      <c r="AA352" t="s">
        <v>63</v>
      </c>
    </row>
    <row r="353" spans="1:27" x14ac:dyDescent="0.8">
      <c r="A353">
        <v>1186</v>
      </c>
      <c r="B353">
        <v>1733</v>
      </c>
      <c r="C353" s="2">
        <v>44386</v>
      </c>
      <c r="D353" t="s">
        <v>129</v>
      </c>
      <c r="E353" t="s">
        <v>63</v>
      </c>
      <c r="F353" t="s">
        <v>26</v>
      </c>
      <c r="G353" t="s">
        <v>45</v>
      </c>
      <c r="H353" t="s">
        <v>55</v>
      </c>
      <c r="I353" t="s">
        <v>69</v>
      </c>
      <c r="J353" t="s">
        <v>295</v>
      </c>
      <c r="K353" t="s">
        <v>296</v>
      </c>
      <c r="L353" t="s">
        <v>65</v>
      </c>
      <c r="M353" t="s">
        <v>297</v>
      </c>
      <c r="N353" t="s">
        <v>61</v>
      </c>
      <c r="O353" t="s">
        <v>582</v>
      </c>
      <c r="P353" t="s">
        <v>34</v>
      </c>
      <c r="Q353" t="s">
        <v>35</v>
      </c>
      <c r="R353" t="s">
        <v>583</v>
      </c>
      <c r="S353" t="s">
        <v>584</v>
      </c>
      <c r="T353" t="s">
        <v>585</v>
      </c>
      <c r="U353" s="10" t="s">
        <v>1055</v>
      </c>
      <c r="V353" s="10" t="s">
        <v>1077</v>
      </c>
      <c r="W353" s="10" t="s">
        <v>1075</v>
      </c>
      <c r="X353" s="10" t="s">
        <v>1059</v>
      </c>
      <c r="Y353" t="s">
        <v>39</v>
      </c>
      <c r="Z353" t="s">
        <v>40</v>
      </c>
      <c r="AA353" t="s">
        <v>63</v>
      </c>
    </row>
    <row r="354" spans="1:27" x14ac:dyDescent="0.8">
      <c r="A354">
        <v>1158</v>
      </c>
      <c r="B354">
        <v>1655</v>
      </c>
      <c r="C354" s="2">
        <v>44386</v>
      </c>
      <c r="D354" t="s">
        <v>129</v>
      </c>
      <c r="E354" t="s">
        <v>53</v>
      </c>
      <c r="F354" t="s">
        <v>26</v>
      </c>
      <c r="G354" t="s">
        <v>45</v>
      </c>
      <c r="H354" t="s">
        <v>55</v>
      </c>
      <c r="I354" t="s">
        <v>69</v>
      </c>
      <c r="J354" t="s">
        <v>295</v>
      </c>
      <c r="K354" t="s">
        <v>296</v>
      </c>
      <c r="L354" t="s">
        <v>65</v>
      </c>
      <c r="M354" t="s">
        <v>297</v>
      </c>
      <c r="N354" t="s">
        <v>61</v>
      </c>
      <c r="O354" t="s">
        <v>582</v>
      </c>
      <c r="P354" t="s">
        <v>34</v>
      </c>
      <c r="Q354" t="s">
        <v>35</v>
      </c>
      <c r="R354" t="s">
        <v>583</v>
      </c>
      <c r="S354" t="s">
        <v>584</v>
      </c>
      <c r="T354" t="s">
        <v>585</v>
      </c>
      <c r="U354" s="10" t="s">
        <v>1055</v>
      </c>
      <c r="V354" s="10" t="s">
        <v>1077</v>
      </c>
      <c r="W354" s="10" t="s">
        <v>1075</v>
      </c>
      <c r="X354" s="10" t="s">
        <v>1059</v>
      </c>
      <c r="Y354" t="s">
        <v>140</v>
      </c>
      <c r="Z354" t="s">
        <v>40</v>
      </c>
      <c r="AA354" t="s">
        <v>63</v>
      </c>
    </row>
    <row r="355" spans="1:27" x14ac:dyDescent="0.8">
      <c r="A355">
        <v>1194</v>
      </c>
      <c r="B355">
        <v>1741</v>
      </c>
      <c r="C355" s="2">
        <v>44386</v>
      </c>
      <c r="D355" t="s">
        <v>129</v>
      </c>
      <c r="E355" t="s">
        <v>25</v>
      </c>
      <c r="F355" t="s">
        <v>26</v>
      </c>
      <c r="G355" t="s">
        <v>45</v>
      </c>
      <c r="H355" t="s">
        <v>46</v>
      </c>
      <c r="I355" t="s">
        <v>47</v>
      </c>
      <c r="J355" t="s">
        <v>48</v>
      </c>
      <c r="K355" t="s">
        <v>49</v>
      </c>
      <c r="L355" t="s">
        <v>50</v>
      </c>
      <c r="M355" t="s">
        <v>51</v>
      </c>
      <c r="N355" t="s">
        <v>61</v>
      </c>
      <c r="O355" t="s">
        <v>582</v>
      </c>
      <c r="P355" t="s">
        <v>34</v>
      </c>
      <c r="Q355" t="s">
        <v>35</v>
      </c>
      <c r="R355" t="s">
        <v>583</v>
      </c>
      <c r="S355" t="s">
        <v>584</v>
      </c>
      <c r="T355" t="s">
        <v>585</v>
      </c>
      <c r="U355" s="10" t="s">
        <v>1055</v>
      </c>
      <c r="V355" s="10" t="s">
        <v>1077</v>
      </c>
      <c r="W355" s="10" t="s">
        <v>1075</v>
      </c>
      <c r="X355" s="10" t="s">
        <v>1059</v>
      </c>
      <c r="Y355" t="s">
        <v>39</v>
      </c>
      <c r="Z355" t="s">
        <v>40</v>
      </c>
      <c r="AA355" t="s">
        <v>63</v>
      </c>
    </row>
    <row r="356" spans="1:27" x14ac:dyDescent="0.8">
      <c r="A356">
        <v>1593</v>
      </c>
      <c r="B356">
        <v>580</v>
      </c>
      <c r="C356" s="2">
        <v>44388</v>
      </c>
      <c r="D356" t="s">
        <v>124</v>
      </c>
      <c r="E356" t="s">
        <v>53</v>
      </c>
      <c r="F356" t="s">
        <v>26</v>
      </c>
      <c r="G356" t="s">
        <v>45</v>
      </c>
      <c r="H356" t="s">
        <v>68</v>
      </c>
      <c r="I356" t="s">
        <v>69</v>
      </c>
      <c r="J356" t="s">
        <v>70</v>
      </c>
      <c r="K356" t="s">
        <v>71</v>
      </c>
      <c r="L356" t="s">
        <v>72</v>
      </c>
      <c r="M356" t="s">
        <v>73</v>
      </c>
      <c r="N356" t="s">
        <v>61</v>
      </c>
      <c r="O356" t="s">
        <v>582</v>
      </c>
      <c r="P356" t="s">
        <v>34</v>
      </c>
      <c r="Q356" t="s">
        <v>35</v>
      </c>
      <c r="R356" t="s">
        <v>583</v>
      </c>
      <c r="S356" t="s">
        <v>584</v>
      </c>
      <c r="T356" t="s">
        <v>585</v>
      </c>
      <c r="U356" s="10" t="s">
        <v>1055</v>
      </c>
      <c r="V356" s="10" t="s">
        <v>1077</v>
      </c>
      <c r="W356" s="10" t="s">
        <v>1075</v>
      </c>
      <c r="X356" s="10" t="s">
        <v>1059</v>
      </c>
      <c r="Y356" t="s">
        <v>39</v>
      </c>
      <c r="Z356" t="s">
        <v>40</v>
      </c>
      <c r="AA356" t="s">
        <v>125</v>
      </c>
    </row>
    <row r="357" spans="1:27" x14ac:dyDescent="0.8">
      <c r="A357">
        <v>556</v>
      </c>
      <c r="B357">
        <v>187</v>
      </c>
      <c r="C357" s="2">
        <v>44388</v>
      </c>
      <c r="D357" t="s">
        <v>124</v>
      </c>
      <c r="E357" t="s">
        <v>125</v>
      </c>
      <c r="F357" t="s">
        <v>26</v>
      </c>
      <c r="G357" t="s">
        <v>45</v>
      </c>
      <c r="H357" t="s">
        <v>68</v>
      </c>
      <c r="I357" t="s">
        <v>69</v>
      </c>
      <c r="J357" t="s">
        <v>70</v>
      </c>
      <c r="K357" t="s">
        <v>71</v>
      </c>
      <c r="L357" t="s">
        <v>72</v>
      </c>
      <c r="M357" t="s">
        <v>73</v>
      </c>
      <c r="N357" t="s">
        <v>61</v>
      </c>
      <c r="O357" t="s">
        <v>582</v>
      </c>
      <c r="P357" t="s">
        <v>34</v>
      </c>
      <c r="Q357" t="s">
        <v>35</v>
      </c>
      <c r="R357" t="s">
        <v>583</v>
      </c>
      <c r="S357" t="s">
        <v>584</v>
      </c>
      <c r="T357" t="s">
        <v>585</v>
      </c>
      <c r="U357" s="10" t="s">
        <v>1055</v>
      </c>
      <c r="V357" s="10" t="s">
        <v>1077</v>
      </c>
      <c r="W357" s="10" t="s">
        <v>1075</v>
      </c>
      <c r="X357" s="10" t="s">
        <v>1059</v>
      </c>
      <c r="Y357" t="s">
        <v>39</v>
      </c>
      <c r="Z357" t="s">
        <v>40</v>
      </c>
      <c r="AA357" t="s">
        <v>63</v>
      </c>
    </row>
    <row r="358" spans="1:27" x14ac:dyDescent="0.8">
      <c r="A358">
        <v>186</v>
      </c>
      <c r="B358">
        <v>1342</v>
      </c>
      <c r="C358" s="2">
        <v>44388</v>
      </c>
      <c r="D358" t="s">
        <v>124</v>
      </c>
      <c r="E358" t="s">
        <v>25</v>
      </c>
      <c r="F358" t="s">
        <v>26</v>
      </c>
      <c r="G358" t="s">
        <v>45</v>
      </c>
      <c r="H358" t="s">
        <v>68</v>
      </c>
      <c r="I358" t="s">
        <v>69</v>
      </c>
      <c r="J358" t="s">
        <v>70</v>
      </c>
      <c r="K358" t="s">
        <v>71</v>
      </c>
      <c r="L358" t="s">
        <v>72</v>
      </c>
      <c r="M358" t="s">
        <v>73</v>
      </c>
      <c r="N358" t="s">
        <v>61</v>
      </c>
      <c r="O358" t="s">
        <v>582</v>
      </c>
      <c r="P358" t="s">
        <v>34</v>
      </c>
      <c r="Q358" t="s">
        <v>35</v>
      </c>
      <c r="R358" t="s">
        <v>583</v>
      </c>
      <c r="S358" t="s">
        <v>584</v>
      </c>
      <c r="T358" t="s">
        <v>585</v>
      </c>
      <c r="U358" s="10" t="s">
        <v>1055</v>
      </c>
      <c r="V358" s="10" t="s">
        <v>1077</v>
      </c>
      <c r="W358" s="10" t="s">
        <v>1075</v>
      </c>
      <c r="X358" s="10" t="s">
        <v>1059</v>
      </c>
      <c r="Y358" t="s">
        <v>140</v>
      </c>
      <c r="Z358" t="s">
        <v>40</v>
      </c>
      <c r="AA358" t="s">
        <v>53</v>
      </c>
    </row>
    <row r="359" spans="1:27" x14ac:dyDescent="0.8">
      <c r="A359">
        <v>1686</v>
      </c>
      <c r="B359">
        <v>565</v>
      </c>
      <c r="C359" s="2">
        <v>44388</v>
      </c>
      <c r="D359" t="s">
        <v>124</v>
      </c>
      <c r="E359" t="s">
        <v>53</v>
      </c>
      <c r="F359" t="s">
        <v>26</v>
      </c>
      <c r="G359" t="s">
        <v>45</v>
      </c>
      <c r="H359" t="s">
        <v>55</v>
      </c>
      <c r="I359" t="s">
        <v>69</v>
      </c>
      <c r="J359" t="s">
        <v>295</v>
      </c>
      <c r="K359" t="s">
        <v>296</v>
      </c>
      <c r="L359" t="s">
        <v>65</v>
      </c>
      <c r="M359" t="s">
        <v>297</v>
      </c>
      <c r="N359" t="s">
        <v>61</v>
      </c>
      <c r="O359" t="s">
        <v>582</v>
      </c>
      <c r="P359" t="s">
        <v>34</v>
      </c>
      <c r="Q359" t="s">
        <v>35</v>
      </c>
      <c r="R359" t="s">
        <v>583</v>
      </c>
      <c r="S359" t="s">
        <v>584</v>
      </c>
      <c r="T359" t="s">
        <v>585</v>
      </c>
      <c r="U359" s="10" t="s">
        <v>1055</v>
      </c>
      <c r="V359" s="10" t="s">
        <v>1077</v>
      </c>
      <c r="W359" s="10" t="s">
        <v>1075</v>
      </c>
      <c r="X359" s="10" t="s">
        <v>1059</v>
      </c>
      <c r="Y359" t="s">
        <v>39</v>
      </c>
      <c r="Z359" t="s">
        <v>40</v>
      </c>
      <c r="AA359" t="s">
        <v>41</v>
      </c>
    </row>
    <row r="360" spans="1:27" x14ac:dyDescent="0.8">
      <c r="A360">
        <v>541</v>
      </c>
      <c r="B360">
        <v>172</v>
      </c>
      <c r="C360" s="2">
        <v>44388</v>
      </c>
      <c r="D360" t="s">
        <v>124</v>
      </c>
      <c r="E360" t="s">
        <v>25</v>
      </c>
      <c r="F360" t="s">
        <v>26</v>
      </c>
      <c r="G360" t="s">
        <v>45</v>
      </c>
      <c r="H360" t="s">
        <v>55</v>
      </c>
      <c r="I360" t="s">
        <v>69</v>
      </c>
      <c r="J360" t="s">
        <v>295</v>
      </c>
      <c r="K360" t="s">
        <v>296</v>
      </c>
      <c r="L360" t="s">
        <v>65</v>
      </c>
      <c r="M360" t="s">
        <v>297</v>
      </c>
      <c r="N360" t="s">
        <v>61</v>
      </c>
      <c r="O360" t="s">
        <v>582</v>
      </c>
      <c r="P360" t="s">
        <v>34</v>
      </c>
      <c r="Q360" t="s">
        <v>35</v>
      </c>
      <c r="R360" t="s">
        <v>583</v>
      </c>
      <c r="S360" t="s">
        <v>584</v>
      </c>
      <c r="T360" t="s">
        <v>585</v>
      </c>
      <c r="U360" s="10" t="s">
        <v>1055</v>
      </c>
      <c r="V360" s="10" t="s">
        <v>1077</v>
      </c>
      <c r="W360" s="10" t="s">
        <v>1075</v>
      </c>
      <c r="X360" s="10" t="s">
        <v>1059</v>
      </c>
      <c r="Y360" t="s">
        <v>39</v>
      </c>
      <c r="Z360" t="s">
        <v>40</v>
      </c>
      <c r="AA360" t="s">
        <v>63</v>
      </c>
    </row>
    <row r="361" spans="1:27" x14ac:dyDescent="0.8">
      <c r="A361">
        <v>1381</v>
      </c>
      <c r="B361">
        <v>2078</v>
      </c>
      <c r="C361" s="2">
        <v>44386</v>
      </c>
      <c r="D361" t="s">
        <v>67</v>
      </c>
      <c r="E361" t="s">
        <v>63</v>
      </c>
      <c r="F361" t="s">
        <v>26</v>
      </c>
      <c r="G361" t="s">
        <v>27</v>
      </c>
      <c r="H361" t="s">
        <v>114</v>
      </c>
      <c r="I361" t="s">
        <v>115</v>
      </c>
      <c r="J361" t="s">
        <v>116</v>
      </c>
      <c r="K361" t="s">
        <v>117</v>
      </c>
      <c r="L361" t="s">
        <v>195</v>
      </c>
      <c r="M361" t="s">
        <v>196</v>
      </c>
      <c r="O361" t="s">
        <v>278</v>
      </c>
      <c r="P361" t="s">
        <v>34</v>
      </c>
      <c r="Q361" t="s">
        <v>35</v>
      </c>
      <c r="R361" t="s">
        <v>279</v>
      </c>
      <c r="S361" t="s">
        <v>131</v>
      </c>
      <c r="T361" t="s">
        <v>280</v>
      </c>
      <c r="U361" s="10" t="s">
        <v>1064</v>
      </c>
      <c r="V361" s="10" t="s">
        <v>1077</v>
      </c>
      <c r="W361" s="10" t="s">
        <v>1075</v>
      </c>
      <c r="X361" s="10" t="s">
        <v>1059</v>
      </c>
      <c r="Y361" t="s">
        <v>39</v>
      </c>
      <c r="Z361" t="s">
        <v>40</v>
      </c>
      <c r="AA361" t="s">
        <v>63</v>
      </c>
    </row>
    <row r="362" spans="1:27" x14ac:dyDescent="0.8">
      <c r="A362">
        <v>1343</v>
      </c>
      <c r="B362">
        <v>2090</v>
      </c>
      <c r="C362" s="2">
        <v>44386</v>
      </c>
      <c r="D362" t="s">
        <v>67</v>
      </c>
      <c r="E362" t="s">
        <v>63</v>
      </c>
      <c r="F362" t="s">
        <v>26</v>
      </c>
      <c r="G362" t="s">
        <v>45</v>
      </c>
      <c r="H362" t="s">
        <v>46</v>
      </c>
      <c r="I362" t="s">
        <v>47</v>
      </c>
      <c r="J362" t="s">
        <v>48</v>
      </c>
      <c r="K362" t="s">
        <v>49</v>
      </c>
      <c r="L362" t="s">
        <v>50</v>
      </c>
      <c r="M362" t="s">
        <v>51</v>
      </c>
      <c r="N362" t="s">
        <v>61</v>
      </c>
      <c r="O362" t="s">
        <v>278</v>
      </c>
      <c r="P362" t="s">
        <v>34</v>
      </c>
      <c r="Q362" t="s">
        <v>35</v>
      </c>
      <c r="R362" t="s">
        <v>279</v>
      </c>
      <c r="S362" t="s">
        <v>131</v>
      </c>
      <c r="T362" t="s">
        <v>280</v>
      </c>
      <c r="U362" s="10" t="s">
        <v>1064</v>
      </c>
      <c r="V362" s="10" t="s">
        <v>1077</v>
      </c>
      <c r="W362" s="10" t="s">
        <v>1075</v>
      </c>
      <c r="X362" s="10" t="s">
        <v>1059</v>
      </c>
      <c r="Y362" t="s">
        <v>140</v>
      </c>
      <c r="Z362" t="s">
        <v>40</v>
      </c>
      <c r="AA362" t="s">
        <v>63</v>
      </c>
    </row>
    <row r="363" spans="1:27" x14ac:dyDescent="0.8">
      <c r="A363">
        <v>1391</v>
      </c>
      <c r="B363">
        <v>2088</v>
      </c>
      <c r="C363" s="2">
        <v>44386</v>
      </c>
      <c r="D363" t="s">
        <v>67</v>
      </c>
      <c r="E363" t="s">
        <v>25</v>
      </c>
      <c r="F363" t="s">
        <v>26</v>
      </c>
      <c r="G363" t="s">
        <v>45</v>
      </c>
      <c r="H363" t="s">
        <v>55</v>
      </c>
      <c r="I363" t="s">
        <v>249</v>
      </c>
      <c r="J363" t="s">
        <v>281</v>
      </c>
      <c r="K363" t="s">
        <v>282</v>
      </c>
      <c r="L363" t="s">
        <v>112</v>
      </c>
      <c r="M363" t="s">
        <v>283</v>
      </c>
      <c r="N363" t="s">
        <v>61</v>
      </c>
      <c r="O363" t="s">
        <v>278</v>
      </c>
      <c r="P363" t="s">
        <v>34</v>
      </c>
      <c r="Q363" t="s">
        <v>35</v>
      </c>
      <c r="R363" t="s">
        <v>279</v>
      </c>
      <c r="S363" t="s">
        <v>131</v>
      </c>
      <c r="T363" t="s">
        <v>280</v>
      </c>
      <c r="U363" s="10" t="s">
        <v>1064</v>
      </c>
      <c r="V363" s="10" t="s">
        <v>1077</v>
      </c>
      <c r="W363" s="10" t="s">
        <v>1075</v>
      </c>
      <c r="X363" s="10" t="s">
        <v>1059</v>
      </c>
      <c r="Y363" t="s">
        <v>39</v>
      </c>
      <c r="Z363" t="s">
        <v>40</v>
      </c>
      <c r="AA363" t="s">
        <v>63</v>
      </c>
    </row>
    <row r="364" spans="1:27" x14ac:dyDescent="0.8">
      <c r="A364">
        <v>500</v>
      </c>
      <c r="B364">
        <v>789</v>
      </c>
      <c r="C364" s="2">
        <v>44386</v>
      </c>
      <c r="D364" t="s">
        <v>93</v>
      </c>
      <c r="E364" t="s">
        <v>44</v>
      </c>
      <c r="F364" t="s">
        <v>26</v>
      </c>
      <c r="G364" t="s">
        <v>45</v>
      </c>
      <c r="H364" t="s">
        <v>68</v>
      </c>
      <c r="I364" t="s">
        <v>69</v>
      </c>
      <c r="J364" t="s">
        <v>70</v>
      </c>
      <c r="K364" t="s">
        <v>71</v>
      </c>
      <c r="L364" t="s">
        <v>72</v>
      </c>
      <c r="M364" t="s">
        <v>73</v>
      </c>
      <c r="N364" t="s">
        <v>61</v>
      </c>
      <c r="O364" t="s">
        <v>278</v>
      </c>
      <c r="P364" t="s">
        <v>34</v>
      </c>
      <c r="Q364" t="s">
        <v>35</v>
      </c>
      <c r="R364" t="s">
        <v>279</v>
      </c>
      <c r="S364" t="s">
        <v>131</v>
      </c>
      <c r="T364" t="s">
        <v>280</v>
      </c>
      <c r="U364" s="10" t="s">
        <v>1064</v>
      </c>
      <c r="V364" s="10" t="s">
        <v>1077</v>
      </c>
      <c r="W364" s="10" t="s">
        <v>1075</v>
      </c>
      <c r="X364" s="10" t="s">
        <v>1059</v>
      </c>
      <c r="Y364" t="s">
        <v>39</v>
      </c>
      <c r="Z364" t="s">
        <v>40</v>
      </c>
      <c r="AA364" t="s">
        <v>63</v>
      </c>
    </row>
    <row r="365" spans="1:27" x14ac:dyDescent="0.8">
      <c r="A365">
        <v>1500</v>
      </c>
      <c r="B365">
        <v>2347</v>
      </c>
      <c r="C365" s="2">
        <v>44388</v>
      </c>
      <c r="D365" t="s">
        <v>134</v>
      </c>
      <c r="E365" t="s">
        <v>25</v>
      </c>
      <c r="F365" t="s">
        <v>26</v>
      </c>
      <c r="G365" t="s">
        <v>27</v>
      </c>
      <c r="H365" t="s">
        <v>114</v>
      </c>
      <c r="I365" t="s">
        <v>115</v>
      </c>
      <c r="J365" t="s">
        <v>116</v>
      </c>
      <c r="K365" t="s">
        <v>117</v>
      </c>
      <c r="L365" t="s">
        <v>195</v>
      </c>
      <c r="M365" t="s">
        <v>196</v>
      </c>
      <c r="O365" t="s">
        <v>278</v>
      </c>
      <c r="P365" t="s">
        <v>34</v>
      </c>
      <c r="Q365" t="s">
        <v>35</v>
      </c>
      <c r="R365" t="s">
        <v>279</v>
      </c>
      <c r="S365" t="s">
        <v>131</v>
      </c>
      <c r="T365" t="s">
        <v>280</v>
      </c>
      <c r="U365" s="10" t="s">
        <v>1064</v>
      </c>
      <c r="V365" s="10" t="s">
        <v>1077</v>
      </c>
      <c r="W365" s="10" t="s">
        <v>1075</v>
      </c>
      <c r="X365" s="10" t="s">
        <v>1059</v>
      </c>
      <c r="Y365" t="s">
        <v>39</v>
      </c>
      <c r="Z365" t="s">
        <v>40</v>
      </c>
      <c r="AA365" t="s">
        <v>63</v>
      </c>
    </row>
    <row r="366" spans="1:27" x14ac:dyDescent="0.8">
      <c r="A366">
        <v>1484</v>
      </c>
      <c r="B366">
        <v>2331</v>
      </c>
      <c r="C366" s="2">
        <v>44388</v>
      </c>
      <c r="D366" t="s">
        <v>134</v>
      </c>
      <c r="E366" t="s">
        <v>25</v>
      </c>
      <c r="F366" t="s">
        <v>26</v>
      </c>
      <c r="G366" t="s">
        <v>27</v>
      </c>
      <c r="H366" t="s">
        <v>114</v>
      </c>
      <c r="I366" t="s">
        <v>115</v>
      </c>
      <c r="J366" t="s">
        <v>116</v>
      </c>
      <c r="K366" t="s">
        <v>117</v>
      </c>
      <c r="L366" t="s">
        <v>195</v>
      </c>
      <c r="M366" t="s">
        <v>196</v>
      </c>
      <c r="O366" t="s">
        <v>278</v>
      </c>
      <c r="P366" t="s">
        <v>34</v>
      </c>
      <c r="Q366" t="s">
        <v>35</v>
      </c>
      <c r="R366" t="s">
        <v>279</v>
      </c>
      <c r="S366" t="s">
        <v>131</v>
      </c>
      <c r="T366" t="s">
        <v>280</v>
      </c>
      <c r="U366" s="10" t="s">
        <v>1064</v>
      </c>
      <c r="V366" s="10" t="s">
        <v>1077</v>
      </c>
      <c r="W366" s="10" t="s">
        <v>1075</v>
      </c>
      <c r="X366" s="10" t="s">
        <v>1059</v>
      </c>
      <c r="Y366" t="s">
        <v>39</v>
      </c>
      <c r="Z366" t="s">
        <v>40</v>
      </c>
      <c r="AA366" t="s">
        <v>63</v>
      </c>
    </row>
    <row r="367" spans="1:27" x14ac:dyDescent="0.8">
      <c r="A367">
        <v>1457</v>
      </c>
      <c r="B367">
        <v>2254</v>
      </c>
      <c r="C367" s="2">
        <v>44388</v>
      </c>
      <c r="D367" t="s">
        <v>134</v>
      </c>
      <c r="E367" t="s">
        <v>25</v>
      </c>
      <c r="F367" t="s">
        <v>26</v>
      </c>
      <c r="G367" t="s">
        <v>45</v>
      </c>
      <c r="H367" t="s">
        <v>155</v>
      </c>
      <c r="I367" t="s">
        <v>69</v>
      </c>
      <c r="J367" t="s">
        <v>156</v>
      </c>
      <c r="K367" t="s">
        <v>157</v>
      </c>
      <c r="L367" t="s">
        <v>158</v>
      </c>
      <c r="M367" t="s">
        <v>159</v>
      </c>
      <c r="N367" t="s">
        <v>52</v>
      </c>
      <c r="O367" t="s">
        <v>278</v>
      </c>
      <c r="P367" t="s">
        <v>34</v>
      </c>
      <c r="Q367" t="s">
        <v>35</v>
      </c>
      <c r="R367" t="s">
        <v>279</v>
      </c>
      <c r="S367" t="s">
        <v>131</v>
      </c>
      <c r="T367" t="s">
        <v>280</v>
      </c>
      <c r="U367" s="10" t="s">
        <v>1064</v>
      </c>
      <c r="V367" s="10" t="s">
        <v>1077</v>
      </c>
      <c r="W367" s="10" t="s">
        <v>1075</v>
      </c>
      <c r="X367" s="10" t="s">
        <v>1059</v>
      </c>
      <c r="Y367" t="s">
        <v>39</v>
      </c>
      <c r="Z367" t="s">
        <v>40</v>
      </c>
      <c r="AA367" t="s">
        <v>63</v>
      </c>
    </row>
    <row r="368" spans="1:27" x14ac:dyDescent="0.8">
      <c r="A368">
        <v>1472</v>
      </c>
      <c r="B368">
        <v>2319</v>
      </c>
      <c r="C368" s="2">
        <v>44388</v>
      </c>
      <c r="D368" t="s">
        <v>134</v>
      </c>
      <c r="E368" t="s">
        <v>25</v>
      </c>
      <c r="F368" t="s">
        <v>26</v>
      </c>
      <c r="G368" t="s">
        <v>45</v>
      </c>
      <c r="H368" t="s">
        <v>55</v>
      </c>
      <c r="I368" t="s">
        <v>56</v>
      </c>
      <c r="J368" t="s">
        <v>57</v>
      </c>
      <c r="K368" t="s">
        <v>58</v>
      </c>
      <c r="L368" t="s">
        <v>59</v>
      </c>
      <c r="M368" t="s">
        <v>60</v>
      </c>
      <c r="N368" t="s">
        <v>61</v>
      </c>
      <c r="O368" t="s">
        <v>278</v>
      </c>
      <c r="P368" t="s">
        <v>34</v>
      </c>
      <c r="Q368" t="s">
        <v>35</v>
      </c>
      <c r="R368" t="s">
        <v>279</v>
      </c>
      <c r="S368" t="s">
        <v>131</v>
      </c>
      <c r="T368" t="s">
        <v>280</v>
      </c>
      <c r="U368" s="10" t="s">
        <v>1064</v>
      </c>
      <c r="V368" s="10" t="s">
        <v>1077</v>
      </c>
      <c r="W368" s="10" t="s">
        <v>1075</v>
      </c>
      <c r="X368" s="10" t="s">
        <v>1059</v>
      </c>
      <c r="Y368" t="s">
        <v>39</v>
      </c>
      <c r="Z368" t="s">
        <v>40</v>
      </c>
      <c r="AA368" t="s">
        <v>63</v>
      </c>
    </row>
    <row r="369" spans="1:28" x14ac:dyDescent="0.8">
      <c r="A369">
        <v>267</v>
      </c>
      <c r="B369">
        <v>39</v>
      </c>
      <c r="C369" s="2">
        <v>44386</v>
      </c>
      <c r="D369" t="s">
        <v>43</v>
      </c>
      <c r="E369" t="s">
        <v>25</v>
      </c>
      <c r="F369" t="s">
        <v>26</v>
      </c>
      <c r="G369" t="s">
        <v>45</v>
      </c>
      <c r="H369" t="s">
        <v>55</v>
      </c>
      <c r="I369" t="s">
        <v>56</v>
      </c>
      <c r="J369" t="s">
        <v>57</v>
      </c>
      <c r="K369" t="s">
        <v>58</v>
      </c>
      <c r="L369" t="s">
        <v>171</v>
      </c>
      <c r="M369" t="s">
        <v>172</v>
      </c>
      <c r="N369" t="s">
        <v>52</v>
      </c>
      <c r="O369" t="s">
        <v>278</v>
      </c>
      <c r="P369" t="s">
        <v>34</v>
      </c>
      <c r="Q369" t="s">
        <v>35</v>
      </c>
      <c r="R369" t="s">
        <v>279</v>
      </c>
      <c r="S369" t="s">
        <v>131</v>
      </c>
      <c r="T369" t="s">
        <v>280</v>
      </c>
      <c r="U369" s="10" t="s">
        <v>1064</v>
      </c>
      <c r="V369" s="10" t="s">
        <v>1077</v>
      </c>
      <c r="W369" s="10" t="s">
        <v>1075</v>
      </c>
      <c r="X369" s="10" t="s">
        <v>1059</v>
      </c>
      <c r="Y369" t="s">
        <v>39</v>
      </c>
      <c r="Z369" t="s">
        <v>40</v>
      </c>
      <c r="AA369" t="s">
        <v>53</v>
      </c>
      <c r="AB369" t="s">
        <v>222</v>
      </c>
    </row>
    <row r="370" spans="1:28" x14ac:dyDescent="0.8">
      <c r="A370">
        <v>266</v>
      </c>
      <c r="B370">
        <v>38</v>
      </c>
      <c r="C370" s="2">
        <v>44386</v>
      </c>
      <c r="D370" t="s">
        <v>43</v>
      </c>
      <c r="E370" t="s">
        <v>25</v>
      </c>
      <c r="F370" t="s">
        <v>26</v>
      </c>
      <c r="G370" t="s">
        <v>45</v>
      </c>
      <c r="H370" t="s">
        <v>46</v>
      </c>
      <c r="I370" t="s">
        <v>47</v>
      </c>
      <c r="J370" t="s">
        <v>48</v>
      </c>
      <c r="K370" t="s">
        <v>49</v>
      </c>
      <c r="L370" t="s">
        <v>50</v>
      </c>
      <c r="M370" t="s">
        <v>51</v>
      </c>
      <c r="N370" t="s">
        <v>61</v>
      </c>
      <c r="O370" t="s">
        <v>278</v>
      </c>
      <c r="P370" t="s">
        <v>34</v>
      </c>
      <c r="Q370" t="s">
        <v>35</v>
      </c>
      <c r="R370" t="s">
        <v>279</v>
      </c>
      <c r="S370" t="s">
        <v>131</v>
      </c>
      <c r="T370" t="s">
        <v>280</v>
      </c>
      <c r="U370" s="10" t="s">
        <v>1064</v>
      </c>
      <c r="V370" s="10" t="s">
        <v>1077</v>
      </c>
      <c r="W370" s="10" t="s">
        <v>1075</v>
      </c>
      <c r="X370" s="10" t="s">
        <v>1059</v>
      </c>
      <c r="Y370" t="s">
        <v>39</v>
      </c>
      <c r="Z370" t="s">
        <v>40</v>
      </c>
      <c r="AA370" t="s">
        <v>53</v>
      </c>
      <c r="AB370" t="s">
        <v>226</v>
      </c>
    </row>
    <row r="371" spans="1:28" x14ac:dyDescent="0.8">
      <c r="A371">
        <v>104</v>
      </c>
      <c r="B371">
        <v>111</v>
      </c>
      <c r="C371" s="2">
        <v>44386</v>
      </c>
      <c r="D371" t="s">
        <v>43</v>
      </c>
      <c r="E371" t="s">
        <v>25</v>
      </c>
      <c r="F371" t="s">
        <v>26</v>
      </c>
      <c r="G371" t="s">
        <v>45</v>
      </c>
      <c r="H371" t="s">
        <v>46</v>
      </c>
      <c r="I371" t="s">
        <v>47</v>
      </c>
      <c r="J371" t="s">
        <v>48</v>
      </c>
      <c r="K371" t="s">
        <v>49</v>
      </c>
      <c r="L371" t="s">
        <v>50</v>
      </c>
      <c r="M371" t="s">
        <v>51</v>
      </c>
      <c r="N371" t="s">
        <v>61</v>
      </c>
      <c r="O371" t="s">
        <v>278</v>
      </c>
      <c r="P371" t="s">
        <v>34</v>
      </c>
      <c r="Q371" t="s">
        <v>35</v>
      </c>
      <c r="R371" t="s">
        <v>279</v>
      </c>
      <c r="S371" t="s">
        <v>131</v>
      </c>
      <c r="T371" t="s">
        <v>280</v>
      </c>
      <c r="U371" s="10" t="s">
        <v>1064</v>
      </c>
      <c r="V371" s="10" t="s">
        <v>1077</v>
      </c>
      <c r="W371" s="10" t="s">
        <v>1075</v>
      </c>
      <c r="X371" s="10" t="s">
        <v>1059</v>
      </c>
      <c r="Y371" t="s">
        <v>39</v>
      </c>
      <c r="Z371" t="s">
        <v>40</v>
      </c>
      <c r="AA371" t="s">
        <v>44</v>
      </c>
    </row>
    <row r="372" spans="1:28" x14ac:dyDescent="0.8">
      <c r="A372">
        <v>1227</v>
      </c>
      <c r="B372">
        <v>1824</v>
      </c>
      <c r="C372" s="2">
        <v>44387</v>
      </c>
      <c r="D372" t="s">
        <v>102</v>
      </c>
      <c r="E372" t="s">
        <v>25</v>
      </c>
      <c r="F372" t="s">
        <v>26</v>
      </c>
      <c r="G372" t="s">
        <v>45</v>
      </c>
      <c r="H372" t="s">
        <v>46</v>
      </c>
      <c r="I372" t="s">
        <v>47</v>
      </c>
      <c r="J372" t="s">
        <v>48</v>
      </c>
      <c r="K372" t="s">
        <v>49</v>
      </c>
      <c r="L372" t="s">
        <v>50</v>
      </c>
      <c r="M372" t="s">
        <v>51</v>
      </c>
      <c r="N372" t="s">
        <v>61</v>
      </c>
      <c r="O372" t="s">
        <v>278</v>
      </c>
      <c r="P372" t="s">
        <v>34</v>
      </c>
      <c r="Q372" t="s">
        <v>35</v>
      </c>
      <c r="R372" t="s">
        <v>279</v>
      </c>
      <c r="S372" t="s">
        <v>131</v>
      </c>
      <c r="T372" t="s">
        <v>280</v>
      </c>
      <c r="U372" s="10" t="s">
        <v>1064</v>
      </c>
      <c r="V372" s="10" t="s">
        <v>1077</v>
      </c>
      <c r="W372" s="10" t="s">
        <v>1075</v>
      </c>
      <c r="X372" s="10" t="s">
        <v>1059</v>
      </c>
      <c r="Y372" t="s">
        <v>39</v>
      </c>
      <c r="Z372" t="s">
        <v>62</v>
      </c>
      <c r="AA372" t="s">
        <v>63</v>
      </c>
    </row>
    <row r="373" spans="1:28" x14ac:dyDescent="0.8">
      <c r="A373">
        <v>1032</v>
      </c>
      <c r="B373">
        <v>1436</v>
      </c>
      <c r="C373" s="2">
        <v>44387</v>
      </c>
      <c r="D373" t="s">
        <v>54</v>
      </c>
      <c r="E373" t="s">
        <v>63</v>
      </c>
      <c r="F373" t="s">
        <v>26</v>
      </c>
      <c r="G373" t="s">
        <v>45</v>
      </c>
      <c r="H373" t="s">
        <v>55</v>
      </c>
      <c r="I373" t="s">
        <v>69</v>
      </c>
      <c r="J373" t="s">
        <v>284</v>
      </c>
      <c r="K373" t="s">
        <v>285</v>
      </c>
      <c r="L373" t="s">
        <v>286</v>
      </c>
      <c r="M373" t="s">
        <v>287</v>
      </c>
      <c r="N373" t="s">
        <v>52</v>
      </c>
      <c r="O373" t="s">
        <v>278</v>
      </c>
      <c r="P373" t="s">
        <v>34</v>
      </c>
      <c r="Q373" t="s">
        <v>35</v>
      </c>
      <c r="R373" t="s">
        <v>279</v>
      </c>
      <c r="S373" t="s">
        <v>131</v>
      </c>
      <c r="T373" t="s">
        <v>280</v>
      </c>
      <c r="U373" s="10" t="s">
        <v>1064</v>
      </c>
      <c r="V373" s="10" t="s">
        <v>1077</v>
      </c>
      <c r="W373" s="10" t="s">
        <v>1075</v>
      </c>
      <c r="X373" s="10" t="s">
        <v>1059</v>
      </c>
      <c r="Y373" t="s">
        <v>140</v>
      </c>
      <c r="Z373" t="s">
        <v>40</v>
      </c>
      <c r="AA373" t="s">
        <v>63</v>
      </c>
      <c r="AB373" t="s">
        <v>288</v>
      </c>
    </row>
    <row r="374" spans="1:28" x14ac:dyDescent="0.8">
      <c r="A374">
        <v>1036</v>
      </c>
      <c r="B374">
        <v>1440</v>
      </c>
      <c r="C374" s="2">
        <v>44387</v>
      </c>
      <c r="D374" t="s">
        <v>54</v>
      </c>
      <c r="E374" t="s">
        <v>25</v>
      </c>
      <c r="F374" t="s">
        <v>26</v>
      </c>
      <c r="G374" t="s">
        <v>45</v>
      </c>
      <c r="H374" t="s">
        <v>55</v>
      </c>
      <c r="I374" t="s">
        <v>69</v>
      </c>
      <c r="J374" t="s">
        <v>284</v>
      </c>
      <c r="K374" t="s">
        <v>285</v>
      </c>
      <c r="L374" t="s">
        <v>286</v>
      </c>
      <c r="M374" t="s">
        <v>287</v>
      </c>
      <c r="N374" t="s">
        <v>52</v>
      </c>
      <c r="O374" t="s">
        <v>278</v>
      </c>
      <c r="P374" t="s">
        <v>34</v>
      </c>
      <c r="Q374" t="s">
        <v>35</v>
      </c>
      <c r="R374" t="s">
        <v>279</v>
      </c>
      <c r="S374" t="s">
        <v>131</v>
      </c>
      <c r="T374" t="s">
        <v>280</v>
      </c>
      <c r="U374" s="10" t="s">
        <v>1064</v>
      </c>
      <c r="V374" s="10" t="s">
        <v>1077</v>
      </c>
      <c r="W374" s="10" t="s">
        <v>1075</v>
      </c>
      <c r="X374" s="10" t="s">
        <v>1059</v>
      </c>
      <c r="Y374" t="s">
        <v>140</v>
      </c>
      <c r="Z374" t="s">
        <v>40</v>
      </c>
      <c r="AA374" t="s">
        <v>63</v>
      </c>
      <c r="AB374" t="s">
        <v>289</v>
      </c>
    </row>
    <row r="375" spans="1:28" x14ac:dyDescent="0.8">
      <c r="A375">
        <v>1066</v>
      </c>
      <c r="B375">
        <v>250</v>
      </c>
      <c r="C375" s="2">
        <v>44387</v>
      </c>
      <c r="D375" t="s">
        <v>54</v>
      </c>
      <c r="E375" t="s">
        <v>25</v>
      </c>
      <c r="F375" t="s">
        <v>26</v>
      </c>
      <c r="G375" t="s">
        <v>45</v>
      </c>
      <c r="H375" t="s">
        <v>55</v>
      </c>
      <c r="I375" t="s">
        <v>69</v>
      </c>
      <c r="J375" t="s">
        <v>284</v>
      </c>
      <c r="K375" t="s">
        <v>285</v>
      </c>
      <c r="L375" t="s">
        <v>290</v>
      </c>
      <c r="M375" t="s">
        <v>291</v>
      </c>
      <c r="N375" t="s">
        <v>61</v>
      </c>
      <c r="O375" t="s">
        <v>278</v>
      </c>
      <c r="P375" t="s">
        <v>34</v>
      </c>
      <c r="Q375" t="s">
        <v>35</v>
      </c>
      <c r="R375" t="s">
        <v>279</v>
      </c>
      <c r="S375" t="s">
        <v>131</v>
      </c>
      <c r="T375" t="s">
        <v>280</v>
      </c>
      <c r="U375" s="10" t="s">
        <v>1064</v>
      </c>
      <c r="V375" s="10" t="s">
        <v>1077</v>
      </c>
      <c r="W375" s="10" t="s">
        <v>1075</v>
      </c>
      <c r="X375" s="10" t="s">
        <v>1059</v>
      </c>
      <c r="Y375" t="s">
        <v>39</v>
      </c>
      <c r="Z375" t="s">
        <v>40</v>
      </c>
      <c r="AA375" t="s">
        <v>63</v>
      </c>
    </row>
    <row r="376" spans="1:28" x14ac:dyDescent="0.8">
      <c r="A376">
        <v>1041</v>
      </c>
      <c r="B376">
        <v>1445</v>
      </c>
      <c r="C376" s="2">
        <v>44387</v>
      </c>
      <c r="D376" t="s">
        <v>54</v>
      </c>
      <c r="E376" t="s">
        <v>63</v>
      </c>
      <c r="F376" t="s">
        <v>26</v>
      </c>
      <c r="G376" t="s">
        <v>45</v>
      </c>
      <c r="H376" t="s">
        <v>55</v>
      </c>
      <c r="I376" t="s">
        <v>69</v>
      </c>
      <c r="J376" t="s">
        <v>284</v>
      </c>
      <c r="K376" t="s">
        <v>285</v>
      </c>
      <c r="L376" t="s">
        <v>290</v>
      </c>
      <c r="M376" t="s">
        <v>291</v>
      </c>
      <c r="N376" t="s">
        <v>61</v>
      </c>
      <c r="O376" t="s">
        <v>278</v>
      </c>
      <c r="P376" t="s">
        <v>34</v>
      </c>
      <c r="Q376" t="s">
        <v>35</v>
      </c>
      <c r="R376" t="s">
        <v>279</v>
      </c>
      <c r="S376" t="s">
        <v>131</v>
      </c>
      <c r="T376" t="s">
        <v>280</v>
      </c>
      <c r="U376" s="10" t="s">
        <v>1064</v>
      </c>
      <c r="V376" s="10" t="s">
        <v>1077</v>
      </c>
      <c r="W376" s="10" t="s">
        <v>1075</v>
      </c>
      <c r="X376" s="10" t="s">
        <v>1059</v>
      </c>
      <c r="Y376" t="s">
        <v>140</v>
      </c>
      <c r="Z376" t="s">
        <v>40</v>
      </c>
      <c r="AA376" t="s">
        <v>63</v>
      </c>
    </row>
    <row r="377" spans="1:28" x14ac:dyDescent="0.8">
      <c r="A377">
        <v>1034</v>
      </c>
      <c r="B377">
        <v>1438</v>
      </c>
      <c r="C377" s="2">
        <v>44387</v>
      </c>
      <c r="D377" t="s">
        <v>54</v>
      </c>
      <c r="E377" t="s">
        <v>25</v>
      </c>
      <c r="F377" t="s">
        <v>26</v>
      </c>
      <c r="G377" t="s">
        <v>45</v>
      </c>
      <c r="H377" t="s">
        <v>55</v>
      </c>
      <c r="I377" t="s">
        <v>56</v>
      </c>
      <c r="J377" t="s">
        <v>57</v>
      </c>
      <c r="K377" t="s">
        <v>58</v>
      </c>
      <c r="L377" t="s">
        <v>65</v>
      </c>
      <c r="M377" t="s">
        <v>66</v>
      </c>
      <c r="N377" t="s">
        <v>52</v>
      </c>
      <c r="O377" t="s">
        <v>278</v>
      </c>
      <c r="P377" t="s">
        <v>34</v>
      </c>
      <c r="Q377" t="s">
        <v>35</v>
      </c>
      <c r="R377" t="s">
        <v>279</v>
      </c>
      <c r="S377" t="s">
        <v>131</v>
      </c>
      <c r="T377" t="s">
        <v>280</v>
      </c>
      <c r="U377" s="10" t="s">
        <v>1064</v>
      </c>
      <c r="V377" s="10" t="s">
        <v>1077</v>
      </c>
      <c r="W377" s="10" t="s">
        <v>1075</v>
      </c>
      <c r="X377" s="10" t="s">
        <v>1059</v>
      </c>
      <c r="Y377" t="s">
        <v>140</v>
      </c>
      <c r="Z377" t="s">
        <v>40</v>
      </c>
      <c r="AA377" t="s">
        <v>63</v>
      </c>
      <c r="AB377" t="s">
        <v>289</v>
      </c>
    </row>
    <row r="378" spans="1:28" x14ac:dyDescent="0.8">
      <c r="A378">
        <v>1035</v>
      </c>
      <c r="B378">
        <v>1439</v>
      </c>
      <c r="C378" s="2">
        <v>44387</v>
      </c>
      <c r="D378" t="s">
        <v>54</v>
      </c>
      <c r="E378" t="s">
        <v>25</v>
      </c>
      <c r="F378" t="s">
        <v>26</v>
      </c>
      <c r="G378" t="s">
        <v>45</v>
      </c>
      <c r="H378" t="s">
        <v>55</v>
      </c>
      <c r="I378" t="s">
        <v>56</v>
      </c>
      <c r="J378" t="s">
        <v>57</v>
      </c>
      <c r="K378" t="s">
        <v>58</v>
      </c>
      <c r="L378" t="s">
        <v>65</v>
      </c>
      <c r="M378" t="s">
        <v>66</v>
      </c>
      <c r="N378" t="s">
        <v>52</v>
      </c>
      <c r="O378" t="s">
        <v>278</v>
      </c>
      <c r="P378" t="s">
        <v>34</v>
      </c>
      <c r="Q378" t="s">
        <v>35</v>
      </c>
      <c r="R378" t="s">
        <v>279</v>
      </c>
      <c r="S378" t="s">
        <v>131</v>
      </c>
      <c r="T378" t="s">
        <v>280</v>
      </c>
      <c r="U378" s="10" t="s">
        <v>1064</v>
      </c>
      <c r="V378" s="10" t="s">
        <v>1077</v>
      </c>
      <c r="W378" s="10" t="s">
        <v>1075</v>
      </c>
      <c r="X378" s="10" t="s">
        <v>1059</v>
      </c>
      <c r="Y378" t="s">
        <v>140</v>
      </c>
      <c r="Z378" t="s">
        <v>40</v>
      </c>
      <c r="AA378" t="s">
        <v>63</v>
      </c>
      <c r="AB378" t="s">
        <v>289</v>
      </c>
    </row>
    <row r="379" spans="1:28" x14ac:dyDescent="0.8">
      <c r="A379">
        <v>1097</v>
      </c>
      <c r="B379">
        <v>1197</v>
      </c>
      <c r="C379" s="2">
        <v>44387</v>
      </c>
      <c r="D379" t="s">
        <v>54</v>
      </c>
      <c r="E379" t="s">
        <v>25</v>
      </c>
      <c r="F379" t="s">
        <v>26</v>
      </c>
      <c r="G379" t="s">
        <v>45</v>
      </c>
      <c r="H379" t="s">
        <v>55</v>
      </c>
      <c r="I379" t="s">
        <v>56</v>
      </c>
      <c r="J379" t="s">
        <v>57</v>
      </c>
      <c r="K379" t="s">
        <v>58</v>
      </c>
      <c r="L379" t="s">
        <v>65</v>
      </c>
      <c r="M379" t="s">
        <v>66</v>
      </c>
      <c r="N379" t="s">
        <v>52</v>
      </c>
      <c r="O379" t="s">
        <v>278</v>
      </c>
      <c r="P379" t="s">
        <v>34</v>
      </c>
      <c r="Q379" t="s">
        <v>35</v>
      </c>
      <c r="R379" t="s">
        <v>279</v>
      </c>
      <c r="S379" t="s">
        <v>131</v>
      </c>
      <c r="T379" t="s">
        <v>280</v>
      </c>
      <c r="U379" s="10" t="s">
        <v>1064</v>
      </c>
      <c r="V379" s="10" t="s">
        <v>1077</v>
      </c>
      <c r="W379" s="10" t="s">
        <v>1075</v>
      </c>
      <c r="X379" s="10" t="s">
        <v>1059</v>
      </c>
      <c r="Y379" t="s">
        <v>39</v>
      </c>
      <c r="Z379" t="s">
        <v>40</v>
      </c>
      <c r="AA379" t="s">
        <v>63</v>
      </c>
    </row>
    <row r="380" spans="1:28" x14ac:dyDescent="0.8">
      <c r="A380">
        <v>1031</v>
      </c>
      <c r="B380">
        <v>1435</v>
      </c>
      <c r="C380" s="2">
        <v>44387</v>
      </c>
      <c r="D380" t="s">
        <v>54</v>
      </c>
      <c r="E380" t="s">
        <v>63</v>
      </c>
      <c r="F380" t="s">
        <v>26</v>
      </c>
      <c r="G380" t="s">
        <v>45</v>
      </c>
      <c r="H380" t="s">
        <v>55</v>
      </c>
      <c r="I380" t="s">
        <v>56</v>
      </c>
      <c r="J380" t="s">
        <v>57</v>
      </c>
      <c r="K380" t="s">
        <v>58</v>
      </c>
      <c r="L380" t="s">
        <v>171</v>
      </c>
      <c r="M380" t="s">
        <v>172</v>
      </c>
      <c r="N380" t="s">
        <v>52</v>
      </c>
      <c r="O380" t="s">
        <v>278</v>
      </c>
      <c r="P380" t="s">
        <v>34</v>
      </c>
      <c r="Q380" t="s">
        <v>35</v>
      </c>
      <c r="R380" t="s">
        <v>279</v>
      </c>
      <c r="S380" t="s">
        <v>131</v>
      </c>
      <c r="T380" t="s">
        <v>280</v>
      </c>
      <c r="U380" s="10" t="s">
        <v>1064</v>
      </c>
      <c r="V380" s="10" t="s">
        <v>1077</v>
      </c>
      <c r="W380" s="10" t="s">
        <v>1075</v>
      </c>
      <c r="X380" s="10" t="s">
        <v>1059</v>
      </c>
      <c r="Y380" t="s">
        <v>140</v>
      </c>
      <c r="Z380" t="s">
        <v>40</v>
      </c>
      <c r="AA380" t="s">
        <v>63</v>
      </c>
      <c r="AB380" t="s">
        <v>288</v>
      </c>
    </row>
    <row r="381" spans="1:28" x14ac:dyDescent="0.8">
      <c r="A381">
        <v>1070</v>
      </c>
      <c r="B381">
        <v>968</v>
      </c>
      <c r="C381" s="2">
        <v>44387</v>
      </c>
      <c r="D381" t="s">
        <v>54</v>
      </c>
      <c r="E381" t="s">
        <v>25</v>
      </c>
      <c r="F381" t="s">
        <v>26</v>
      </c>
      <c r="G381" t="s">
        <v>45</v>
      </c>
      <c r="H381" t="s">
        <v>46</v>
      </c>
      <c r="I381" t="s">
        <v>47</v>
      </c>
      <c r="J381" t="s">
        <v>48</v>
      </c>
      <c r="K381" t="s">
        <v>49</v>
      </c>
      <c r="L381" t="s">
        <v>50</v>
      </c>
      <c r="M381" t="s">
        <v>51</v>
      </c>
      <c r="N381" t="s">
        <v>61</v>
      </c>
      <c r="O381" t="s">
        <v>278</v>
      </c>
      <c r="P381" t="s">
        <v>34</v>
      </c>
      <c r="Q381" t="s">
        <v>35</v>
      </c>
      <c r="R381" t="s">
        <v>279</v>
      </c>
      <c r="S381" t="s">
        <v>131</v>
      </c>
      <c r="T381" t="s">
        <v>280</v>
      </c>
      <c r="U381" s="10" t="s">
        <v>1064</v>
      </c>
      <c r="V381" s="10" t="s">
        <v>1077</v>
      </c>
      <c r="W381" s="10" t="s">
        <v>1075</v>
      </c>
      <c r="X381" s="10" t="s">
        <v>1059</v>
      </c>
      <c r="Y381" t="s">
        <v>39</v>
      </c>
      <c r="Z381" t="s">
        <v>40</v>
      </c>
      <c r="AA381" t="s">
        <v>63</v>
      </c>
      <c r="AB381" t="s">
        <v>292</v>
      </c>
    </row>
    <row r="382" spans="1:28" x14ac:dyDescent="0.8">
      <c r="A382">
        <v>1071</v>
      </c>
      <c r="B382">
        <v>969</v>
      </c>
      <c r="C382" s="2">
        <v>44387</v>
      </c>
      <c r="D382" t="s">
        <v>54</v>
      </c>
      <c r="E382" t="s">
        <v>25</v>
      </c>
      <c r="F382" t="s">
        <v>26</v>
      </c>
      <c r="G382" t="s">
        <v>45</v>
      </c>
      <c r="H382" t="s">
        <v>46</v>
      </c>
      <c r="I382" t="s">
        <v>47</v>
      </c>
      <c r="J382" t="s">
        <v>48</v>
      </c>
      <c r="K382" t="s">
        <v>49</v>
      </c>
      <c r="L382" t="s">
        <v>50</v>
      </c>
      <c r="M382" t="s">
        <v>51</v>
      </c>
      <c r="N382" t="s">
        <v>61</v>
      </c>
      <c r="O382" t="s">
        <v>278</v>
      </c>
      <c r="P382" t="s">
        <v>34</v>
      </c>
      <c r="Q382" t="s">
        <v>35</v>
      </c>
      <c r="R382" t="s">
        <v>279</v>
      </c>
      <c r="S382" t="s">
        <v>131</v>
      </c>
      <c r="T382" t="s">
        <v>280</v>
      </c>
      <c r="U382" s="10" t="s">
        <v>1064</v>
      </c>
      <c r="V382" s="10" t="s">
        <v>1077</v>
      </c>
      <c r="W382" s="10" t="s">
        <v>1075</v>
      </c>
      <c r="X382" s="10" t="s">
        <v>1059</v>
      </c>
      <c r="Y382" t="s">
        <v>39</v>
      </c>
      <c r="Z382" t="s">
        <v>40</v>
      </c>
      <c r="AA382" t="s">
        <v>63</v>
      </c>
      <c r="AB382" t="s">
        <v>292</v>
      </c>
    </row>
    <row r="383" spans="1:28" x14ac:dyDescent="0.8">
      <c r="A383">
        <v>1030</v>
      </c>
      <c r="B383">
        <v>1434</v>
      </c>
      <c r="C383" s="2">
        <v>44387</v>
      </c>
      <c r="D383" t="s">
        <v>54</v>
      </c>
      <c r="E383" t="s">
        <v>63</v>
      </c>
      <c r="F383" t="s">
        <v>26</v>
      </c>
      <c r="G383" t="s">
        <v>45</v>
      </c>
      <c r="H383" t="s">
        <v>46</v>
      </c>
      <c r="I383" t="s">
        <v>47</v>
      </c>
      <c r="J383" t="s">
        <v>48</v>
      </c>
      <c r="K383" t="s">
        <v>49</v>
      </c>
      <c r="L383" t="s">
        <v>50</v>
      </c>
      <c r="M383" t="s">
        <v>51</v>
      </c>
      <c r="N383" t="s">
        <v>61</v>
      </c>
      <c r="O383" t="s">
        <v>278</v>
      </c>
      <c r="P383" t="s">
        <v>34</v>
      </c>
      <c r="Q383" t="s">
        <v>35</v>
      </c>
      <c r="R383" t="s">
        <v>279</v>
      </c>
      <c r="S383" t="s">
        <v>131</v>
      </c>
      <c r="T383" t="s">
        <v>280</v>
      </c>
      <c r="U383" s="10" t="s">
        <v>1064</v>
      </c>
      <c r="V383" s="10" t="s">
        <v>1077</v>
      </c>
      <c r="W383" s="10" t="s">
        <v>1075</v>
      </c>
      <c r="X383" s="10" t="s">
        <v>1059</v>
      </c>
      <c r="Y383" t="s">
        <v>140</v>
      </c>
      <c r="Z383" t="s">
        <v>40</v>
      </c>
      <c r="AA383" t="s">
        <v>63</v>
      </c>
      <c r="AB383" t="s">
        <v>288</v>
      </c>
    </row>
    <row r="384" spans="1:28" x14ac:dyDescent="0.8">
      <c r="A384">
        <v>1094</v>
      </c>
      <c r="B384">
        <v>1194</v>
      </c>
      <c r="C384" s="2">
        <v>44387</v>
      </c>
      <c r="D384" t="s">
        <v>54</v>
      </c>
      <c r="E384" t="s">
        <v>25</v>
      </c>
      <c r="F384" t="s">
        <v>26</v>
      </c>
      <c r="G384" t="s">
        <v>45</v>
      </c>
      <c r="H384" t="s">
        <v>46</v>
      </c>
      <c r="I384" t="s">
        <v>47</v>
      </c>
      <c r="J384" t="s">
        <v>48</v>
      </c>
      <c r="K384" t="s">
        <v>49</v>
      </c>
      <c r="L384" t="s">
        <v>50</v>
      </c>
      <c r="M384" t="s">
        <v>51</v>
      </c>
      <c r="N384" t="s">
        <v>61</v>
      </c>
      <c r="O384" t="s">
        <v>278</v>
      </c>
      <c r="P384" t="s">
        <v>34</v>
      </c>
      <c r="Q384" t="s">
        <v>35</v>
      </c>
      <c r="R384" t="s">
        <v>279</v>
      </c>
      <c r="S384" t="s">
        <v>131</v>
      </c>
      <c r="T384" t="s">
        <v>280</v>
      </c>
      <c r="U384" s="10" t="s">
        <v>1064</v>
      </c>
      <c r="V384" s="10" t="s">
        <v>1077</v>
      </c>
      <c r="W384" s="10" t="s">
        <v>1075</v>
      </c>
      <c r="X384" s="10" t="s">
        <v>1059</v>
      </c>
      <c r="Y384" t="s">
        <v>39</v>
      </c>
      <c r="Z384" t="s">
        <v>62</v>
      </c>
      <c r="AA384" t="s">
        <v>63</v>
      </c>
    </row>
    <row r="385" spans="1:27" x14ac:dyDescent="0.8">
      <c r="A385">
        <v>1022</v>
      </c>
      <c r="B385">
        <v>836</v>
      </c>
      <c r="C385" s="2">
        <v>44385</v>
      </c>
      <c r="D385" t="s">
        <v>203</v>
      </c>
      <c r="E385" t="s">
        <v>103</v>
      </c>
      <c r="F385" t="s">
        <v>26</v>
      </c>
      <c r="G385" t="s">
        <v>27</v>
      </c>
      <c r="H385" t="s">
        <v>114</v>
      </c>
      <c r="I385" t="s">
        <v>115</v>
      </c>
      <c r="J385" t="s">
        <v>116</v>
      </c>
      <c r="K385" t="s">
        <v>117</v>
      </c>
      <c r="L385" t="s">
        <v>195</v>
      </c>
      <c r="M385" t="s">
        <v>196</v>
      </c>
      <c r="O385" t="s">
        <v>278</v>
      </c>
      <c r="P385" t="s">
        <v>34</v>
      </c>
      <c r="Q385" t="s">
        <v>35</v>
      </c>
      <c r="R385" t="s">
        <v>279</v>
      </c>
      <c r="S385" t="s">
        <v>131</v>
      </c>
      <c r="T385" t="s">
        <v>280</v>
      </c>
      <c r="U385" s="10" t="s">
        <v>1064</v>
      </c>
      <c r="V385" s="10" t="s">
        <v>1077</v>
      </c>
      <c r="W385" s="10" t="s">
        <v>1075</v>
      </c>
      <c r="X385" s="10" t="s">
        <v>1059</v>
      </c>
      <c r="Y385" t="s">
        <v>39</v>
      </c>
      <c r="Z385" t="s">
        <v>40</v>
      </c>
      <c r="AA385" t="s">
        <v>63</v>
      </c>
    </row>
    <row r="386" spans="1:27" x14ac:dyDescent="0.8">
      <c r="A386">
        <v>1015</v>
      </c>
      <c r="B386">
        <v>1371</v>
      </c>
      <c r="C386" s="2">
        <v>44385</v>
      </c>
      <c r="D386" t="s">
        <v>203</v>
      </c>
      <c r="E386" t="s">
        <v>103</v>
      </c>
      <c r="F386" t="s">
        <v>26</v>
      </c>
      <c r="G386" t="s">
        <v>27</v>
      </c>
      <c r="H386" t="s">
        <v>114</v>
      </c>
      <c r="I386" t="s">
        <v>115</v>
      </c>
      <c r="J386" t="s">
        <v>116</v>
      </c>
      <c r="K386" t="s">
        <v>117</v>
      </c>
      <c r="L386" t="s">
        <v>195</v>
      </c>
      <c r="M386" t="s">
        <v>196</v>
      </c>
      <c r="O386" t="s">
        <v>278</v>
      </c>
      <c r="P386" t="s">
        <v>34</v>
      </c>
      <c r="Q386" t="s">
        <v>35</v>
      </c>
      <c r="R386" t="s">
        <v>279</v>
      </c>
      <c r="S386" t="s">
        <v>131</v>
      </c>
      <c r="T386" t="s">
        <v>280</v>
      </c>
      <c r="U386" s="10" t="s">
        <v>1064</v>
      </c>
      <c r="V386" s="10" t="s">
        <v>1077</v>
      </c>
      <c r="W386" s="10" t="s">
        <v>1075</v>
      </c>
      <c r="X386" s="10" t="s">
        <v>1059</v>
      </c>
      <c r="Y386" t="s">
        <v>39</v>
      </c>
      <c r="Z386" t="s">
        <v>40</v>
      </c>
      <c r="AA386" t="s">
        <v>63</v>
      </c>
    </row>
    <row r="387" spans="1:27" x14ac:dyDescent="0.8">
      <c r="A387">
        <v>1317</v>
      </c>
      <c r="B387">
        <v>2014</v>
      </c>
      <c r="C387" s="2">
        <v>44385</v>
      </c>
      <c r="D387" t="s">
        <v>104</v>
      </c>
      <c r="E387" t="s">
        <v>44</v>
      </c>
      <c r="F387" t="s">
        <v>26</v>
      </c>
      <c r="G387" t="s">
        <v>45</v>
      </c>
      <c r="H387" t="s">
        <v>55</v>
      </c>
      <c r="I387" t="s">
        <v>69</v>
      </c>
      <c r="J387" t="s">
        <v>284</v>
      </c>
      <c r="K387" t="s">
        <v>285</v>
      </c>
      <c r="L387" t="s">
        <v>286</v>
      </c>
      <c r="M387" t="s">
        <v>287</v>
      </c>
      <c r="N387" t="s">
        <v>61</v>
      </c>
      <c r="O387" t="s">
        <v>278</v>
      </c>
      <c r="P387" t="s">
        <v>34</v>
      </c>
      <c r="Q387" t="s">
        <v>35</v>
      </c>
      <c r="R387" t="s">
        <v>279</v>
      </c>
      <c r="S387" t="s">
        <v>131</v>
      </c>
      <c r="T387" t="s">
        <v>280</v>
      </c>
      <c r="U387" s="10" t="s">
        <v>1064</v>
      </c>
      <c r="V387" s="10" t="s">
        <v>1077</v>
      </c>
      <c r="W387" s="10" t="s">
        <v>1075</v>
      </c>
      <c r="X387" s="10" t="s">
        <v>1059</v>
      </c>
      <c r="Y387" t="s">
        <v>39</v>
      </c>
      <c r="Z387" t="s">
        <v>40</v>
      </c>
      <c r="AA387" t="s">
        <v>63</v>
      </c>
    </row>
    <row r="388" spans="1:27" x14ac:dyDescent="0.8">
      <c r="A388">
        <v>1286</v>
      </c>
      <c r="B388">
        <v>1933</v>
      </c>
      <c r="C388" s="2">
        <v>44385</v>
      </c>
      <c r="D388" t="s">
        <v>104</v>
      </c>
      <c r="E388" t="s">
        <v>63</v>
      </c>
      <c r="F388" t="s">
        <v>26</v>
      </c>
      <c r="G388" t="s">
        <v>45</v>
      </c>
      <c r="H388" t="s">
        <v>46</v>
      </c>
      <c r="I388" t="s">
        <v>47</v>
      </c>
      <c r="J388" t="s">
        <v>48</v>
      </c>
      <c r="K388" t="s">
        <v>105</v>
      </c>
      <c r="L388" t="s">
        <v>106</v>
      </c>
      <c r="M388" t="s">
        <v>107</v>
      </c>
      <c r="O388" t="s">
        <v>278</v>
      </c>
      <c r="P388" t="s">
        <v>34</v>
      </c>
      <c r="Q388" t="s">
        <v>35</v>
      </c>
      <c r="R388" t="s">
        <v>279</v>
      </c>
      <c r="S388" t="s">
        <v>131</v>
      </c>
      <c r="T388" t="s">
        <v>280</v>
      </c>
      <c r="U388" s="10" t="s">
        <v>1064</v>
      </c>
      <c r="V388" s="10" t="s">
        <v>1077</v>
      </c>
      <c r="W388" s="10" t="s">
        <v>1075</v>
      </c>
      <c r="X388" s="10" t="s">
        <v>1059</v>
      </c>
      <c r="Y388" t="s">
        <v>140</v>
      </c>
      <c r="Z388" t="s">
        <v>40</v>
      </c>
      <c r="AA388" t="s">
        <v>63</v>
      </c>
    </row>
    <row r="389" spans="1:27" x14ac:dyDescent="0.8">
      <c r="A389">
        <v>1295</v>
      </c>
      <c r="B389">
        <v>1992</v>
      </c>
      <c r="C389" s="2">
        <v>44385</v>
      </c>
      <c r="D389" t="s">
        <v>104</v>
      </c>
      <c r="E389" t="s">
        <v>103</v>
      </c>
      <c r="F389" t="s">
        <v>26</v>
      </c>
      <c r="G389" t="s">
        <v>45</v>
      </c>
      <c r="H389" t="s">
        <v>46</v>
      </c>
      <c r="I389" t="s">
        <v>47</v>
      </c>
      <c r="J389" t="s">
        <v>48</v>
      </c>
      <c r="K389" t="s">
        <v>105</v>
      </c>
      <c r="L389" t="s">
        <v>106</v>
      </c>
      <c r="M389" t="s">
        <v>107</v>
      </c>
      <c r="O389" t="s">
        <v>278</v>
      </c>
      <c r="P389" t="s">
        <v>34</v>
      </c>
      <c r="Q389" t="s">
        <v>35</v>
      </c>
      <c r="R389" t="s">
        <v>279</v>
      </c>
      <c r="S389" t="s">
        <v>131</v>
      </c>
      <c r="T389" t="s">
        <v>280</v>
      </c>
      <c r="U389" s="10" t="s">
        <v>1064</v>
      </c>
      <c r="V389" s="10" t="s">
        <v>1077</v>
      </c>
      <c r="W389" s="10" t="s">
        <v>1075</v>
      </c>
      <c r="X389" s="10" t="s">
        <v>1059</v>
      </c>
      <c r="Y389" t="s">
        <v>39</v>
      </c>
      <c r="Z389" t="s">
        <v>40</v>
      </c>
      <c r="AA389" t="s">
        <v>63</v>
      </c>
    </row>
    <row r="390" spans="1:27" x14ac:dyDescent="0.8">
      <c r="A390">
        <v>1329</v>
      </c>
      <c r="B390">
        <v>2412</v>
      </c>
      <c r="C390" s="2">
        <v>44385</v>
      </c>
      <c r="D390" t="s">
        <v>104</v>
      </c>
      <c r="E390" t="s">
        <v>25</v>
      </c>
      <c r="F390" t="s">
        <v>26</v>
      </c>
      <c r="G390" t="s">
        <v>45</v>
      </c>
      <c r="H390" t="s">
        <v>46</v>
      </c>
      <c r="I390" t="s">
        <v>47</v>
      </c>
      <c r="J390" t="s">
        <v>48</v>
      </c>
      <c r="K390" t="s">
        <v>49</v>
      </c>
      <c r="L390" t="s">
        <v>91</v>
      </c>
      <c r="M390" t="s">
        <v>92</v>
      </c>
      <c r="N390" t="s">
        <v>61</v>
      </c>
      <c r="O390" t="s">
        <v>278</v>
      </c>
      <c r="P390" t="s">
        <v>34</v>
      </c>
      <c r="Q390" t="s">
        <v>35</v>
      </c>
      <c r="R390" t="s">
        <v>279</v>
      </c>
      <c r="S390" t="s">
        <v>131</v>
      </c>
      <c r="T390" t="s">
        <v>280</v>
      </c>
      <c r="U390" s="10" t="s">
        <v>1064</v>
      </c>
      <c r="V390" s="10" t="s">
        <v>1077</v>
      </c>
      <c r="W390" s="10" t="s">
        <v>1075</v>
      </c>
      <c r="X390" s="10" t="s">
        <v>1059</v>
      </c>
      <c r="Y390" t="s">
        <v>39</v>
      </c>
      <c r="Z390" t="s">
        <v>62</v>
      </c>
      <c r="AA390" t="s">
        <v>63</v>
      </c>
    </row>
    <row r="391" spans="1:27" x14ac:dyDescent="0.8">
      <c r="A391">
        <v>1328</v>
      </c>
      <c r="B391">
        <v>2411</v>
      </c>
      <c r="C391" s="2">
        <v>44385</v>
      </c>
      <c r="D391" t="s">
        <v>104</v>
      </c>
      <c r="E391" t="s">
        <v>44</v>
      </c>
      <c r="F391" t="s">
        <v>26</v>
      </c>
      <c r="G391" t="s">
        <v>45</v>
      </c>
      <c r="H391" t="s">
        <v>46</v>
      </c>
      <c r="I391" t="s">
        <v>47</v>
      </c>
      <c r="J391" t="s">
        <v>48</v>
      </c>
      <c r="K391" t="s">
        <v>49</v>
      </c>
      <c r="L391" t="s">
        <v>91</v>
      </c>
      <c r="M391" t="s">
        <v>92</v>
      </c>
      <c r="N391" t="s">
        <v>61</v>
      </c>
      <c r="O391" t="s">
        <v>278</v>
      </c>
      <c r="P391" t="s">
        <v>34</v>
      </c>
      <c r="Q391" t="s">
        <v>35</v>
      </c>
      <c r="R391" t="s">
        <v>279</v>
      </c>
      <c r="S391" t="s">
        <v>131</v>
      </c>
      <c r="T391" t="s">
        <v>280</v>
      </c>
      <c r="U391" s="10" t="s">
        <v>1064</v>
      </c>
      <c r="V391" s="10" t="s">
        <v>1077</v>
      </c>
      <c r="W391" s="10" t="s">
        <v>1075</v>
      </c>
      <c r="X391" s="10" t="s">
        <v>1059</v>
      </c>
      <c r="Y391" t="s">
        <v>39</v>
      </c>
      <c r="Z391" t="s">
        <v>40</v>
      </c>
      <c r="AA391" t="s">
        <v>63</v>
      </c>
    </row>
    <row r="392" spans="1:27" x14ac:dyDescent="0.8">
      <c r="A392">
        <v>1325</v>
      </c>
      <c r="B392">
        <v>2022</v>
      </c>
      <c r="C392" s="2">
        <v>44385</v>
      </c>
      <c r="D392" t="s">
        <v>104</v>
      </c>
      <c r="E392" t="s">
        <v>25</v>
      </c>
      <c r="F392" t="s">
        <v>26</v>
      </c>
      <c r="G392" t="s">
        <v>45</v>
      </c>
      <c r="H392" t="s">
        <v>46</v>
      </c>
      <c r="I392" t="s">
        <v>47</v>
      </c>
      <c r="J392" t="s">
        <v>48</v>
      </c>
      <c r="K392" t="s">
        <v>49</v>
      </c>
      <c r="L392" t="s">
        <v>91</v>
      </c>
      <c r="M392" t="s">
        <v>92</v>
      </c>
      <c r="N392" t="s">
        <v>61</v>
      </c>
      <c r="O392" t="s">
        <v>278</v>
      </c>
      <c r="P392" t="s">
        <v>34</v>
      </c>
      <c r="Q392" t="s">
        <v>35</v>
      </c>
      <c r="R392" t="s">
        <v>279</v>
      </c>
      <c r="S392" t="s">
        <v>131</v>
      </c>
      <c r="T392" t="s">
        <v>280</v>
      </c>
      <c r="U392" s="10" t="s">
        <v>1064</v>
      </c>
      <c r="V392" s="10" t="s">
        <v>1077</v>
      </c>
      <c r="W392" s="10" t="s">
        <v>1075</v>
      </c>
      <c r="X392" s="10" t="s">
        <v>1059</v>
      </c>
      <c r="Y392" t="s">
        <v>39</v>
      </c>
      <c r="Z392" t="s">
        <v>62</v>
      </c>
      <c r="AA392" t="s">
        <v>63</v>
      </c>
    </row>
    <row r="393" spans="1:27" x14ac:dyDescent="0.8">
      <c r="A393">
        <v>1289</v>
      </c>
      <c r="B393">
        <v>1936</v>
      </c>
      <c r="C393" s="2">
        <v>44385</v>
      </c>
      <c r="D393" t="s">
        <v>104</v>
      </c>
      <c r="E393" t="s">
        <v>63</v>
      </c>
      <c r="F393" t="s">
        <v>26</v>
      </c>
      <c r="G393" t="s">
        <v>45</v>
      </c>
      <c r="H393" t="s">
        <v>46</v>
      </c>
      <c r="I393" t="s">
        <v>47</v>
      </c>
      <c r="J393" t="s">
        <v>48</v>
      </c>
      <c r="K393" t="s">
        <v>49</v>
      </c>
      <c r="L393" t="s">
        <v>91</v>
      </c>
      <c r="M393" t="s">
        <v>92</v>
      </c>
      <c r="N393" t="s">
        <v>61</v>
      </c>
      <c r="O393" t="s">
        <v>278</v>
      </c>
      <c r="P393" t="s">
        <v>34</v>
      </c>
      <c r="Q393" t="s">
        <v>35</v>
      </c>
      <c r="R393" t="s">
        <v>279</v>
      </c>
      <c r="S393" t="s">
        <v>131</v>
      </c>
      <c r="T393" t="s">
        <v>280</v>
      </c>
      <c r="U393" s="10" t="s">
        <v>1064</v>
      </c>
      <c r="V393" s="10" t="s">
        <v>1077</v>
      </c>
      <c r="W393" s="10" t="s">
        <v>1075</v>
      </c>
      <c r="X393" s="10" t="s">
        <v>1059</v>
      </c>
      <c r="Y393" t="s">
        <v>140</v>
      </c>
      <c r="Z393" t="s">
        <v>40</v>
      </c>
      <c r="AA393" t="s">
        <v>63</v>
      </c>
    </row>
    <row r="394" spans="1:27" x14ac:dyDescent="0.8">
      <c r="A394">
        <v>1310</v>
      </c>
      <c r="B394">
        <v>2007</v>
      </c>
      <c r="C394" s="2">
        <v>44385</v>
      </c>
      <c r="D394" t="s">
        <v>104</v>
      </c>
      <c r="E394" t="s">
        <v>63</v>
      </c>
      <c r="F394" t="s">
        <v>26</v>
      </c>
      <c r="G394" t="s">
        <v>45</v>
      </c>
      <c r="H394" t="s">
        <v>46</v>
      </c>
      <c r="I394" t="s">
        <v>47</v>
      </c>
      <c r="J394" t="s">
        <v>48</v>
      </c>
      <c r="K394" t="s">
        <v>141</v>
      </c>
      <c r="L394" t="s">
        <v>293</v>
      </c>
      <c r="M394" t="s">
        <v>294</v>
      </c>
      <c r="N394" t="s">
        <v>52</v>
      </c>
      <c r="O394" t="s">
        <v>278</v>
      </c>
      <c r="P394" t="s">
        <v>34</v>
      </c>
      <c r="Q394" t="s">
        <v>35</v>
      </c>
      <c r="R394" t="s">
        <v>279</v>
      </c>
      <c r="S394" t="s">
        <v>131</v>
      </c>
      <c r="T394" t="s">
        <v>280</v>
      </c>
      <c r="U394" s="10" t="s">
        <v>1064</v>
      </c>
      <c r="V394" s="10" t="s">
        <v>1077</v>
      </c>
      <c r="W394" s="10" t="s">
        <v>1075</v>
      </c>
      <c r="X394" s="10" t="s">
        <v>1059</v>
      </c>
      <c r="Y394" t="s">
        <v>39</v>
      </c>
      <c r="Z394" t="s">
        <v>40</v>
      </c>
      <c r="AA394" t="s">
        <v>63</v>
      </c>
    </row>
    <row r="395" spans="1:27" x14ac:dyDescent="0.8">
      <c r="A395">
        <v>760</v>
      </c>
      <c r="B395">
        <v>1241</v>
      </c>
      <c r="C395" s="2">
        <v>44385</v>
      </c>
      <c r="D395" t="s">
        <v>108</v>
      </c>
      <c r="E395" t="s">
        <v>25</v>
      </c>
      <c r="F395" t="s">
        <v>26</v>
      </c>
      <c r="G395" t="s">
        <v>27</v>
      </c>
      <c r="H395" t="s">
        <v>114</v>
      </c>
      <c r="I395" t="s">
        <v>115</v>
      </c>
      <c r="J395" t="s">
        <v>116</v>
      </c>
      <c r="K395" t="s">
        <v>117</v>
      </c>
      <c r="L395" t="s">
        <v>195</v>
      </c>
      <c r="M395" t="s">
        <v>196</v>
      </c>
      <c r="O395" t="s">
        <v>278</v>
      </c>
      <c r="P395" t="s">
        <v>34</v>
      </c>
      <c r="Q395" t="s">
        <v>35</v>
      </c>
      <c r="R395" t="s">
        <v>279</v>
      </c>
      <c r="S395" t="s">
        <v>131</v>
      </c>
      <c r="T395" t="s">
        <v>280</v>
      </c>
      <c r="U395" s="10" t="s">
        <v>1064</v>
      </c>
      <c r="V395" s="10" t="s">
        <v>1077</v>
      </c>
      <c r="W395" s="10" t="s">
        <v>1075</v>
      </c>
      <c r="X395" s="10" t="s">
        <v>1059</v>
      </c>
      <c r="Y395" t="s">
        <v>39</v>
      </c>
      <c r="Z395" t="s">
        <v>40</v>
      </c>
      <c r="AA395" t="s">
        <v>63</v>
      </c>
    </row>
    <row r="396" spans="1:27" x14ac:dyDescent="0.8">
      <c r="A396">
        <v>745</v>
      </c>
      <c r="B396">
        <v>1226</v>
      </c>
      <c r="C396" s="2">
        <v>44385</v>
      </c>
      <c r="D396" t="s">
        <v>108</v>
      </c>
      <c r="E396" t="s">
        <v>25</v>
      </c>
      <c r="F396" t="s">
        <v>26</v>
      </c>
      <c r="G396" t="s">
        <v>45</v>
      </c>
      <c r="H396" t="s">
        <v>55</v>
      </c>
      <c r="I396" t="s">
        <v>69</v>
      </c>
      <c r="J396" t="s">
        <v>284</v>
      </c>
      <c r="K396" t="s">
        <v>285</v>
      </c>
      <c r="L396" t="s">
        <v>290</v>
      </c>
      <c r="M396" t="s">
        <v>291</v>
      </c>
      <c r="N396" t="s">
        <v>61</v>
      </c>
      <c r="O396" t="s">
        <v>278</v>
      </c>
      <c r="P396" t="s">
        <v>34</v>
      </c>
      <c r="Q396" t="s">
        <v>35</v>
      </c>
      <c r="R396" t="s">
        <v>279</v>
      </c>
      <c r="S396" t="s">
        <v>131</v>
      </c>
      <c r="T396" t="s">
        <v>280</v>
      </c>
      <c r="U396" s="10" t="s">
        <v>1064</v>
      </c>
      <c r="V396" s="10" t="s">
        <v>1077</v>
      </c>
      <c r="W396" s="10" t="s">
        <v>1075</v>
      </c>
      <c r="X396" s="10" t="s">
        <v>1059</v>
      </c>
      <c r="Y396" t="s">
        <v>39</v>
      </c>
      <c r="Z396" t="s">
        <v>62</v>
      </c>
      <c r="AA396" t="s">
        <v>63</v>
      </c>
    </row>
    <row r="397" spans="1:27" x14ac:dyDescent="0.8">
      <c r="A397">
        <v>1164</v>
      </c>
      <c r="B397">
        <v>1661</v>
      </c>
      <c r="C397" s="2">
        <v>44386</v>
      </c>
      <c r="D397" t="s">
        <v>129</v>
      </c>
      <c r="E397" t="s">
        <v>44</v>
      </c>
      <c r="F397" t="s">
        <v>26</v>
      </c>
      <c r="G397" t="s">
        <v>45</v>
      </c>
      <c r="H397" t="s">
        <v>55</v>
      </c>
      <c r="I397" t="s">
        <v>69</v>
      </c>
      <c r="J397" t="s">
        <v>295</v>
      </c>
      <c r="K397" t="s">
        <v>296</v>
      </c>
      <c r="L397" t="s">
        <v>65</v>
      </c>
      <c r="M397" t="s">
        <v>297</v>
      </c>
      <c r="N397" t="s">
        <v>61</v>
      </c>
      <c r="O397" t="s">
        <v>278</v>
      </c>
      <c r="P397" t="s">
        <v>34</v>
      </c>
      <c r="Q397" t="s">
        <v>35</v>
      </c>
      <c r="R397" t="s">
        <v>279</v>
      </c>
      <c r="S397" t="s">
        <v>131</v>
      </c>
      <c r="T397" t="s">
        <v>280</v>
      </c>
      <c r="U397" s="10" t="s">
        <v>1064</v>
      </c>
      <c r="V397" s="10" t="s">
        <v>1077</v>
      </c>
      <c r="W397" s="10" t="s">
        <v>1075</v>
      </c>
      <c r="X397" s="10" t="s">
        <v>1059</v>
      </c>
      <c r="Y397" t="s">
        <v>140</v>
      </c>
      <c r="Z397" t="s">
        <v>40</v>
      </c>
      <c r="AA397" t="s">
        <v>63</v>
      </c>
    </row>
    <row r="398" spans="1:27" x14ac:dyDescent="0.8">
      <c r="A398">
        <v>1183</v>
      </c>
      <c r="B398">
        <v>1730</v>
      </c>
      <c r="C398" s="2">
        <v>44386</v>
      </c>
      <c r="D398" t="s">
        <v>129</v>
      </c>
      <c r="E398" t="s">
        <v>63</v>
      </c>
      <c r="F398" t="s">
        <v>26</v>
      </c>
      <c r="G398" t="s">
        <v>45</v>
      </c>
      <c r="H398" t="s">
        <v>46</v>
      </c>
      <c r="I398" t="s">
        <v>47</v>
      </c>
      <c r="J398" t="s">
        <v>48</v>
      </c>
      <c r="K398" t="s">
        <v>49</v>
      </c>
      <c r="L398" t="s">
        <v>50</v>
      </c>
      <c r="M398" t="s">
        <v>51</v>
      </c>
      <c r="N398" t="s">
        <v>52</v>
      </c>
      <c r="O398" t="s">
        <v>278</v>
      </c>
      <c r="P398" t="s">
        <v>34</v>
      </c>
      <c r="Q398" t="s">
        <v>35</v>
      </c>
      <c r="R398" t="s">
        <v>279</v>
      </c>
      <c r="S398" t="s">
        <v>131</v>
      </c>
      <c r="T398" t="s">
        <v>280</v>
      </c>
      <c r="U398" s="10" t="s">
        <v>1064</v>
      </c>
      <c r="V398" s="10" t="s">
        <v>1077</v>
      </c>
      <c r="W398" s="10" t="s">
        <v>1075</v>
      </c>
      <c r="X398" s="10" t="s">
        <v>1059</v>
      </c>
      <c r="Y398" t="s">
        <v>39</v>
      </c>
      <c r="Z398" t="s">
        <v>40</v>
      </c>
      <c r="AA398" t="s">
        <v>63</v>
      </c>
    </row>
    <row r="399" spans="1:27" x14ac:dyDescent="0.8">
      <c r="A399">
        <v>1178</v>
      </c>
      <c r="B399">
        <v>1675</v>
      </c>
      <c r="C399" s="2">
        <v>44386</v>
      </c>
      <c r="D399" t="s">
        <v>129</v>
      </c>
      <c r="E399" t="s">
        <v>25</v>
      </c>
      <c r="F399" t="s">
        <v>26</v>
      </c>
      <c r="G399" t="s">
        <v>45</v>
      </c>
      <c r="H399" t="s">
        <v>46</v>
      </c>
      <c r="I399" t="s">
        <v>47</v>
      </c>
      <c r="J399" t="s">
        <v>48</v>
      </c>
      <c r="K399" t="s">
        <v>49</v>
      </c>
      <c r="L399" t="s">
        <v>50</v>
      </c>
      <c r="M399" t="s">
        <v>51</v>
      </c>
      <c r="N399" t="s">
        <v>52</v>
      </c>
      <c r="O399" t="s">
        <v>278</v>
      </c>
      <c r="P399" t="s">
        <v>34</v>
      </c>
      <c r="Q399" t="s">
        <v>35</v>
      </c>
      <c r="R399" t="s">
        <v>279</v>
      </c>
      <c r="S399" t="s">
        <v>131</v>
      </c>
      <c r="T399" t="s">
        <v>280</v>
      </c>
      <c r="U399" s="10" t="s">
        <v>1064</v>
      </c>
      <c r="V399" s="10" t="s">
        <v>1077</v>
      </c>
      <c r="W399" s="10" t="s">
        <v>1075</v>
      </c>
      <c r="X399" s="10" t="s">
        <v>1059</v>
      </c>
      <c r="Y399" t="s">
        <v>39</v>
      </c>
      <c r="Z399" t="s">
        <v>40</v>
      </c>
      <c r="AA399" t="s">
        <v>63</v>
      </c>
    </row>
    <row r="400" spans="1:27" x14ac:dyDescent="0.8">
      <c r="A400">
        <v>561</v>
      </c>
      <c r="B400">
        <v>192</v>
      </c>
      <c r="C400" s="2">
        <v>44388</v>
      </c>
      <c r="D400" t="s">
        <v>124</v>
      </c>
      <c r="E400" t="s">
        <v>25</v>
      </c>
      <c r="F400" t="s">
        <v>26</v>
      </c>
      <c r="G400" t="s">
        <v>27</v>
      </c>
      <c r="H400" t="s">
        <v>114</v>
      </c>
      <c r="I400" t="s">
        <v>115</v>
      </c>
      <c r="J400" t="s">
        <v>174</v>
      </c>
      <c r="K400" t="s">
        <v>175</v>
      </c>
      <c r="L400" t="s">
        <v>176</v>
      </c>
      <c r="M400" t="s">
        <v>177</v>
      </c>
      <c r="O400" t="s">
        <v>278</v>
      </c>
      <c r="P400" t="s">
        <v>34</v>
      </c>
      <c r="Q400" t="s">
        <v>35</v>
      </c>
      <c r="R400" t="s">
        <v>279</v>
      </c>
      <c r="S400" t="s">
        <v>131</v>
      </c>
      <c r="T400" t="s">
        <v>280</v>
      </c>
      <c r="U400" s="10" t="s">
        <v>1064</v>
      </c>
      <c r="V400" s="10" t="s">
        <v>1077</v>
      </c>
      <c r="W400" s="10" t="s">
        <v>1075</v>
      </c>
      <c r="X400" s="10" t="s">
        <v>1059</v>
      </c>
      <c r="Y400" t="s">
        <v>39</v>
      </c>
      <c r="Z400" t="s">
        <v>40</v>
      </c>
      <c r="AA400" t="s">
        <v>63</v>
      </c>
    </row>
    <row r="401" spans="1:28" x14ac:dyDescent="0.8">
      <c r="A401">
        <v>194</v>
      </c>
      <c r="B401">
        <v>1420</v>
      </c>
      <c r="C401" s="2">
        <v>44388</v>
      </c>
      <c r="D401" t="s">
        <v>124</v>
      </c>
      <c r="E401" t="s">
        <v>25</v>
      </c>
      <c r="F401" t="s">
        <v>26</v>
      </c>
      <c r="G401" t="s">
        <v>45</v>
      </c>
      <c r="H401" t="s">
        <v>46</v>
      </c>
      <c r="I401" t="s">
        <v>47</v>
      </c>
      <c r="J401" t="s">
        <v>48</v>
      </c>
      <c r="K401" t="s">
        <v>49</v>
      </c>
      <c r="L401" t="s">
        <v>91</v>
      </c>
      <c r="M401" t="s">
        <v>92</v>
      </c>
      <c r="N401" t="s">
        <v>61</v>
      </c>
      <c r="O401" t="s">
        <v>278</v>
      </c>
      <c r="P401" t="s">
        <v>34</v>
      </c>
      <c r="Q401" t="s">
        <v>35</v>
      </c>
      <c r="R401" t="s">
        <v>279</v>
      </c>
      <c r="S401" t="s">
        <v>131</v>
      </c>
      <c r="T401" t="s">
        <v>280</v>
      </c>
      <c r="U401" s="10" t="s">
        <v>1064</v>
      </c>
      <c r="V401" s="10" t="s">
        <v>1077</v>
      </c>
      <c r="W401" s="10" t="s">
        <v>1075</v>
      </c>
      <c r="X401" s="10" t="s">
        <v>1059</v>
      </c>
      <c r="Y401" t="s">
        <v>140</v>
      </c>
      <c r="Z401" t="s">
        <v>62</v>
      </c>
      <c r="AA401" t="s">
        <v>53</v>
      </c>
    </row>
    <row r="402" spans="1:28" x14ac:dyDescent="0.8">
      <c r="A402">
        <v>701</v>
      </c>
      <c r="B402">
        <v>418</v>
      </c>
      <c r="C402" s="2">
        <v>44385</v>
      </c>
      <c r="D402" t="s">
        <v>133</v>
      </c>
      <c r="E402" t="s">
        <v>63</v>
      </c>
      <c r="F402" t="s">
        <v>26</v>
      </c>
      <c r="G402" t="s">
        <v>45</v>
      </c>
      <c r="H402" t="s">
        <v>68</v>
      </c>
      <c r="I402" t="s">
        <v>69</v>
      </c>
      <c r="J402" t="s">
        <v>70</v>
      </c>
      <c r="K402" t="s">
        <v>71</v>
      </c>
      <c r="L402" t="s">
        <v>72</v>
      </c>
      <c r="M402" t="s">
        <v>73</v>
      </c>
      <c r="N402" t="s">
        <v>61</v>
      </c>
      <c r="O402" t="s">
        <v>1019</v>
      </c>
      <c r="P402" t="s">
        <v>34</v>
      </c>
      <c r="Q402" t="s">
        <v>1020</v>
      </c>
      <c r="R402" t="s">
        <v>1021</v>
      </c>
      <c r="S402" t="s">
        <v>1022</v>
      </c>
      <c r="T402" t="s">
        <v>1023</v>
      </c>
      <c r="U402" s="10" t="s">
        <v>1061</v>
      </c>
      <c r="V402" s="10" t="s">
        <v>1114</v>
      </c>
      <c r="W402" s="10" t="s">
        <v>1064</v>
      </c>
      <c r="X402" s="10" t="s">
        <v>1068</v>
      </c>
      <c r="Y402" t="s">
        <v>39</v>
      </c>
      <c r="Z402" t="s">
        <v>40</v>
      </c>
      <c r="AA402" t="s">
        <v>63</v>
      </c>
    </row>
    <row r="403" spans="1:28" x14ac:dyDescent="0.8">
      <c r="A403">
        <v>690</v>
      </c>
      <c r="B403">
        <v>1075</v>
      </c>
      <c r="C403" s="2">
        <v>44385</v>
      </c>
      <c r="D403" t="s">
        <v>133</v>
      </c>
      <c r="E403" t="s">
        <v>103</v>
      </c>
      <c r="F403" t="s">
        <v>26</v>
      </c>
      <c r="G403" t="s">
        <v>45</v>
      </c>
      <c r="H403" t="s">
        <v>46</v>
      </c>
      <c r="I403" t="s">
        <v>47</v>
      </c>
      <c r="J403" t="s">
        <v>48</v>
      </c>
      <c r="K403" t="s">
        <v>141</v>
      </c>
      <c r="L403" t="s">
        <v>65</v>
      </c>
      <c r="M403" t="s">
        <v>396</v>
      </c>
      <c r="N403" t="s">
        <v>61</v>
      </c>
      <c r="O403" t="s">
        <v>1019</v>
      </c>
      <c r="P403" t="s">
        <v>34</v>
      </c>
      <c r="Q403" t="s">
        <v>1020</v>
      </c>
      <c r="R403" t="s">
        <v>1021</v>
      </c>
      <c r="S403" t="s">
        <v>1022</v>
      </c>
      <c r="T403" t="s">
        <v>1023</v>
      </c>
      <c r="U403" s="10" t="s">
        <v>1061</v>
      </c>
      <c r="V403" s="10" t="s">
        <v>1114</v>
      </c>
      <c r="W403" s="10" t="s">
        <v>1064</v>
      </c>
      <c r="X403" s="10" t="s">
        <v>1068</v>
      </c>
      <c r="Y403" t="s">
        <v>39</v>
      </c>
      <c r="Z403" t="s">
        <v>40</v>
      </c>
      <c r="AA403" t="s">
        <v>63</v>
      </c>
    </row>
    <row r="404" spans="1:28" x14ac:dyDescent="0.8">
      <c r="A404">
        <v>228</v>
      </c>
      <c r="B404">
        <v>1128</v>
      </c>
      <c r="C404" s="2">
        <v>44384</v>
      </c>
      <c r="D404" t="s">
        <v>151</v>
      </c>
      <c r="E404" t="s">
        <v>125</v>
      </c>
      <c r="F404" t="s">
        <v>26</v>
      </c>
      <c r="G404" t="s">
        <v>45</v>
      </c>
      <c r="H404" t="s">
        <v>68</v>
      </c>
      <c r="I404" t="s">
        <v>69</v>
      </c>
      <c r="J404" t="s">
        <v>70</v>
      </c>
      <c r="K404" t="s">
        <v>71</v>
      </c>
      <c r="L404" t="s">
        <v>72</v>
      </c>
      <c r="M404" t="s">
        <v>73</v>
      </c>
      <c r="N404" t="s">
        <v>61</v>
      </c>
      <c r="O404" t="s">
        <v>1019</v>
      </c>
      <c r="P404" t="s">
        <v>34</v>
      </c>
      <c r="Q404" t="s">
        <v>1020</v>
      </c>
      <c r="R404" t="s">
        <v>1021</v>
      </c>
      <c r="S404" t="s">
        <v>1022</v>
      </c>
      <c r="T404" t="s">
        <v>1023</v>
      </c>
      <c r="U404" s="10" t="s">
        <v>1061</v>
      </c>
      <c r="V404" s="10" t="s">
        <v>1114</v>
      </c>
      <c r="W404" s="10" t="s">
        <v>1064</v>
      </c>
      <c r="X404" s="10" t="s">
        <v>1068</v>
      </c>
      <c r="Y404" t="s">
        <v>39</v>
      </c>
      <c r="Z404" t="s">
        <v>40</v>
      </c>
      <c r="AA404" t="s">
        <v>53</v>
      </c>
    </row>
    <row r="405" spans="1:28" x14ac:dyDescent="0.8">
      <c r="A405">
        <v>341</v>
      </c>
      <c r="B405">
        <v>347</v>
      </c>
      <c r="C405" s="2">
        <v>44385</v>
      </c>
      <c r="D405" t="s">
        <v>213</v>
      </c>
      <c r="E405" t="s">
        <v>44</v>
      </c>
      <c r="F405" t="s">
        <v>26</v>
      </c>
      <c r="G405" t="s">
        <v>27</v>
      </c>
      <c r="H405" t="s">
        <v>28</v>
      </c>
      <c r="I405" t="s">
        <v>214</v>
      </c>
      <c r="K405" t="s">
        <v>215</v>
      </c>
      <c r="L405" t="s">
        <v>112</v>
      </c>
      <c r="M405" t="s">
        <v>216</v>
      </c>
      <c r="O405" t="s">
        <v>217</v>
      </c>
      <c r="P405" t="s">
        <v>85</v>
      </c>
      <c r="Q405" t="s">
        <v>218</v>
      </c>
      <c r="R405" t="s">
        <v>219</v>
      </c>
      <c r="S405" t="s">
        <v>220</v>
      </c>
      <c r="T405" t="s">
        <v>221</v>
      </c>
      <c r="U405" s="10" t="s">
        <v>1061</v>
      </c>
      <c r="V405" s="10" t="s">
        <v>1073</v>
      </c>
      <c r="W405" s="10" t="s">
        <v>1142</v>
      </c>
      <c r="X405" s="10" t="s">
        <v>1063</v>
      </c>
      <c r="Y405" t="s">
        <v>39</v>
      </c>
      <c r="Z405" t="s">
        <v>40</v>
      </c>
      <c r="AA405" t="s">
        <v>53</v>
      </c>
      <c r="AB405" t="s">
        <v>222</v>
      </c>
    </row>
    <row r="406" spans="1:28" x14ac:dyDescent="0.8">
      <c r="A406">
        <v>340</v>
      </c>
      <c r="B406">
        <v>346</v>
      </c>
      <c r="C406" s="2">
        <v>44385</v>
      </c>
      <c r="D406" t="s">
        <v>213</v>
      </c>
      <c r="E406" t="s">
        <v>44</v>
      </c>
      <c r="F406" t="s">
        <v>26</v>
      </c>
      <c r="G406" t="s">
        <v>27</v>
      </c>
      <c r="H406" t="s">
        <v>28</v>
      </c>
      <c r="I406" t="s">
        <v>223</v>
      </c>
      <c r="K406" t="s">
        <v>224</v>
      </c>
      <c r="L406" t="s">
        <v>59</v>
      </c>
      <c r="M406" t="s">
        <v>225</v>
      </c>
      <c r="O406" t="s">
        <v>217</v>
      </c>
      <c r="P406" t="s">
        <v>85</v>
      </c>
      <c r="Q406" t="s">
        <v>218</v>
      </c>
      <c r="R406" t="s">
        <v>219</v>
      </c>
      <c r="S406" t="s">
        <v>220</v>
      </c>
      <c r="T406" t="s">
        <v>221</v>
      </c>
      <c r="U406" s="10" t="s">
        <v>1061</v>
      </c>
      <c r="V406" s="10" t="s">
        <v>1073</v>
      </c>
      <c r="W406" s="10" t="s">
        <v>1142</v>
      </c>
      <c r="X406" s="10" t="s">
        <v>1063</v>
      </c>
      <c r="Y406" t="s">
        <v>39</v>
      </c>
      <c r="Z406" t="s">
        <v>40</v>
      </c>
      <c r="AA406" t="s">
        <v>53</v>
      </c>
      <c r="AB406" t="s">
        <v>226</v>
      </c>
    </row>
    <row r="407" spans="1:28" x14ac:dyDescent="0.8">
      <c r="A407">
        <v>374</v>
      </c>
      <c r="B407">
        <v>470</v>
      </c>
      <c r="C407" s="2">
        <v>44385</v>
      </c>
      <c r="D407" t="s">
        <v>213</v>
      </c>
      <c r="E407" t="s">
        <v>103</v>
      </c>
      <c r="F407" t="s">
        <v>26</v>
      </c>
      <c r="G407" t="s">
        <v>27</v>
      </c>
      <c r="H407" t="s">
        <v>114</v>
      </c>
      <c r="I407" t="s">
        <v>115</v>
      </c>
      <c r="J407" t="s">
        <v>120</v>
      </c>
      <c r="K407" t="s">
        <v>121</v>
      </c>
      <c r="L407" t="s">
        <v>122</v>
      </c>
      <c r="M407" t="s">
        <v>123</v>
      </c>
      <c r="O407" t="s">
        <v>217</v>
      </c>
      <c r="P407" t="s">
        <v>85</v>
      </c>
      <c r="Q407" t="s">
        <v>218</v>
      </c>
      <c r="R407" t="s">
        <v>219</v>
      </c>
      <c r="S407" t="s">
        <v>220</v>
      </c>
      <c r="T407" t="s">
        <v>221</v>
      </c>
      <c r="U407" s="10" t="s">
        <v>1061</v>
      </c>
      <c r="V407" s="10" t="s">
        <v>1073</v>
      </c>
      <c r="W407" s="10" t="s">
        <v>1142</v>
      </c>
      <c r="X407" s="10" t="s">
        <v>1063</v>
      </c>
      <c r="Y407" t="s">
        <v>39</v>
      </c>
      <c r="Z407" t="s">
        <v>40</v>
      </c>
      <c r="AA407" t="s">
        <v>53</v>
      </c>
    </row>
    <row r="408" spans="1:28" x14ac:dyDescent="0.8">
      <c r="A408">
        <v>884</v>
      </c>
      <c r="B408">
        <v>212</v>
      </c>
      <c r="C408" s="2">
        <v>44388</v>
      </c>
      <c r="D408" t="s">
        <v>189</v>
      </c>
      <c r="E408" t="s">
        <v>53</v>
      </c>
      <c r="F408" t="s">
        <v>26</v>
      </c>
      <c r="G408" t="s">
        <v>45</v>
      </c>
      <c r="H408" t="s">
        <v>68</v>
      </c>
      <c r="I408" t="s">
        <v>69</v>
      </c>
      <c r="J408" t="s">
        <v>70</v>
      </c>
      <c r="K408" t="s">
        <v>71</v>
      </c>
      <c r="L408" t="s">
        <v>72</v>
      </c>
      <c r="M408" t="s">
        <v>73</v>
      </c>
      <c r="N408" t="s">
        <v>61</v>
      </c>
      <c r="O408" t="s">
        <v>917</v>
      </c>
      <c r="P408" t="s">
        <v>34</v>
      </c>
      <c r="Q408" t="s">
        <v>359</v>
      </c>
      <c r="R408" t="s">
        <v>911</v>
      </c>
      <c r="S408" t="s">
        <v>918</v>
      </c>
      <c r="T408" t="s">
        <v>919</v>
      </c>
      <c r="U408" s="10" t="s">
        <v>1061</v>
      </c>
      <c r="V408" s="10" t="s">
        <v>1110</v>
      </c>
      <c r="W408" s="10" t="s">
        <v>1110</v>
      </c>
      <c r="X408" s="10" t="s">
        <v>1080</v>
      </c>
      <c r="Y408" t="s">
        <v>39</v>
      </c>
      <c r="Z408" t="s">
        <v>40</v>
      </c>
      <c r="AA408" t="s">
        <v>63</v>
      </c>
    </row>
    <row r="409" spans="1:28" x14ac:dyDescent="0.8">
      <c r="A409">
        <v>667</v>
      </c>
      <c r="B409">
        <v>294</v>
      </c>
      <c r="C409" s="2">
        <v>44385</v>
      </c>
      <c r="D409" t="s">
        <v>133</v>
      </c>
      <c r="E409" t="s">
        <v>63</v>
      </c>
      <c r="F409" t="s">
        <v>26</v>
      </c>
      <c r="G409" t="s">
        <v>45</v>
      </c>
      <c r="H409" t="s">
        <v>155</v>
      </c>
      <c r="I409" t="s">
        <v>69</v>
      </c>
      <c r="J409" t="s">
        <v>156</v>
      </c>
      <c r="K409" t="s">
        <v>157</v>
      </c>
      <c r="L409" t="s">
        <v>158</v>
      </c>
      <c r="M409" t="s">
        <v>159</v>
      </c>
      <c r="N409" t="s">
        <v>52</v>
      </c>
      <c r="O409" t="s">
        <v>355</v>
      </c>
      <c r="P409" t="s">
        <v>34</v>
      </c>
      <c r="Q409" t="s">
        <v>353</v>
      </c>
      <c r="R409" t="s">
        <v>352</v>
      </c>
      <c r="S409" t="s">
        <v>356</v>
      </c>
      <c r="T409" t="s">
        <v>357</v>
      </c>
      <c r="U409" s="10" t="s">
        <v>1055</v>
      </c>
      <c r="V409" s="10" t="s">
        <v>1078</v>
      </c>
      <c r="W409" s="10" t="s">
        <v>1110</v>
      </c>
      <c r="X409" s="10" t="s">
        <v>1063</v>
      </c>
      <c r="Y409" t="s">
        <v>140</v>
      </c>
      <c r="Z409" t="s">
        <v>40</v>
      </c>
      <c r="AA409" t="s">
        <v>63</v>
      </c>
    </row>
    <row r="410" spans="1:28" x14ac:dyDescent="0.8">
      <c r="A410">
        <v>236</v>
      </c>
      <c r="B410">
        <v>1211</v>
      </c>
      <c r="C410" s="2">
        <v>44384</v>
      </c>
      <c r="D410" t="s">
        <v>151</v>
      </c>
      <c r="E410" t="s">
        <v>125</v>
      </c>
      <c r="F410" t="s">
        <v>26</v>
      </c>
      <c r="G410" t="s">
        <v>45</v>
      </c>
      <c r="H410" t="s">
        <v>68</v>
      </c>
      <c r="I410" t="s">
        <v>69</v>
      </c>
      <c r="J410" t="s">
        <v>70</v>
      </c>
      <c r="K410" t="s">
        <v>71</v>
      </c>
      <c r="L410" t="s">
        <v>72</v>
      </c>
      <c r="M410" t="s">
        <v>73</v>
      </c>
      <c r="N410" t="s">
        <v>61</v>
      </c>
      <c r="O410" t="s">
        <v>355</v>
      </c>
      <c r="P410" t="s">
        <v>34</v>
      </c>
      <c r="Q410" t="s">
        <v>353</v>
      </c>
      <c r="R410" t="s">
        <v>352</v>
      </c>
      <c r="S410" t="s">
        <v>356</v>
      </c>
      <c r="T410" t="s">
        <v>357</v>
      </c>
      <c r="U410" s="10" t="s">
        <v>1055</v>
      </c>
      <c r="V410" s="10" t="s">
        <v>1078</v>
      </c>
      <c r="W410" s="10" t="s">
        <v>1110</v>
      </c>
      <c r="X410" s="10" t="s">
        <v>1063</v>
      </c>
      <c r="Y410" t="s">
        <v>39</v>
      </c>
      <c r="Z410" t="s">
        <v>40</v>
      </c>
      <c r="AA410" t="s">
        <v>53</v>
      </c>
    </row>
    <row r="411" spans="1:28" x14ac:dyDescent="0.8">
      <c r="A411">
        <v>157</v>
      </c>
      <c r="B411">
        <v>1173</v>
      </c>
      <c r="C411" s="2">
        <v>44388</v>
      </c>
      <c r="D411" t="s">
        <v>235</v>
      </c>
      <c r="E411" t="s">
        <v>125</v>
      </c>
      <c r="F411" t="s">
        <v>26</v>
      </c>
      <c r="G411" t="s">
        <v>45</v>
      </c>
      <c r="H411" t="s">
        <v>46</v>
      </c>
      <c r="I411" t="s">
        <v>47</v>
      </c>
      <c r="J411" t="s">
        <v>48</v>
      </c>
      <c r="K411" t="s">
        <v>105</v>
      </c>
      <c r="L411" t="s">
        <v>106</v>
      </c>
      <c r="M411" t="s">
        <v>107</v>
      </c>
      <c r="O411" t="s">
        <v>332</v>
      </c>
      <c r="P411" t="s">
        <v>326</v>
      </c>
      <c r="Q411" t="s">
        <v>35</v>
      </c>
      <c r="R411" t="s">
        <v>333</v>
      </c>
      <c r="S411" t="s">
        <v>334</v>
      </c>
      <c r="T411" t="s">
        <v>335</v>
      </c>
      <c r="U411" s="10" t="s">
        <v>1055</v>
      </c>
      <c r="V411" s="10" t="s">
        <v>1078</v>
      </c>
      <c r="W411" s="10" t="s">
        <v>1110</v>
      </c>
      <c r="X411" s="10" t="s">
        <v>1068</v>
      </c>
      <c r="Y411" t="s">
        <v>140</v>
      </c>
      <c r="Z411" t="s">
        <v>40</v>
      </c>
      <c r="AA411" t="s">
        <v>53</v>
      </c>
    </row>
    <row r="412" spans="1:28" x14ac:dyDescent="0.8">
      <c r="A412">
        <v>797</v>
      </c>
      <c r="B412">
        <v>1326</v>
      </c>
      <c r="C412" s="2">
        <v>44387</v>
      </c>
      <c r="D412" t="s">
        <v>149</v>
      </c>
      <c r="E412" t="s">
        <v>25</v>
      </c>
      <c r="F412" t="s">
        <v>26</v>
      </c>
      <c r="G412" t="s">
        <v>45</v>
      </c>
      <c r="H412" t="s">
        <v>68</v>
      </c>
      <c r="I412" t="s">
        <v>69</v>
      </c>
      <c r="J412" t="s">
        <v>70</v>
      </c>
      <c r="K412" t="s">
        <v>71</v>
      </c>
      <c r="L412" t="s">
        <v>72</v>
      </c>
      <c r="M412" t="s">
        <v>73</v>
      </c>
      <c r="N412" t="s">
        <v>61</v>
      </c>
      <c r="O412" t="s">
        <v>358</v>
      </c>
      <c r="P412" t="s">
        <v>85</v>
      </c>
      <c r="Q412" t="s">
        <v>359</v>
      </c>
      <c r="R412" t="s">
        <v>360</v>
      </c>
      <c r="S412" t="s">
        <v>337</v>
      </c>
      <c r="T412" t="s">
        <v>361</v>
      </c>
      <c r="U412" s="10" t="s">
        <v>1061</v>
      </c>
      <c r="V412" s="10" t="s">
        <v>1078</v>
      </c>
      <c r="W412" s="10" t="s">
        <v>1110</v>
      </c>
      <c r="X412" s="10" t="s">
        <v>1080</v>
      </c>
      <c r="Y412" t="s">
        <v>39</v>
      </c>
      <c r="Z412" t="s">
        <v>40</v>
      </c>
      <c r="AA412" t="s">
        <v>63</v>
      </c>
    </row>
    <row r="413" spans="1:28" x14ac:dyDescent="0.8">
      <c r="A413">
        <v>1385</v>
      </c>
      <c r="B413">
        <v>2082</v>
      </c>
      <c r="C413" s="2">
        <v>44386</v>
      </c>
      <c r="D413" t="s">
        <v>67</v>
      </c>
      <c r="E413" t="s">
        <v>53</v>
      </c>
      <c r="F413" t="s">
        <v>26</v>
      </c>
      <c r="G413" t="s">
        <v>45</v>
      </c>
      <c r="H413" t="s">
        <v>68</v>
      </c>
      <c r="I413" t="s">
        <v>69</v>
      </c>
      <c r="J413" t="s">
        <v>70</v>
      </c>
      <c r="K413" t="s">
        <v>71</v>
      </c>
      <c r="L413" t="s">
        <v>72</v>
      </c>
      <c r="M413" t="s">
        <v>73</v>
      </c>
      <c r="N413" t="s">
        <v>61</v>
      </c>
      <c r="O413" t="s">
        <v>74</v>
      </c>
      <c r="P413" t="s">
        <v>34</v>
      </c>
      <c r="Q413" t="s">
        <v>75</v>
      </c>
      <c r="R413" t="s">
        <v>76</v>
      </c>
      <c r="S413" t="s">
        <v>77</v>
      </c>
      <c r="T413" t="s">
        <v>78</v>
      </c>
      <c r="U413" s="10" t="s">
        <v>1061</v>
      </c>
      <c r="V413" s="10" t="s">
        <v>1060</v>
      </c>
      <c r="W413" s="10" t="s">
        <v>1141</v>
      </c>
      <c r="X413" s="10" t="s">
        <v>1059</v>
      </c>
      <c r="Y413" t="s">
        <v>39</v>
      </c>
      <c r="Z413" t="s">
        <v>40</v>
      </c>
      <c r="AA413" t="s">
        <v>63</v>
      </c>
    </row>
    <row r="414" spans="1:28" x14ac:dyDescent="0.8">
      <c r="A414">
        <v>1386</v>
      </c>
      <c r="B414">
        <v>2083</v>
      </c>
      <c r="C414" s="2">
        <v>44386</v>
      </c>
      <c r="D414" t="s">
        <v>67</v>
      </c>
      <c r="E414" t="s">
        <v>63</v>
      </c>
      <c r="F414" t="s">
        <v>26</v>
      </c>
      <c r="G414" t="s">
        <v>45</v>
      </c>
      <c r="H414" t="s">
        <v>79</v>
      </c>
      <c r="I414" t="s">
        <v>69</v>
      </c>
      <c r="J414" t="s">
        <v>80</v>
      </c>
      <c r="K414" t="s">
        <v>81</v>
      </c>
      <c r="L414" t="s">
        <v>82</v>
      </c>
      <c r="M414" t="s">
        <v>83</v>
      </c>
      <c r="N414" t="s">
        <v>61</v>
      </c>
      <c r="O414" t="s">
        <v>74</v>
      </c>
      <c r="P414" t="s">
        <v>34</v>
      </c>
      <c r="Q414" t="s">
        <v>75</v>
      </c>
      <c r="R414" t="s">
        <v>76</v>
      </c>
      <c r="S414" t="s">
        <v>77</v>
      </c>
      <c r="T414" t="s">
        <v>78</v>
      </c>
      <c r="U414" s="10" t="s">
        <v>1061</v>
      </c>
      <c r="V414" s="10" t="s">
        <v>1060</v>
      </c>
      <c r="W414" s="10" t="s">
        <v>1141</v>
      </c>
      <c r="X414" s="10" t="s">
        <v>1059</v>
      </c>
      <c r="Y414" t="s">
        <v>39</v>
      </c>
      <c r="Z414" t="s">
        <v>40</v>
      </c>
      <c r="AA414" t="s">
        <v>63</v>
      </c>
    </row>
    <row r="415" spans="1:28" x14ac:dyDescent="0.8">
      <c r="A415">
        <v>1365</v>
      </c>
      <c r="B415">
        <v>2062</v>
      </c>
      <c r="C415" s="2">
        <v>44386</v>
      </c>
      <c r="D415" t="s">
        <v>67</v>
      </c>
      <c r="E415" t="s">
        <v>63</v>
      </c>
      <c r="F415" t="s">
        <v>26</v>
      </c>
      <c r="G415" t="s">
        <v>45</v>
      </c>
      <c r="H415" t="s">
        <v>79</v>
      </c>
      <c r="I415" t="s">
        <v>69</v>
      </c>
      <c r="J415" t="s">
        <v>80</v>
      </c>
      <c r="K415" t="s">
        <v>81</v>
      </c>
      <c r="L415" t="s">
        <v>82</v>
      </c>
      <c r="M415" t="s">
        <v>83</v>
      </c>
      <c r="N415" t="s">
        <v>61</v>
      </c>
      <c r="O415" t="s">
        <v>74</v>
      </c>
      <c r="P415" t="s">
        <v>34</v>
      </c>
      <c r="Q415" t="s">
        <v>75</v>
      </c>
      <c r="R415" t="s">
        <v>76</v>
      </c>
      <c r="S415" t="s">
        <v>77</v>
      </c>
      <c r="T415" t="s">
        <v>78</v>
      </c>
      <c r="U415" s="10" t="s">
        <v>1061</v>
      </c>
      <c r="V415" s="10" t="s">
        <v>1060</v>
      </c>
      <c r="W415" s="10" t="s">
        <v>1141</v>
      </c>
      <c r="X415" s="10" t="s">
        <v>1059</v>
      </c>
      <c r="Y415" t="s">
        <v>39</v>
      </c>
      <c r="Z415" t="s">
        <v>40</v>
      </c>
      <c r="AA415" t="s">
        <v>63</v>
      </c>
    </row>
    <row r="416" spans="1:28" x14ac:dyDescent="0.8">
      <c r="A416">
        <v>162</v>
      </c>
      <c r="B416">
        <v>1178</v>
      </c>
      <c r="C416" s="2">
        <v>44388</v>
      </c>
      <c r="D416" t="s">
        <v>235</v>
      </c>
      <c r="E416" t="s">
        <v>25</v>
      </c>
      <c r="F416" t="s">
        <v>26</v>
      </c>
      <c r="G416" t="s">
        <v>45</v>
      </c>
      <c r="H416" t="s">
        <v>68</v>
      </c>
      <c r="I416" t="s">
        <v>69</v>
      </c>
      <c r="J416" t="s">
        <v>70</v>
      </c>
      <c r="K416" t="s">
        <v>71</v>
      </c>
      <c r="L416" t="s">
        <v>72</v>
      </c>
      <c r="M416" t="s">
        <v>73</v>
      </c>
      <c r="N416" t="s">
        <v>61</v>
      </c>
      <c r="O416" t="s">
        <v>340</v>
      </c>
      <c r="P416" t="s">
        <v>326</v>
      </c>
      <c r="Q416" t="s">
        <v>341</v>
      </c>
      <c r="R416" t="s">
        <v>342</v>
      </c>
      <c r="S416" t="s">
        <v>343</v>
      </c>
      <c r="T416" t="s">
        <v>344</v>
      </c>
      <c r="U416" s="10" t="s">
        <v>1055</v>
      </c>
      <c r="V416" s="10" t="s">
        <v>1079</v>
      </c>
      <c r="W416" s="10" t="s">
        <v>1110</v>
      </c>
      <c r="X416" s="10" t="s">
        <v>1063</v>
      </c>
      <c r="Y416" t="s">
        <v>39</v>
      </c>
      <c r="Z416" t="s">
        <v>62</v>
      </c>
      <c r="AA416" t="s">
        <v>53</v>
      </c>
      <c r="AB416" t="s">
        <v>345</v>
      </c>
    </row>
    <row r="417" spans="1:28" x14ac:dyDescent="0.8">
      <c r="A417">
        <v>533</v>
      </c>
      <c r="B417">
        <v>74</v>
      </c>
      <c r="C417" s="2">
        <v>44388</v>
      </c>
      <c r="D417" t="s">
        <v>235</v>
      </c>
      <c r="E417" t="s">
        <v>25</v>
      </c>
      <c r="F417" t="s">
        <v>26</v>
      </c>
      <c r="G417" t="s">
        <v>45</v>
      </c>
      <c r="H417" t="s">
        <v>68</v>
      </c>
      <c r="I417" t="s">
        <v>69</v>
      </c>
      <c r="J417" t="s">
        <v>70</v>
      </c>
      <c r="K417" t="s">
        <v>71</v>
      </c>
      <c r="L417" t="s">
        <v>72</v>
      </c>
      <c r="M417" t="s">
        <v>73</v>
      </c>
      <c r="N417" t="s">
        <v>61</v>
      </c>
      <c r="O417" t="s">
        <v>340</v>
      </c>
      <c r="P417" t="s">
        <v>326</v>
      </c>
      <c r="Q417" t="s">
        <v>341</v>
      </c>
      <c r="R417" t="s">
        <v>342</v>
      </c>
      <c r="S417" t="s">
        <v>343</v>
      </c>
      <c r="T417" t="s">
        <v>344</v>
      </c>
      <c r="U417" s="10" t="s">
        <v>1055</v>
      </c>
      <c r="V417" s="10" t="s">
        <v>1079</v>
      </c>
      <c r="W417" s="10" t="s">
        <v>1110</v>
      </c>
      <c r="X417" s="10" t="s">
        <v>1063</v>
      </c>
      <c r="Y417" t="s">
        <v>39</v>
      </c>
      <c r="Z417" t="s">
        <v>40</v>
      </c>
      <c r="AA417" t="s">
        <v>63</v>
      </c>
    </row>
    <row r="418" spans="1:28" x14ac:dyDescent="0.8">
      <c r="A418">
        <v>163</v>
      </c>
      <c r="B418">
        <v>1179</v>
      </c>
      <c r="C418" s="2">
        <v>44388</v>
      </c>
      <c r="D418" t="s">
        <v>235</v>
      </c>
      <c r="E418" t="s">
        <v>25</v>
      </c>
      <c r="F418" t="s">
        <v>26</v>
      </c>
      <c r="G418" t="s">
        <v>45</v>
      </c>
      <c r="H418" t="s">
        <v>46</v>
      </c>
      <c r="I418" t="s">
        <v>47</v>
      </c>
      <c r="J418" t="s">
        <v>48</v>
      </c>
      <c r="K418" t="s">
        <v>49</v>
      </c>
      <c r="L418" t="s">
        <v>91</v>
      </c>
      <c r="M418" t="s">
        <v>92</v>
      </c>
      <c r="N418" t="s">
        <v>61</v>
      </c>
      <c r="O418" t="s">
        <v>340</v>
      </c>
      <c r="P418" t="s">
        <v>326</v>
      </c>
      <c r="Q418" t="s">
        <v>341</v>
      </c>
      <c r="R418" t="s">
        <v>342</v>
      </c>
      <c r="S418" t="s">
        <v>343</v>
      </c>
      <c r="T418" t="s">
        <v>344</v>
      </c>
      <c r="U418" s="10" t="s">
        <v>1055</v>
      </c>
      <c r="V418" s="10" t="s">
        <v>1079</v>
      </c>
      <c r="W418" s="10" t="s">
        <v>1110</v>
      </c>
      <c r="X418" s="10" t="s">
        <v>1063</v>
      </c>
      <c r="Y418" t="s">
        <v>39</v>
      </c>
      <c r="Z418" t="s">
        <v>62</v>
      </c>
      <c r="AA418" t="s">
        <v>53</v>
      </c>
      <c r="AB418" t="s">
        <v>345</v>
      </c>
    </row>
    <row r="419" spans="1:28" x14ac:dyDescent="0.8">
      <c r="A419">
        <v>180</v>
      </c>
      <c r="B419">
        <v>1336</v>
      </c>
      <c r="C419" s="2">
        <v>44388</v>
      </c>
      <c r="D419" t="s">
        <v>235</v>
      </c>
      <c r="E419" t="s">
        <v>25</v>
      </c>
      <c r="F419" t="s">
        <v>26</v>
      </c>
      <c r="G419" t="s">
        <v>45</v>
      </c>
      <c r="H419" t="s">
        <v>46</v>
      </c>
      <c r="I419" t="s">
        <v>47</v>
      </c>
      <c r="J419" t="s">
        <v>48</v>
      </c>
      <c r="K419" t="s">
        <v>141</v>
      </c>
      <c r="L419" t="s">
        <v>59</v>
      </c>
      <c r="M419" t="s">
        <v>346</v>
      </c>
      <c r="N419" t="s">
        <v>61</v>
      </c>
      <c r="O419" t="s">
        <v>340</v>
      </c>
      <c r="P419" t="s">
        <v>326</v>
      </c>
      <c r="Q419" t="s">
        <v>341</v>
      </c>
      <c r="R419" t="s">
        <v>342</v>
      </c>
      <c r="S419" t="s">
        <v>343</v>
      </c>
      <c r="T419" t="s">
        <v>344</v>
      </c>
      <c r="U419" s="10" t="s">
        <v>1055</v>
      </c>
      <c r="V419" s="10" t="s">
        <v>1079</v>
      </c>
      <c r="W419" s="10" t="s">
        <v>1110</v>
      </c>
      <c r="X419" s="10" t="s">
        <v>1063</v>
      </c>
      <c r="Y419" t="s">
        <v>39</v>
      </c>
      <c r="Z419" t="s">
        <v>62</v>
      </c>
      <c r="AA419" t="s">
        <v>53</v>
      </c>
    </row>
    <row r="420" spans="1:28" x14ac:dyDescent="0.8">
      <c r="A420">
        <v>1350</v>
      </c>
      <c r="B420">
        <v>2097</v>
      </c>
      <c r="C420" s="2">
        <v>44386</v>
      </c>
      <c r="D420" t="s">
        <v>67</v>
      </c>
      <c r="E420" t="s">
        <v>25</v>
      </c>
      <c r="F420" t="s">
        <v>26</v>
      </c>
      <c r="G420" t="s">
        <v>45</v>
      </c>
      <c r="H420" t="s">
        <v>55</v>
      </c>
      <c r="I420" t="s">
        <v>56</v>
      </c>
      <c r="J420" t="s">
        <v>57</v>
      </c>
      <c r="K420" t="s">
        <v>58</v>
      </c>
      <c r="L420" t="s">
        <v>59</v>
      </c>
      <c r="M420" t="s">
        <v>60</v>
      </c>
      <c r="N420" t="s">
        <v>61</v>
      </c>
      <c r="O420" t="s">
        <v>368</v>
      </c>
      <c r="P420" t="s">
        <v>326</v>
      </c>
      <c r="Q420" t="s">
        <v>369</v>
      </c>
      <c r="R420" t="s">
        <v>370</v>
      </c>
      <c r="S420" t="s">
        <v>371</v>
      </c>
      <c r="T420" t="s">
        <v>372</v>
      </c>
      <c r="U420" s="10" t="s">
        <v>1061</v>
      </c>
      <c r="V420" s="10" t="s">
        <v>1081</v>
      </c>
      <c r="W420" s="10" t="s">
        <v>1066</v>
      </c>
      <c r="X420" s="10" t="s">
        <v>1068</v>
      </c>
      <c r="Y420" t="s">
        <v>39</v>
      </c>
      <c r="Z420" t="s">
        <v>40</v>
      </c>
      <c r="AA420" t="s">
        <v>63</v>
      </c>
    </row>
    <row r="421" spans="1:28" x14ac:dyDescent="0.8">
      <c r="A421">
        <v>1374</v>
      </c>
      <c r="B421">
        <v>2071</v>
      </c>
      <c r="C421" s="2">
        <v>44386</v>
      </c>
      <c r="D421" t="s">
        <v>67</v>
      </c>
      <c r="E421" t="s">
        <v>125</v>
      </c>
      <c r="F421" t="s">
        <v>26</v>
      </c>
      <c r="G421" t="s">
        <v>45</v>
      </c>
      <c r="H421" t="s">
        <v>46</v>
      </c>
      <c r="I421" t="s">
        <v>47</v>
      </c>
      <c r="J421" t="s">
        <v>48</v>
      </c>
      <c r="K421" t="s">
        <v>49</v>
      </c>
      <c r="L421" t="s">
        <v>91</v>
      </c>
      <c r="M421" t="s">
        <v>92</v>
      </c>
      <c r="N421" t="s">
        <v>61</v>
      </c>
      <c r="O421" t="s">
        <v>368</v>
      </c>
      <c r="P421" t="s">
        <v>326</v>
      </c>
      <c r="Q421" t="s">
        <v>369</v>
      </c>
      <c r="R421" t="s">
        <v>370</v>
      </c>
      <c r="S421" t="s">
        <v>371</v>
      </c>
      <c r="T421" t="s">
        <v>372</v>
      </c>
      <c r="U421" s="10" t="s">
        <v>1061</v>
      </c>
      <c r="V421" s="10" t="s">
        <v>1081</v>
      </c>
      <c r="W421" s="10" t="s">
        <v>1066</v>
      </c>
      <c r="X421" s="10" t="s">
        <v>1068</v>
      </c>
      <c r="Y421" t="s">
        <v>39</v>
      </c>
      <c r="Z421" t="s">
        <v>40</v>
      </c>
      <c r="AA421" t="s">
        <v>63</v>
      </c>
    </row>
    <row r="422" spans="1:28" x14ac:dyDescent="0.8">
      <c r="A422">
        <v>1342</v>
      </c>
      <c r="B422">
        <v>2429</v>
      </c>
      <c r="C422" s="2">
        <v>44386</v>
      </c>
      <c r="D422" t="s">
        <v>67</v>
      </c>
      <c r="E422" t="s">
        <v>25</v>
      </c>
      <c r="F422" t="s">
        <v>26</v>
      </c>
      <c r="G422" t="s">
        <v>45</v>
      </c>
      <c r="H422" t="s">
        <v>46</v>
      </c>
      <c r="I422" t="s">
        <v>47</v>
      </c>
      <c r="J422" t="s">
        <v>48</v>
      </c>
      <c r="K422" t="s">
        <v>49</v>
      </c>
      <c r="L422" t="s">
        <v>91</v>
      </c>
      <c r="M422" t="s">
        <v>92</v>
      </c>
      <c r="N422" t="s">
        <v>61</v>
      </c>
      <c r="O422" t="s">
        <v>368</v>
      </c>
      <c r="P422" t="s">
        <v>326</v>
      </c>
      <c r="Q422" t="s">
        <v>369</v>
      </c>
      <c r="R422" t="s">
        <v>370</v>
      </c>
      <c r="S422" t="s">
        <v>371</v>
      </c>
      <c r="T422" t="s">
        <v>372</v>
      </c>
      <c r="U422" s="10" t="s">
        <v>1061</v>
      </c>
      <c r="V422" s="10" t="s">
        <v>1081</v>
      </c>
      <c r="W422" s="10" t="s">
        <v>1066</v>
      </c>
      <c r="X422" s="10" t="s">
        <v>1068</v>
      </c>
      <c r="Y422" t="s">
        <v>140</v>
      </c>
      <c r="Z422" t="s">
        <v>40</v>
      </c>
      <c r="AA422" t="s">
        <v>63</v>
      </c>
    </row>
    <row r="423" spans="1:28" x14ac:dyDescent="0.8">
      <c r="A423">
        <v>145</v>
      </c>
      <c r="B423">
        <v>1091</v>
      </c>
      <c r="C423" s="2">
        <v>44386</v>
      </c>
      <c r="D423" t="s">
        <v>93</v>
      </c>
      <c r="E423" t="s">
        <v>25</v>
      </c>
      <c r="F423" t="s">
        <v>26</v>
      </c>
      <c r="G423" t="s">
        <v>45</v>
      </c>
      <c r="H423" t="s">
        <v>46</v>
      </c>
      <c r="I423" t="s">
        <v>47</v>
      </c>
      <c r="J423" t="s">
        <v>48</v>
      </c>
      <c r="K423" t="s">
        <v>49</v>
      </c>
      <c r="L423" t="s">
        <v>91</v>
      </c>
      <c r="M423" t="s">
        <v>92</v>
      </c>
      <c r="N423" t="s">
        <v>61</v>
      </c>
      <c r="O423" t="s">
        <v>368</v>
      </c>
      <c r="P423" t="s">
        <v>326</v>
      </c>
      <c r="Q423" t="s">
        <v>369</v>
      </c>
      <c r="R423" t="s">
        <v>370</v>
      </c>
      <c r="S423" t="s">
        <v>371</v>
      </c>
      <c r="T423" t="s">
        <v>372</v>
      </c>
      <c r="U423" s="10" t="s">
        <v>1061</v>
      </c>
      <c r="V423" s="10" t="s">
        <v>1081</v>
      </c>
      <c r="W423" s="10" t="s">
        <v>1066</v>
      </c>
      <c r="X423" s="10" t="s">
        <v>1068</v>
      </c>
      <c r="Y423" t="s">
        <v>39</v>
      </c>
      <c r="Z423" t="s">
        <v>40</v>
      </c>
      <c r="AA423" t="s">
        <v>53</v>
      </c>
    </row>
    <row r="424" spans="1:28" x14ac:dyDescent="0.8">
      <c r="A424">
        <v>1764</v>
      </c>
      <c r="B424">
        <v>1482</v>
      </c>
      <c r="C424" s="2">
        <v>44387</v>
      </c>
      <c r="D424" t="s">
        <v>173</v>
      </c>
      <c r="E424" t="s">
        <v>25</v>
      </c>
      <c r="F424" t="s">
        <v>26</v>
      </c>
      <c r="G424" t="s">
        <v>27</v>
      </c>
      <c r="H424" t="s">
        <v>373</v>
      </c>
      <c r="I424" t="s">
        <v>374</v>
      </c>
      <c r="J424" t="s">
        <v>375</v>
      </c>
      <c r="K424" t="s">
        <v>376</v>
      </c>
      <c r="L424" t="s">
        <v>112</v>
      </c>
      <c r="M424" t="s">
        <v>377</v>
      </c>
      <c r="N424" t="s">
        <v>61</v>
      </c>
      <c r="O424" t="s">
        <v>368</v>
      </c>
      <c r="P424" t="s">
        <v>326</v>
      </c>
      <c r="Q424" t="s">
        <v>369</v>
      </c>
      <c r="R424" t="s">
        <v>370</v>
      </c>
      <c r="S424" t="s">
        <v>371</v>
      </c>
      <c r="T424" t="s">
        <v>372</v>
      </c>
      <c r="U424" s="10" t="s">
        <v>1061</v>
      </c>
      <c r="V424" s="10" t="s">
        <v>1081</v>
      </c>
      <c r="W424" s="10" t="s">
        <v>1066</v>
      </c>
      <c r="X424" s="10" t="s">
        <v>1068</v>
      </c>
      <c r="Y424" t="s">
        <v>39</v>
      </c>
      <c r="Z424" t="s">
        <v>202</v>
      </c>
      <c r="AA424" t="s">
        <v>41</v>
      </c>
    </row>
    <row r="425" spans="1:28" x14ac:dyDescent="0.8">
      <c r="A425">
        <v>1784</v>
      </c>
      <c r="B425">
        <v>1502</v>
      </c>
      <c r="C425" s="2">
        <v>44387</v>
      </c>
      <c r="D425" t="s">
        <v>173</v>
      </c>
      <c r="E425" t="s">
        <v>25</v>
      </c>
      <c r="F425" t="s">
        <v>26</v>
      </c>
      <c r="G425" t="s">
        <v>45</v>
      </c>
      <c r="H425" t="s">
        <v>46</v>
      </c>
      <c r="I425" t="s">
        <v>47</v>
      </c>
      <c r="J425" t="s">
        <v>48</v>
      </c>
      <c r="K425" t="s">
        <v>49</v>
      </c>
      <c r="L425" t="s">
        <v>91</v>
      </c>
      <c r="M425" t="s">
        <v>92</v>
      </c>
      <c r="N425" t="s">
        <v>61</v>
      </c>
      <c r="O425" t="s">
        <v>368</v>
      </c>
      <c r="P425" t="s">
        <v>326</v>
      </c>
      <c r="Q425" t="s">
        <v>369</v>
      </c>
      <c r="R425" t="s">
        <v>370</v>
      </c>
      <c r="S425" t="s">
        <v>371</v>
      </c>
      <c r="T425" t="s">
        <v>372</v>
      </c>
      <c r="U425" s="10" t="s">
        <v>1061</v>
      </c>
      <c r="V425" s="10" t="s">
        <v>1081</v>
      </c>
      <c r="W425" s="10" t="s">
        <v>1066</v>
      </c>
      <c r="X425" s="10" t="s">
        <v>1068</v>
      </c>
      <c r="Y425" t="s">
        <v>39</v>
      </c>
      <c r="Z425" t="s">
        <v>62</v>
      </c>
      <c r="AA425" t="s">
        <v>41</v>
      </c>
    </row>
    <row r="426" spans="1:28" x14ac:dyDescent="0.8">
      <c r="A426">
        <v>1783</v>
      </c>
      <c r="B426">
        <v>1501</v>
      </c>
      <c r="C426" s="2">
        <v>44387</v>
      </c>
      <c r="D426" t="s">
        <v>173</v>
      </c>
      <c r="E426" t="s">
        <v>103</v>
      </c>
      <c r="F426" t="s">
        <v>26</v>
      </c>
      <c r="G426" t="s">
        <v>45</v>
      </c>
      <c r="H426" t="s">
        <v>46</v>
      </c>
      <c r="I426" t="s">
        <v>47</v>
      </c>
      <c r="J426" t="s">
        <v>48</v>
      </c>
      <c r="K426" t="s">
        <v>141</v>
      </c>
      <c r="L426" t="s">
        <v>142</v>
      </c>
      <c r="M426" t="s">
        <v>143</v>
      </c>
      <c r="N426" t="s">
        <v>61</v>
      </c>
      <c r="O426" t="s">
        <v>368</v>
      </c>
      <c r="P426" t="s">
        <v>326</v>
      </c>
      <c r="Q426" t="s">
        <v>369</v>
      </c>
      <c r="R426" t="s">
        <v>370</v>
      </c>
      <c r="S426" t="s">
        <v>371</v>
      </c>
      <c r="T426" t="s">
        <v>372</v>
      </c>
      <c r="U426" s="10" t="s">
        <v>1061</v>
      </c>
      <c r="V426" s="10" t="s">
        <v>1081</v>
      </c>
      <c r="W426" s="10" t="s">
        <v>1066</v>
      </c>
      <c r="X426" s="10" t="s">
        <v>1068</v>
      </c>
      <c r="Y426" t="s">
        <v>39</v>
      </c>
      <c r="Z426" t="s">
        <v>40</v>
      </c>
      <c r="AA426" t="s">
        <v>41</v>
      </c>
    </row>
    <row r="427" spans="1:28" x14ac:dyDescent="0.8">
      <c r="A427">
        <v>1432</v>
      </c>
      <c r="B427">
        <v>2179</v>
      </c>
      <c r="C427" s="2">
        <v>44387</v>
      </c>
      <c r="D427" t="s">
        <v>173</v>
      </c>
      <c r="E427" t="s">
        <v>25</v>
      </c>
      <c r="F427" t="s">
        <v>26</v>
      </c>
      <c r="G427" t="s">
        <v>45</v>
      </c>
      <c r="H427" t="s">
        <v>46</v>
      </c>
      <c r="I427" t="s">
        <v>47</v>
      </c>
      <c r="J427" t="s">
        <v>48</v>
      </c>
      <c r="K427" t="s">
        <v>141</v>
      </c>
      <c r="L427" t="s">
        <v>142</v>
      </c>
      <c r="M427" t="s">
        <v>143</v>
      </c>
      <c r="N427" t="s">
        <v>61</v>
      </c>
      <c r="O427" t="s">
        <v>368</v>
      </c>
      <c r="P427" t="s">
        <v>326</v>
      </c>
      <c r="Q427" t="s">
        <v>369</v>
      </c>
      <c r="R427" t="s">
        <v>370</v>
      </c>
      <c r="S427" t="s">
        <v>371</v>
      </c>
      <c r="T427" t="s">
        <v>372</v>
      </c>
      <c r="U427" s="10" t="s">
        <v>1061</v>
      </c>
      <c r="V427" s="10" t="s">
        <v>1081</v>
      </c>
      <c r="W427" s="10" t="s">
        <v>1066</v>
      </c>
      <c r="X427" s="10" t="s">
        <v>1068</v>
      </c>
      <c r="Y427" t="s">
        <v>39</v>
      </c>
      <c r="Z427" t="s">
        <v>40</v>
      </c>
      <c r="AA427" t="s">
        <v>63</v>
      </c>
    </row>
    <row r="428" spans="1:28" x14ac:dyDescent="0.8">
      <c r="A428">
        <v>1663</v>
      </c>
      <c r="B428">
        <v>434</v>
      </c>
      <c r="C428" s="2">
        <v>44388</v>
      </c>
      <c r="D428" t="s">
        <v>235</v>
      </c>
      <c r="E428" t="s">
        <v>63</v>
      </c>
      <c r="F428" t="s">
        <v>26</v>
      </c>
      <c r="G428" t="s">
        <v>27</v>
      </c>
      <c r="H428" t="s">
        <v>114</v>
      </c>
      <c r="I428" t="s">
        <v>115</v>
      </c>
      <c r="J428" t="s">
        <v>116</v>
      </c>
      <c r="K428" t="s">
        <v>307</v>
      </c>
      <c r="L428" t="s">
        <v>308</v>
      </c>
      <c r="M428" t="s">
        <v>309</v>
      </c>
      <c r="O428" t="s">
        <v>368</v>
      </c>
      <c r="P428" t="s">
        <v>326</v>
      </c>
      <c r="Q428" t="s">
        <v>369</v>
      </c>
      <c r="R428" t="s">
        <v>370</v>
      </c>
      <c r="S428" t="s">
        <v>371</v>
      </c>
      <c r="T428" t="s">
        <v>372</v>
      </c>
      <c r="U428" s="10" t="s">
        <v>1061</v>
      </c>
      <c r="V428" s="10" t="s">
        <v>1081</v>
      </c>
      <c r="W428" s="10" t="s">
        <v>1066</v>
      </c>
      <c r="X428" s="10" t="s">
        <v>1068</v>
      </c>
      <c r="Y428" t="s">
        <v>39</v>
      </c>
      <c r="Z428" t="s">
        <v>40</v>
      </c>
      <c r="AA428" t="s">
        <v>41</v>
      </c>
    </row>
    <row r="429" spans="1:28" x14ac:dyDescent="0.8">
      <c r="A429">
        <v>1585</v>
      </c>
      <c r="B429">
        <v>328</v>
      </c>
      <c r="C429" s="2">
        <v>44388</v>
      </c>
      <c r="D429" t="s">
        <v>235</v>
      </c>
      <c r="E429" t="s">
        <v>53</v>
      </c>
      <c r="F429" t="s">
        <v>26</v>
      </c>
      <c r="G429" t="s">
        <v>45</v>
      </c>
      <c r="H429" t="s">
        <v>68</v>
      </c>
      <c r="I429" t="s">
        <v>69</v>
      </c>
      <c r="J429" t="s">
        <v>70</v>
      </c>
      <c r="K429" t="s">
        <v>71</v>
      </c>
      <c r="L429" t="s">
        <v>72</v>
      </c>
      <c r="M429" t="s">
        <v>73</v>
      </c>
      <c r="N429" t="s">
        <v>61</v>
      </c>
      <c r="O429" t="s">
        <v>368</v>
      </c>
      <c r="P429" t="s">
        <v>326</v>
      </c>
      <c r="Q429" t="s">
        <v>369</v>
      </c>
      <c r="R429" t="s">
        <v>370</v>
      </c>
      <c r="S429" t="s">
        <v>371</v>
      </c>
      <c r="T429" t="s">
        <v>372</v>
      </c>
      <c r="U429" s="10" t="s">
        <v>1061</v>
      </c>
      <c r="V429" s="10" t="s">
        <v>1081</v>
      </c>
      <c r="W429" s="10" t="s">
        <v>1066</v>
      </c>
      <c r="X429" s="10" t="s">
        <v>1068</v>
      </c>
      <c r="Y429" t="s">
        <v>39</v>
      </c>
      <c r="Z429" t="s">
        <v>40</v>
      </c>
      <c r="AA429" t="s">
        <v>125</v>
      </c>
    </row>
    <row r="430" spans="1:28" x14ac:dyDescent="0.8">
      <c r="A430">
        <v>1584</v>
      </c>
      <c r="B430">
        <v>327</v>
      </c>
      <c r="C430" s="2">
        <v>44388</v>
      </c>
      <c r="D430" t="s">
        <v>235</v>
      </c>
      <c r="E430" t="s">
        <v>25</v>
      </c>
      <c r="F430" t="s">
        <v>26</v>
      </c>
      <c r="G430" t="s">
        <v>45</v>
      </c>
      <c r="H430" t="s">
        <v>68</v>
      </c>
      <c r="I430" t="s">
        <v>69</v>
      </c>
      <c r="J430" t="s">
        <v>70</v>
      </c>
      <c r="K430" t="s">
        <v>71</v>
      </c>
      <c r="L430" t="s">
        <v>72</v>
      </c>
      <c r="M430" t="s">
        <v>73</v>
      </c>
      <c r="N430" t="s">
        <v>61</v>
      </c>
      <c r="O430" t="s">
        <v>368</v>
      </c>
      <c r="P430" t="s">
        <v>326</v>
      </c>
      <c r="Q430" t="s">
        <v>369</v>
      </c>
      <c r="R430" t="s">
        <v>370</v>
      </c>
      <c r="S430" t="s">
        <v>371</v>
      </c>
      <c r="T430" t="s">
        <v>372</v>
      </c>
      <c r="U430" s="10" t="s">
        <v>1061</v>
      </c>
      <c r="V430" s="10" t="s">
        <v>1081</v>
      </c>
      <c r="W430" s="10" t="s">
        <v>1066</v>
      </c>
      <c r="X430" s="10" t="s">
        <v>1068</v>
      </c>
      <c r="Y430" t="s">
        <v>39</v>
      </c>
      <c r="Z430" t="s">
        <v>62</v>
      </c>
      <c r="AA430" t="s">
        <v>125</v>
      </c>
    </row>
    <row r="431" spans="1:28" x14ac:dyDescent="0.8">
      <c r="A431">
        <v>1578</v>
      </c>
      <c r="B431">
        <v>437</v>
      </c>
      <c r="C431" s="2">
        <v>44388</v>
      </c>
      <c r="D431" t="s">
        <v>235</v>
      </c>
      <c r="E431" t="s">
        <v>63</v>
      </c>
      <c r="F431" t="s">
        <v>26</v>
      </c>
      <c r="G431" t="s">
        <v>45</v>
      </c>
      <c r="H431" t="s">
        <v>46</v>
      </c>
      <c r="I431" t="s">
        <v>47</v>
      </c>
      <c r="J431" t="s">
        <v>48</v>
      </c>
      <c r="K431" t="s">
        <v>49</v>
      </c>
      <c r="L431" t="s">
        <v>91</v>
      </c>
      <c r="M431" t="s">
        <v>92</v>
      </c>
      <c r="N431" t="s">
        <v>61</v>
      </c>
      <c r="O431" t="s">
        <v>368</v>
      </c>
      <c r="P431" t="s">
        <v>326</v>
      </c>
      <c r="Q431" t="s">
        <v>369</v>
      </c>
      <c r="R431" t="s">
        <v>370</v>
      </c>
      <c r="S431" t="s">
        <v>371</v>
      </c>
      <c r="T431" t="s">
        <v>372</v>
      </c>
      <c r="U431" s="10" t="s">
        <v>1061</v>
      </c>
      <c r="V431" s="10" t="s">
        <v>1081</v>
      </c>
      <c r="W431" s="10" t="s">
        <v>1066</v>
      </c>
      <c r="X431" s="10" t="s">
        <v>1068</v>
      </c>
      <c r="Y431" t="s">
        <v>39</v>
      </c>
      <c r="Z431" t="s">
        <v>40</v>
      </c>
      <c r="AA431" t="s">
        <v>125</v>
      </c>
    </row>
    <row r="432" spans="1:28" x14ac:dyDescent="0.8">
      <c r="A432">
        <v>537</v>
      </c>
      <c r="B432">
        <v>78</v>
      </c>
      <c r="C432" s="2">
        <v>44388</v>
      </c>
      <c r="D432" t="s">
        <v>235</v>
      </c>
      <c r="E432" t="s">
        <v>25</v>
      </c>
      <c r="F432" t="s">
        <v>26</v>
      </c>
      <c r="G432" t="s">
        <v>45</v>
      </c>
      <c r="H432" t="s">
        <v>46</v>
      </c>
      <c r="I432" t="s">
        <v>47</v>
      </c>
      <c r="J432" t="s">
        <v>48</v>
      </c>
      <c r="K432" t="s">
        <v>49</v>
      </c>
      <c r="L432" t="s">
        <v>91</v>
      </c>
      <c r="M432" t="s">
        <v>92</v>
      </c>
      <c r="N432" t="s">
        <v>61</v>
      </c>
      <c r="O432" t="s">
        <v>368</v>
      </c>
      <c r="P432" t="s">
        <v>326</v>
      </c>
      <c r="Q432" t="s">
        <v>369</v>
      </c>
      <c r="R432" t="s">
        <v>370</v>
      </c>
      <c r="S432" t="s">
        <v>371</v>
      </c>
      <c r="T432" t="s">
        <v>372</v>
      </c>
      <c r="U432" s="10" t="s">
        <v>1061</v>
      </c>
      <c r="V432" s="10" t="s">
        <v>1081</v>
      </c>
      <c r="W432" s="10" t="s">
        <v>1066</v>
      </c>
      <c r="X432" s="10" t="s">
        <v>1068</v>
      </c>
      <c r="Y432" t="s">
        <v>39</v>
      </c>
      <c r="Z432" t="s">
        <v>40</v>
      </c>
      <c r="AA432" t="s">
        <v>63</v>
      </c>
    </row>
    <row r="433" spans="1:27" x14ac:dyDescent="0.8">
      <c r="A433">
        <v>183</v>
      </c>
      <c r="B433">
        <v>1339</v>
      </c>
      <c r="C433" s="2">
        <v>44388</v>
      </c>
      <c r="D433" t="s">
        <v>235</v>
      </c>
      <c r="E433" t="s">
        <v>25</v>
      </c>
      <c r="F433" t="s">
        <v>26</v>
      </c>
      <c r="G433" t="s">
        <v>45</v>
      </c>
      <c r="H433" t="s">
        <v>46</v>
      </c>
      <c r="I433" t="s">
        <v>47</v>
      </c>
      <c r="J433" t="s">
        <v>48</v>
      </c>
      <c r="K433" t="s">
        <v>49</v>
      </c>
      <c r="L433" t="s">
        <v>91</v>
      </c>
      <c r="M433" t="s">
        <v>92</v>
      </c>
      <c r="N433" t="s">
        <v>61</v>
      </c>
      <c r="O433" t="s">
        <v>368</v>
      </c>
      <c r="P433" t="s">
        <v>326</v>
      </c>
      <c r="Q433" t="s">
        <v>369</v>
      </c>
      <c r="R433" t="s">
        <v>370</v>
      </c>
      <c r="S433" t="s">
        <v>371</v>
      </c>
      <c r="T433" t="s">
        <v>372</v>
      </c>
      <c r="U433" s="10" t="s">
        <v>1061</v>
      </c>
      <c r="V433" s="10" t="s">
        <v>1081</v>
      </c>
      <c r="W433" s="10" t="s">
        <v>1066</v>
      </c>
      <c r="X433" s="10" t="s">
        <v>1068</v>
      </c>
      <c r="Y433" t="s">
        <v>39</v>
      </c>
      <c r="Z433" t="s">
        <v>62</v>
      </c>
      <c r="AA433" t="s">
        <v>53</v>
      </c>
    </row>
    <row r="434" spans="1:27" x14ac:dyDescent="0.8">
      <c r="A434">
        <v>538</v>
      </c>
      <c r="B434">
        <v>79</v>
      </c>
      <c r="C434" s="2">
        <v>44388</v>
      </c>
      <c r="D434" t="s">
        <v>235</v>
      </c>
      <c r="E434" t="s">
        <v>25</v>
      </c>
      <c r="F434" t="s">
        <v>26</v>
      </c>
      <c r="G434" t="s">
        <v>45</v>
      </c>
      <c r="H434" t="s">
        <v>46</v>
      </c>
      <c r="I434" t="s">
        <v>47</v>
      </c>
      <c r="J434" t="s">
        <v>48</v>
      </c>
      <c r="K434" t="s">
        <v>49</v>
      </c>
      <c r="L434" t="s">
        <v>91</v>
      </c>
      <c r="M434" t="s">
        <v>92</v>
      </c>
      <c r="N434" t="s">
        <v>61</v>
      </c>
      <c r="O434" t="s">
        <v>368</v>
      </c>
      <c r="P434" t="s">
        <v>326</v>
      </c>
      <c r="Q434" t="s">
        <v>369</v>
      </c>
      <c r="R434" t="s">
        <v>370</v>
      </c>
      <c r="S434" t="s">
        <v>371</v>
      </c>
      <c r="T434" t="s">
        <v>372</v>
      </c>
      <c r="U434" s="10" t="s">
        <v>1061</v>
      </c>
      <c r="V434" s="10" t="s">
        <v>1081</v>
      </c>
      <c r="W434" s="10" t="s">
        <v>1066</v>
      </c>
      <c r="X434" s="10" t="s">
        <v>1068</v>
      </c>
      <c r="Y434" t="s">
        <v>39</v>
      </c>
      <c r="Z434" t="s">
        <v>40</v>
      </c>
      <c r="AA434" t="s">
        <v>63</v>
      </c>
    </row>
    <row r="435" spans="1:27" x14ac:dyDescent="0.8">
      <c r="A435">
        <v>1665</v>
      </c>
      <c r="B435">
        <v>436</v>
      </c>
      <c r="C435" s="2">
        <v>44388</v>
      </c>
      <c r="D435" t="s">
        <v>235</v>
      </c>
      <c r="E435" t="s">
        <v>25</v>
      </c>
      <c r="F435" t="s">
        <v>26</v>
      </c>
      <c r="G435" t="s">
        <v>45</v>
      </c>
      <c r="H435" t="s">
        <v>46</v>
      </c>
      <c r="I435" t="s">
        <v>47</v>
      </c>
      <c r="J435" t="s">
        <v>48</v>
      </c>
      <c r="K435" t="s">
        <v>141</v>
      </c>
      <c r="L435" t="s">
        <v>293</v>
      </c>
      <c r="M435" t="s">
        <v>294</v>
      </c>
      <c r="N435" t="s">
        <v>52</v>
      </c>
      <c r="O435" t="s">
        <v>368</v>
      </c>
      <c r="P435" t="s">
        <v>326</v>
      </c>
      <c r="Q435" t="s">
        <v>369</v>
      </c>
      <c r="R435" t="s">
        <v>370</v>
      </c>
      <c r="S435" t="s">
        <v>371</v>
      </c>
      <c r="T435" t="s">
        <v>372</v>
      </c>
      <c r="U435" s="10" t="s">
        <v>1061</v>
      </c>
      <c r="V435" s="10" t="s">
        <v>1081</v>
      </c>
      <c r="W435" s="10" t="s">
        <v>1066</v>
      </c>
      <c r="X435" s="10" t="s">
        <v>1068</v>
      </c>
      <c r="Y435" t="s">
        <v>39</v>
      </c>
      <c r="Z435" t="s">
        <v>40</v>
      </c>
      <c r="AA435" t="s">
        <v>41</v>
      </c>
    </row>
    <row r="436" spans="1:27" x14ac:dyDescent="0.8">
      <c r="A436">
        <v>529</v>
      </c>
      <c r="B436">
        <v>69</v>
      </c>
      <c r="C436" s="2">
        <v>44388</v>
      </c>
      <c r="D436" t="s">
        <v>235</v>
      </c>
      <c r="E436" t="s">
        <v>125</v>
      </c>
      <c r="F436" t="s">
        <v>26</v>
      </c>
      <c r="G436" t="s">
        <v>45</v>
      </c>
      <c r="H436" t="s">
        <v>46</v>
      </c>
      <c r="I436" t="s">
        <v>47</v>
      </c>
      <c r="J436" t="s">
        <v>48</v>
      </c>
      <c r="K436" t="s">
        <v>141</v>
      </c>
      <c r="L436" t="s">
        <v>293</v>
      </c>
      <c r="M436" t="s">
        <v>294</v>
      </c>
      <c r="N436" t="s">
        <v>52</v>
      </c>
      <c r="O436" t="s">
        <v>368</v>
      </c>
      <c r="P436" t="s">
        <v>326</v>
      </c>
      <c r="Q436" t="s">
        <v>369</v>
      </c>
      <c r="R436" t="s">
        <v>370</v>
      </c>
      <c r="S436" t="s">
        <v>371</v>
      </c>
      <c r="T436" t="s">
        <v>372</v>
      </c>
      <c r="U436" s="10" t="s">
        <v>1061</v>
      </c>
      <c r="V436" s="10" t="s">
        <v>1081</v>
      </c>
      <c r="W436" s="10" t="s">
        <v>1066</v>
      </c>
      <c r="X436" s="10" t="s">
        <v>1068</v>
      </c>
      <c r="Y436" t="s">
        <v>39</v>
      </c>
      <c r="Z436" t="s">
        <v>40</v>
      </c>
      <c r="AA436" t="s">
        <v>63</v>
      </c>
    </row>
    <row r="437" spans="1:27" x14ac:dyDescent="0.8">
      <c r="A437">
        <v>539</v>
      </c>
      <c r="B437">
        <v>170</v>
      </c>
      <c r="C437" s="2">
        <v>44388</v>
      </c>
      <c r="D437" t="s">
        <v>235</v>
      </c>
      <c r="E437" t="s">
        <v>63</v>
      </c>
      <c r="F437" t="s">
        <v>26</v>
      </c>
      <c r="G437" t="s">
        <v>45</v>
      </c>
      <c r="H437" t="s">
        <v>46</v>
      </c>
      <c r="I437" t="s">
        <v>47</v>
      </c>
      <c r="J437" t="s">
        <v>48</v>
      </c>
      <c r="K437" t="s">
        <v>141</v>
      </c>
      <c r="L437" t="s">
        <v>142</v>
      </c>
      <c r="M437" t="s">
        <v>143</v>
      </c>
      <c r="N437" t="s">
        <v>61</v>
      </c>
      <c r="O437" t="s">
        <v>368</v>
      </c>
      <c r="P437" t="s">
        <v>326</v>
      </c>
      <c r="Q437" t="s">
        <v>369</v>
      </c>
      <c r="R437" t="s">
        <v>370</v>
      </c>
      <c r="S437" t="s">
        <v>371</v>
      </c>
      <c r="T437" t="s">
        <v>372</v>
      </c>
      <c r="U437" s="10" t="s">
        <v>1061</v>
      </c>
      <c r="V437" s="10" t="s">
        <v>1081</v>
      </c>
      <c r="W437" s="10" t="s">
        <v>1066</v>
      </c>
      <c r="X437" s="10" t="s">
        <v>1068</v>
      </c>
      <c r="Y437" t="s">
        <v>39</v>
      </c>
      <c r="Z437" t="s">
        <v>40</v>
      </c>
      <c r="AA437" t="s">
        <v>63</v>
      </c>
    </row>
    <row r="438" spans="1:27" x14ac:dyDescent="0.8">
      <c r="A438">
        <v>536</v>
      </c>
      <c r="B438">
        <v>77</v>
      </c>
      <c r="C438" s="2">
        <v>44388</v>
      </c>
      <c r="D438" t="s">
        <v>235</v>
      </c>
      <c r="E438" t="s">
        <v>25</v>
      </c>
      <c r="F438" t="s">
        <v>26</v>
      </c>
      <c r="G438" t="s">
        <v>45</v>
      </c>
      <c r="H438" t="s">
        <v>46</v>
      </c>
      <c r="I438" t="s">
        <v>47</v>
      </c>
      <c r="J438" t="s">
        <v>48</v>
      </c>
      <c r="K438" t="s">
        <v>141</v>
      </c>
      <c r="L438" t="s">
        <v>142</v>
      </c>
      <c r="M438" t="s">
        <v>143</v>
      </c>
      <c r="N438" t="s">
        <v>61</v>
      </c>
      <c r="O438" t="s">
        <v>368</v>
      </c>
      <c r="P438" t="s">
        <v>326</v>
      </c>
      <c r="Q438" t="s">
        <v>369</v>
      </c>
      <c r="R438" t="s">
        <v>370</v>
      </c>
      <c r="S438" t="s">
        <v>371</v>
      </c>
      <c r="T438" t="s">
        <v>372</v>
      </c>
      <c r="U438" s="10" t="s">
        <v>1061</v>
      </c>
      <c r="V438" s="10" t="s">
        <v>1081</v>
      </c>
      <c r="W438" s="10" t="s">
        <v>1066</v>
      </c>
      <c r="X438" s="10" t="s">
        <v>1068</v>
      </c>
      <c r="Y438" t="s">
        <v>39</v>
      </c>
      <c r="Z438" t="s">
        <v>40</v>
      </c>
      <c r="AA438" t="s">
        <v>63</v>
      </c>
    </row>
    <row r="439" spans="1:27" x14ac:dyDescent="0.8">
      <c r="A439">
        <v>177</v>
      </c>
      <c r="B439">
        <v>1263</v>
      </c>
      <c r="C439" s="2">
        <v>44388</v>
      </c>
      <c r="D439" t="s">
        <v>235</v>
      </c>
      <c r="E439" t="s">
        <v>125</v>
      </c>
      <c r="F439" t="s">
        <v>26</v>
      </c>
      <c r="G439" t="s">
        <v>45</v>
      </c>
      <c r="H439" t="s">
        <v>46</v>
      </c>
      <c r="I439" t="s">
        <v>47</v>
      </c>
      <c r="J439" t="s">
        <v>48</v>
      </c>
      <c r="K439" t="s">
        <v>141</v>
      </c>
      <c r="L439" t="s">
        <v>142</v>
      </c>
      <c r="M439" t="s">
        <v>143</v>
      </c>
      <c r="N439" t="s">
        <v>61</v>
      </c>
      <c r="O439" t="s">
        <v>368</v>
      </c>
      <c r="P439" t="s">
        <v>326</v>
      </c>
      <c r="Q439" t="s">
        <v>369</v>
      </c>
      <c r="R439" t="s">
        <v>370</v>
      </c>
      <c r="S439" t="s">
        <v>371</v>
      </c>
      <c r="T439" t="s">
        <v>372</v>
      </c>
      <c r="U439" s="10" t="s">
        <v>1061</v>
      </c>
      <c r="V439" s="10" t="s">
        <v>1081</v>
      </c>
      <c r="W439" s="10" t="s">
        <v>1066</v>
      </c>
      <c r="X439" s="10" t="s">
        <v>1068</v>
      </c>
      <c r="Y439" t="s">
        <v>39</v>
      </c>
      <c r="Z439" t="s">
        <v>40</v>
      </c>
      <c r="AA439" t="s">
        <v>53</v>
      </c>
    </row>
    <row r="440" spans="1:27" x14ac:dyDescent="0.8">
      <c r="A440">
        <v>156</v>
      </c>
      <c r="B440">
        <v>1172</v>
      </c>
      <c r="C440" s="2">
        <v>44388</v>
      </c>
      <c r="D440" t="s">
        <v>235</v>
      </c>
      <c r="E440" t="s">
        <v>25</v>
      </c>
      <c r="F440" t="s">
        <v>26</v>
      </c>
      <c r="G440" t="s">
        <v>45</v>
      </c>
      <c r="H440" t="s">
        <v>46</v>
      </c>
      <c r="I440" t="s">
        <v>47</v>
      </c>
      <c r="J440" t="s">
        <v>48</v>
      </c>
      <c r="K440" t="s">
        <v>141</v>
      </c>
      <c r="L440" t="s">
        <v>142</v>
      </c>
      <c r="M440" t="s">
        <v>143</v>
      </c>
      <c r="N440" t="s">
        <v>61</v>
      </c>
      <c r="O440" t="s">
        <v>368</v>
      </c>
      <c r="P440" t="s">
        <v>326</v>
      </c>
      <c r="Q440" t="s">
        <v>369</v>
      </c>
      <c r="R440" t="s">
        <v>370</v>
      </c>
      <c r="S440" t="s">
        <v>371</v>
      </c>
      <c r="T440" t="s">
        <v>372</v>
      </c>
      <c r="U440" s="10" t="s">
        <v>1061</v>
      </c>
      <c r="V440" s="10" t="s">
        <v>1081</v>
      </c>
      <c r="W440" s="10" t="s">
        <v>1066</v>
      </c>
      <c r="X440" s="10" t="s">
        <v>1068</v>
      </c>
      <c r="Y440" t="s">
        <v>140</v>
      </c>
      <c r="Z440" t="s">
        <v>40</v>
      </c>
      <c r="AA440" t="s">
        <v>53</v>
      </c>
    </row>
    <row r="441" spans="1:27" x14ac:dyDescent="0.8">
      <c r="A441">
        <v>1270</v>
      </c>
      <c r="B441">
        <v>1917</v>
      </c>
      <c r="C441" s="2">
        <v>44387</v>
      </c>
      <c r="D441" t="s">
        <v>102</v>
      </c>
      <c r="E441" t="s">
        <v>25</v>
      </c>
      <c r="F441" t="s">
        <v>26</v>
      </c>
      <c r="G441" t="s">
        <v>45</v>
      </c>
      <c r="H441" t="s">
        <v>68</v>
      </c>
      <c r="I441" t="s">
        <v>69</v>
      </c>
      <c r="J441" t="s">
        <v>70</v>
      </c>
      <c r="K441" t="s">
        <v>71</v>
      </c>
      <c r="L441" t="s">
        <v>72</v>
      </c>
      <c r="M441" t="s">
        <v>73</v>
      </c>
      <c r="N441" t="s">
        <v>61</v>
      </c>
      <c r="O441" t="s">
        <v>368</v>
      </c>
      <c r="P441" t="s">
        <v>326</v>
      </c>
      <c r="Q441" t="s">
        <v>369</v>
      </c>
      <c r="R441" t="s">
        <v>370</v>
      </c>
      <c r="S441" t="s">
        <v>371</v>
      </c>
      <c r="T441" t="s">
        <v>372</v>
      </c>
      <c r="U441" s="10" t="s">
        <v>1061</v>
      </c>
      <c r="V441" s="10" t="s">
        <v>1081</v>
      </c>
      <c r="W441" s="10" t="s">
        <v>1066</v>
      </c>
      <c r="X441" s="10" t="s">
        <v>1068</v>
      </c>
      <c r="Y441" t="s">
        <v>39</v>
      </c>
      <c r="Z441" t="s">
        <v>40</v>
      </c>
      <c r="AA441" t="s">
        <v>63</v>
      </c>
    </row>
    <row r="442" spans="1:27" x14ac:dyDescent="0.8">
      <c r="A442">
        <v>1213</v>
      </c>
      <c r="B442">
        <v>1760</v>
      </c>
      <c r="C442" s="2">
        <v>44387</v>
      </c>
      <c r="D442" t="s">
        <v>102</v>
      </c>
      <c r="E442" t="s">
        <v>25</v>
      </c>
      <c r="F442" t="s">
        <v>26</v>
      </c>
      <c r="G442" t="s">
        <v>45</v>
      </c>
      <c r="H442" t="s">
        <v>68</v>
      </c>
      <c r="I442" t="s">
        <v>69</v>
      </c>
      <c r="J442" t="s">
        <v>70</v>
      </c>
      <c r="K442" t="s">
        <v>71</v>
      </c>
      <c r="L442" t="s">
        <v>72</v>
      </c>
      <c r="M442" t="s">
        <v>73</v>
      </c>
      <c r="N442" t="s">
        <v>61</v>
      </c>
      <c r="O442" t="s">
        <v>368</v>
      </c>
      <c r="P442" t="s">
        <v>326</v>
      </c>
      <c r="Q442" t="s">
        <v>369</v>
      </c>
      <c r="R442" t="s">
        <v>370</v>
      </c>
      <c r="S442" t="s">
        <v>371</v>
      </c>
      <c r="T442" t="s">
        <v>372</v>
      </c>
      <c r="U442" s="10" t="s">
        <v>1061</v>
      </c>
      <c r="V442" s="10" t="s">
        <v>1081</v>
      </c>
      <c r="W442" s="10" t="s">
        <v>1066</v>
      </c>
      <c r="X442" s="10" t="s">
        <v>1068</v>
      </c>
      <c r="Y442" t="s">
        <v>140</v>
      </c>
      <c r="Z442" t="s">
        <v>40</v>
      </c>
      <c r="AA442" t="s">
        <v>63</v>
      </c>
    </row>
    <row r="443" spans="1:27" x14ac:dyDescent="0.8">
      <c r="A443">
        <v>1217</v>
      </c>
      <c r="B443">
        <v>1764</v>
      </c>
      <c r="C443" s="2">
        <v>44387</v>
      </c>
      <c r="D443" t="s">
        <v>102</v>
      </c>
      <c r="E443" t="s">
        <v>103</v>
      </c>
      <c r="F443" t="s">
        <v>26</v>
      </c>
      <c r="G443" t="s">
        <v>45</v>
      </c>
      <c r="H443" t="s">
        <v>155</v>
      </c>
      <c r="I443" t="s">
        <v>69</v>
      </c>
      <c r="J443" t="s">
        <v>156</v>
      </c>
      <c r="K443" t="s">
        <v>157</v>
      </c>
      <c r="L443" t="s">
        <v>158</v>
      </c>
      <c r="M443" t="s">
        <v>159</v>
      </c>
      <c r="N443" t="s">
        <v>61</v>
      </c>
      <c r="O443" t="s">
        <v>368</v>
      </c>
      <c r="P443" t="s">
        <v>326</v>
      </c>
      <c r="Q443" t="s">
        <v>369</v>
      </c>
      <c r="R443" t="s">
        <v>370</v>
      </c>
      <c r="S443" t="s">
        <v>371</v>
      </c>
      <c r="T443" t="s">
        <v>372</v>
      </c>
      <c r="U443" s="10" t="s">
        <v>1061</v>
      </c>
      <c r="V443" s="10" t="s">
        <v>1081</v>
      </c>
      <c r="W443" s="10" t="s">
        <v>1066</v>
      </c>
      <c r="X443" s="10" t="s">
        <v>1068</v>
      </c>
      <c r="Y443" t="s">
        <v>140</v>
      </c>
      <c r="Z443" t="s">
        <v>40</v>
      </c>
      <c r="AA443" t="s">
        <v>63</v>
      </c>
    </row>
    <row r="444" spans="1:27" x14ac:dyDescent="0.8">
      <c r="A444">
        <v>1230</v>
      </c>
      <c r="B444">
        <v>1827</v>
      </c>
      <c r="C444" s="2">
        <v>44387</v>
      </c>
      <c r="D444" t="s">
        <v>102</v>
      </c>
      <c r="E444" t="s">
        <v>25</v>
      </c>
      <c r="F444" t="s">
        <v>26</v>
      </c>
      <c r="G444" t="s">
        <v>45</v>
      </c>
      <c r="H444" t="s">
        <v>55</v>
      </c>
      <c r="I444" t="s">
        <v>69</v>
      </c>
      <c r="J444" t="s">
        <v>284</v>
      </c>
      <c r="K444" t="s">
        <v>285</v>
      </c>
      <c r="L444" t="s">
        <v>286</v>
      </c>
      <c r="M444" t="s">
        <v>287</v>
      </c>
      <c r="N444" t="s">
        <v>61</v>
      </c>
      <c r="O444" t="s">
        <v>368</v>
      </c>
      <c r="P444" t="s">
        <v>326</v>
      </c>
      <c r="Q444" t="s">
        <v>369</v>
      </c>
      <c r="R444" t="s">
        <v>370</v>
      </c>
      <c r="S444" t="s">
        <v>371</v>
      </c>
      <c r="T444" t="s">
        <v>372</v>
      </c>
      <c r="U444" s="10" t="s">
        <v>1061</v>
      </c>
      <c r="V444" s="10" t="s">
        <v>1081</v>
      </c>
      <c r="W444" s="10" t="s">
        <v>1066</v>
      </c>
      <c r="X444" s="10" t="s">
        <v>1068</v>
      </c>
      <c r="Y444" t="s">
        <v>39</v>
      </c>
      <c r="Z444" t="s">
        <v>40</v>
      </c>
      <c r="AA444" t="s">
        <v>63</v>
      </c>
    </row>
    <row r="445" spans="1:27" x14ac:dyDescent="0.8">
      <c r="A445">
        <v>1272</v>
      </c>
      <c r="B445">
        <v>1919</v>
      </c>
      <c r="C445" s="2">
        <v>44387</v>
      </c>
      <c r="D445" t="s">
        <v>102</v>
      </c>
      <c r="E445" t="s">
        <v>103</v>
      </c>
      <c r="F445" t="s">
        <v>26</v>
      </c>
      <c r="G445" t="s">
        <v>45</v>
      </c>
      <c r="H445" t="s">
        <v>46</v>
      </c>
      <c r="I445" t="s">
        <v>47</v>
      </c>
      <c r="J445" t="s">
        <v>48</v>
      </c>
      <c r="K445" t="s">
        <v>49</v>
      </c>
      <c r="L445" t="s">
        <v>91</v>
      </c>
      <c r="M445" t="s">
        <v>92</v>
      </c>
      <c r="N445" t="s">
        <v>61</v>
      </c>
      <c r="O445" t="s">
        <v>368</v>
      </c>
      <c r="P445" t="s">
        <v>326</v>
      </c>
      <c r="Q445" t="s">
        <v>369</v>
      </c>
      <c r="R445" t="s">
        <v>370</v>
      </c>
      <c r="S445" t="s">
        <v>371</v>
      </c>
      <c r="T445" t="s">
        <v>372</v>
      </c>
      <c r="U445" s="10" t="s">
        <v>1061</v>
      </c>
      <c r="V445" s="10" t="s">
        <v>1081</v>
      </c>
      <c r="W445" s="10" t="s">
        <v>1066</v>
      </c>
      <c r="X445" s="10" t="s">
        <v>1068</v>
      </c>
      <c r="Y445" t="s">
        <v>39</v>
      </c>
      <c r="Z445" t="s">
        <v>40</v>
      </c>
      <c r="AA445" t="s">
        <v>63</v>
      </c>
    </row>
    <row r="446" spans="1:27" x14ac:dyDescent="0.8">
      <c r="A446">
        <v>1238</v>
      </c>
      <c r="B446">
        <v>1835</v>
      </c>
      <c r="C446" s="2">
        <v>44387</v>
      </c>
      <c r="D446" t="s">
        <v>102</v>
      </c>
      <c r="E446" t="s">
        <v>25</v>
      </c>
      <c r="F446" t="s">
        <v>26</v>
      </c>
      <c r="G446" t="s">
        <v>45</v>
      </c>
      <c r="H446" t="s">
        <v>46</v>
      </c>
      <c r="I446" t="s">
        <v>47</v>
      </c>
      <c r="J446" t="s">
        <v>48</v>
      </c>
      <c r="K446" t="s">
        <v>49</v>
      </c>
      <c r="L446" t="s">
        <v>91</v>
      </c>
      <c r="M446" t="s">
        <v>92</v>
      </c>
      <c r="N446" t="s">
        <v>61</v>
      </c>
      <c r="O446" t="s">
        <v>368</v>
      </c>
      <c r="P446" t="s">
        <v>326</v>
      </c>
      <c r="Q446" t="s">
        <v>369</v>
      </c>
      <c r="R446" t="s">
        <v>370</v>
      </c>
      <c r="S446" t="s">
        <v>371</v>
      </c>
      <c r="T446" t="s">
        <v>372</v>
      </c>
      <c r="U446" s="10" t="s">
        <v>1061</v>
      </c>
      <c r="V446" s="10" t="s">
        <v>1081</v>
      </c>
      <c r="W446" s="10" t="s">
        <v>1066</v>
      </c>
      <c r="X446" s="10" t="s">
        <v>1068</v>
      </c>
      <c r="Y446" t="s">
        <v>39</v>
      </c>
      <c r="Z446" t="s">
        <v>62</v>
      </c>
      <c r="AA446" t="s">
        <v>63</v>
      </c>
    </row>
    <row r="447" spans="1:27" x14ac:dyDescent="0.8">
      <c r="A447">
        <v>1224</v>
      </c>
      <c r="B447">
        <v>1821</v>
      </c>
      <c r="C447" s="2">
        <v>44387</v>
      </c>
      <c r="D447" t="s">
        <v>102</v>
      </c>
      <c r="E447" t="s">
        <v>25</v>
      </c>
      <c r="F447" t="s">
        <v>26</v>
      </c>
      <c r="G447" t="s">
        <v>45</v>
      </c>
      <c r="H447" t="s">
        <v>46</v>
      </c>
      <c r="I447" t="s">
        <v>47</v>
      </c>
      <c r="J447" t="s">
        <v>48</v>
      </c>
      <c r="K447" t="s">
        <v>49</v>
      </c>
      <c r="L447" t="s">
        <v>91</v>
      </c>
      <c r="M447" t="s">
        <v>92</v>
      </c>
      <c r="N447" t="s">
        <v>61</v>
      </c>
      <c r="O447" t="s">
        <v>368</v>
      </c>
      <c r="P447" t="s">
        <v>326</v>
      </c>
      <c r="Q447" t="s">
        <v>369</v>
      </c>
      <c r="R447" t="s">
        <v>370</v>
      </c>
      <c r="S447" t="s">
        <v>371</v>
      </c>
      <c r="T447" t="s">
        <v>372</v>
      </c>
      <c r="U447" s="10" t="s">
        <v>1061</v>
      </c>
      <c r="V447" s="10" t="s">
        <v>1081</v>
      </c>
      <c r="W447" s="10" t="s">
        <v>1066</v>
      </c>
      <c r="X447" s="10" t="s">
        <v>1068</v>
      </c>
      <c r="Y447" t="s">
        <v>39</v>
      </c>
      <c r="Z447" t="s">
        <v>40</v>
      </c>
      <c r="AA447" t="s">
        <v>63</v>
      </c>
    </row>
    <row r="448" spans="1:27" x14ac:dyDescent="0.8">
      <c r="A448">
        <v>1220</v>
      </c>
      <c r="B448">
        <v>1817</v>
      </c>
      <c r="C448" s="2">
        <v>44387</v>
      </c>
      <c r="D448" t="s">
        <v>102</v>
      </c>
      <c r="E448" t="s">
        <v>25</v>
      </c>
      <c r="F448" t="s">
        <v>26</v>
      </c>
      <c r="G448" t="s">
        <v>45</v>
      </c>
      <c r="H448" t="s">
        <v>46</v>
      </c>
      <c r="I448" t="s">
        <v>47</v>
      </c>
      <c r="J448" t="s">
        <v>48</v>
      </c>
      <c r="K448" t="s">
        <v>49</v>
      </c>
      <c r="L448" t="s">
        <v>91</v>
      </c>
      <c r="M448" t="s">
        <v>92</v>
      </c>
      <c r="N448" t="s">
        <v>61</v>
      </c>
      <c r="O448" t="s">
        <v>368</v>
      </c>
      <c r="P448" t="s">
        <v>326</v>
      </c>
      <c r="Q448" t="s">
        <v>369</v>
      </c>
      <c r="R448" t="s">
        <v>370</v>
      </c>
      <c r="S448" t="s">
        <v>371</v>
      </c>
      <c r="T448" t="s">
        <v>372</v>
      </c>
      <c r="U448" s="10" t="s">
        <v>1061</v>
      </c>
      <c r="V448" s="10" t="s">
        <v>1081</v>
      </c>
      <c r="W448" s="10" t="s">
        <v>1066</v>
      </c>
      <c r="X448" s="10" t="s">
        <v>1068</v>
      </c>
      <c r="Y448" t="s">
        <v>39</v>
      </c>
      <c r="Z448" t="s">
        <v>40</v>
      </c>
      <c r="AA448" t="s">
        <v>63</v>
      </c>
    </row>
    <row r="449" spans="1:28" x14ac:dyDescent="0.8">
      <c r="A449">
        <v>1232</v>
      </c>
      <c r="B449">
        <v>1829</v>
      </c>
      <c r="C449" s="2">
        <v>44387</v>
      </c>
      <c r="D449" t="s">
        <v>102</v>
      </c>
      <c r="E449" t="s">
        <v>150</v>
      </c>
      <c r="F449" t="s">
        <v>26</v>
      </c>
      <c r="G449" t="s">
        <v>45</v>
      </c>
      <c r="H449" t="s">
        <v>46</v>
      </c>
      <c r="I449" t="s">
        <v>47</v>
      </c>
      <c r="J449" t="s">
        <v>48</v>
      </c>
      <c r="K449" t="s">
        <v>49</v>
      </c>
      <c r="L449" t="s">
        <v>91</v>
      </c>
      <c r="M449" t="s">
        <v>92</v>
      </c>
      <c r="N449" t="s">
        <v>61</v>
      </c>
      <c r="O449" t="s">
        <v>368</v>
      </c>
      <c r="P449" t="s">
        <v>326</v>
      </c>
      <c r="Q449" t="s">
        <v>369</v>
      </c>
      <c r="R449" t="s">
        <v>370</v>
      </c>
      <c r="S449" t="s">
        <v>371</v>
      </c>
      <c r="T449" t="s">
        <v>372</v>
      </c>
      <c r="U449" s="10" t="s">
        <v>1061</v>
      </c>
      <c r="V449" s="10" t="s">
        <v>1081</v>
      </c>
      <c r="W449" s="10" t="s">
        <v>1066</v>
      </c>
      <c r="X449" s="10" t="s">
        <v>1068</v>
      </c>
      <c r="Y449" t="s">
        <v>39</v>
      </c>
      <c r="Z449" t="s">
        <v>40</v>
      </c>
      <c r="AA449" t="s">
        <v>63</v>
      </c>
    </row>
    <row r="450" spans="1:28" x14ac:dyDescent="0.8">
      <c r="A450">
        <v>1090</v>
      </c>
      <c r="B450">
        <v>1190</v>
      </c>
      <c r="C450" s="2">
        <v>44387</v>
      </c>
      <c r="D450" t="s">
        <v>54</v>
      </c>
      <c r="E450" t="s">
        <v>103</v>
      </c>
      <c r="F450" t="s">
        <v>26</v>
      </c>
      <c r="G450" t="s">
        <v>45</v>
      </c>
      <c r="H450" t="s">
        <v>55</v>
      </c>
      <c r="I450" t="s">
        <v>69</v>
      </c>
      <c r="J450" t="s">
        <v>284</v>
      </c>
      <c r="K450" t="s">
        <v>285</v>
      </c>
      <c r="L450" t="s">
        <v>286</v>
      </c>
      <c r="M450" t="s">
        <v>287</v>
      </c>
      <c r="N450" t="s">
        <v>61</v>
      </c>
      <c r="O450" t="s">
        <v>368</v>
      </c>
      <c r="P450" t="s">
        <v>326</v>
      </c>
      <c r="Q450" t="s">
        <v>369</v>
      </c>
      <c r="R450" t="s">
        <v>370</v>
      </c>
      <c r="S450" t="s">
        <v>371</v>
      </c>
      <c r="T450" t="s">
        <v>372</v>
      </c>
      <c r="U450" s="10" t="s">
        <v>1061</v>
      </c>
      <c r="V450" s="10" t="s">
        <v>1081</v>
      </c>
      <c r="W450" s="10" t="s">
        <v>1066</v>
      </c>
      <c r="X450" s="10" t="s">
        <v>1068</v>
      </c>
      <c r="Y450" t="s">
        <v>39</v>
      </c>
      <c r="Z450" t="s">
        <v>40</v>
      </c>
      <c r="AA450" t="s">
        <v>63</v>
      </c>
    </row>
    <row r="451" spans="1:28" x14ac:dyDescent="0.8">
      <c r="A451">
        <v>1086</v>
      </c>
      <c r="B451">
        <v>1186</v>
      </c>
      <c r="C451" s="2">
        <v>44387</v>
      </c>
      <c r="D451" t="s">
        <v>54</v>
      </c>
      <c r="E451" t="s">
        <v>103</v>
      </c>
      <c r="F451" t="s">
        <v>26</v>
      </c>
      <c r="G451" t="s">
        <v>45</v>
      </c>
      <c r="H451" t="s">
        <v>55</v>
      </c>
      <c r="I451" t="s">
        <v>56</v>
      </c>
      <c r="J451" t="s">
        <v>57</v>
      </c>
      <c r="K451" t="s">
        <v>58</v>
      </c>
      <c r="L451" t="s">
        <v>171</v>
      </c>
      <c r="M451" t="s">
        <v>172</v>
      </c>
      <c r="N451" t="s">
        <v>52</v>
      </c>
      <c r="O451" t="s">
        <v>368</v>
      </c>
      <c r="P451" t="s">
        <v>326</v>
      </c>
      <c r="Q451" t="s">
        <v>369</v>
      </c>
      <c r="R451" t="s">
        <v>370</v>
      </c>
      <c r="S451" t="s">
        <v>371</v>
      </c>
      <c r="T451" t="s">
        <v>372</v>
      </c>
      <c r="U451" s="10" t="s">
        <v>1061</v>
      </c>
      <c r="V451" s="10" t="s">
        <v>1081</v>
      </c>
      <c r="W451" s="10" t="s">
        <v>1066</v>
      </c>
      <c r="X451" s="10" t="s">
        <v>1068</v>
      </c>
      <c r="Y451" t="s">
        <v>39</v>
      </c>
      <c r="Z451" t="s">
        <v>40</v>
      </c>
      <c r="AA451" t="s">
        <v>63</v>
      </c>
    </row>
    <row r="452" spans="1:28" x14ac:dyDescent="0.8">
      <c r="A452">
        <v>1087</v>
      </c>
      <c r="B452">
        <v>1187</v>
      </c>
      <c r="C452" s="2">
        <v>44387</v>
      </c>
      <c r="D452" t="s">
        <v>54</v>
      </c>
      <c r="E452" t="s">
        <v>103</v>
      </c>
      <c r="F452" t="s">
        <v>26</v>
      </c>
      <c r="G452" t="s">
        <v>45</v>
      </c>
      <c r="H452" t="s">
        <v>46</v>
      </c>
      <c r="I452" t="s">
        <v>47</v>
      </c>
      <c r="J452" t="s">
        <v>48</v>
      </c>
      <c r="K452" t="s">
        <v>141</v>
      </c>
      <c r="L452" t="s">
        <v>142</v>
      </c>
      <c r="M452" t="s">
        <v>143</v>
      </c>
      <c r="N452" t="s">
        <v>61</v>
      </c>
      <c r="O452" t="s">
        <v>368</v>
      </c>
      <c r="P452" t="s">
        <v>326</v>
      </c>
      <c r="Q452" t="s">
        <v>369</v>
      </c>
      <c r="R452" t="s">
        <v>370</v>
      </c>
      <c r="S452" t="s">
        <v>371</v>
      </c>
      <c r="T452" t="s">
        <v>372</v>
      </c>
      <c r="U452" s="10" t="s">
        <v>1061</v>
      </c>
      <c r="V452" s="10" t="s">
        <v>1081</v>
      </c>
      <c r="W452" s="10" t="s">
        <v>1066</v>
      </c>
      <c r="X452" s="10" t="s">
        <v>1068</v>
      </c>
      <c r="Y452" t="s">
        <v>39</v>
      </c>
      <c r="Z452" t="s">
        <v>40</v>
      </c>
      <c r="AA452" t="s">
        <v>63</v>
      </c>
    </row>
    <row r="453" spans="1:28" x14ac:dyDescent="0.8">
      <c r="A453">
        <v>989</v>
      </c>
      <c r="B453">
        <v>713</v>
      </c>
      <c r="C453" s="2">
        <v>44385</v>
      </c>
      <c r="D453" t="s">
        <v>203</v>
      </c>
      <c r="E453" t="s">
        <v>44</v>
      </c>
      <c r="F453" t="s">
        <v>26</v>
      </c>
      <c r="G453" t="s">
        <v>27</v>
      </c>
      <c r="H453" t="s">
        <v>28</v>
      </c>
      <c r="I453" t="s">
        <v>378</v>
      </c>
      <c r="K453" t="s">
        <v>379</v>
      </c>
      <c r="L453" t="s">
        <v>112</v>
      </c>
      <c r="M453" t="s">
        <v>380</v>
      </c>
      <c r="O453" t="s">
        <v>368</v>
      </c>
      <c r="P453" t="s">
        <v>326</v>
      </c>
      <c r="Q453" t="s">
        <v>369</v>
      </c>
      <c r="R453" t="s">
        <v>370</v>
      </c>
      <c r="S453" t="s">
        <v>371</v>
      </c>
      <c r="T453" t="s">
        <v>372</v>
      </c>
      <c r="U453" s="10" t="s">
        <v>1061</v>
      </c>
      <c r="V453" s="10" t="s">
        <v>1081</v>
      </c>
      <c r="W453" s="10" t="s">
        <v>1066</v>
      </c>
      <c r="X453" s="10" t="s">
        <v>1068</v>
      </c>
      <c r="Y453" t="s">
        <v>39</v>
      </c>
      <c r="Z453" t="s">
        <v>40</v>
      </c>
      <c r="AA453" t="s">
        <v>63</v>
      </c>
      <c r="AB453" t="s">
        <v>381</v>
      </c>
    </row>
    <row r="454" spans="1:28" x14ac:dyDescent="0.8">
      <c r="A454">
        <v>1007</v>
      </c>
      <c r="B454">
        <v>1363</v>
      </c>
      <c r="C454" s="2">
        <v>44385</v>
      </c>
      <c r="D454" t="s">
        <v>203</v>
      </c>
      <c r="E454" t="s">
        <v>44</v>
      </c>
      <c r="F454" t="s">
        <v>26</v>
      </c>
      <c r="G454" t="s">
        <v>45</v>
      </c>
      <c r="H454" t="s">
        <v>68</v>
      </c>
      <c r="I454" t="s">
        <v>69</v>
      </c>
      <c r="J454" t="s">
        <v>70</v>
      </c>
      <c r="K454" t="s">
        <v>71</v>
      </c>
      <c r="L454" t="s">
        <v>72</v>
      </c>
      <c r="M454" t="s">
        <v>73</v>
      </c>
      <c r="N454" t="s">
        <v>61</v>
      </c>
      <c r="O454" t="s">
        <v>368</v>
      </c>
      <c r="P454" t="s">
        <v>326</v>
      </c>
      <c r="Q454" t="s">
        <v>369</v>
      </c>
      <c r="R454" t="s">
        <v>370</v>
      </c>
      <c r="S454" t="s">
        <v>371</v>
      </c>
      <c r="T454" t="s">
        <v>372</v>
      </c>
      <c r="U454" s="10" t="s">
        <v>1061</v>
      </c>
      <c r="V454" s="10" t="s">
        <v>1081</v>
      </c>
      <c r="W454" s="10" t="s">
        <v>1066</v>
      </c>
      <c r="X454" s="10" t="s">
        <v>1068</v>
      </c>
      <c r="Y454" t="s">
        <v>39</v>
      </c>
      <c r="Z454" t="s">
        <v>40</v>
      </c>
      <c r="AA454" t="s">
        <v>63</v>
      </c>
    </row>
    <row r="455" spans="1:28" x14ac:dyDescent="0.8">
      <c r="A455">
        <v>974</v>
      </c>
      <c r="B455">
        <v>1282</v>
      </c>
      <c r="C455" s="2">
        <v>44385</v>
      </c>
      <c r="D455" t="s">
        <v>203</v>
      </c>
      <c r="E455" t="s">
        <v>63</v>
      </c>
      <c r="F455" t="s">
        <v>26</v>
      </c>
      <c r="G455" t="s">
        <v>45</v>
      </c>
      <c r="H455" t="s">
        <v>46</v>
      </c>
      <c r="I455" t="s">
        <v>47</v>
      </c>
      <c r="J455" t="s">
        <v>48</v>
      </c>
      <c r="K455" t="s">
        <v>141</v>
      </c>
      <c r="L455" t="s">
        <v>112</v>
      </c>
      <c r="M455" t="s">
        <v>382</v>
      </c>
      <c r="N455" t="s">
        <v>61</v>
      </c>
      <c r="O455" t="s">
        <v>368</v>
      </c>
      <c r="P455" t="s">
        <v>326</v>
      </c>
      <c r="Q455" t="s">
        <v>369</v>
      </c>
      <c r="R455" t="s">
        <v>370</v>
      </c>
      <c r="S455" t="s">
        <v>371</v>
      </c>
      <c r="T455" t="s">
        <v>372</v>
      </c>
      <c r="U455" s="10" t="s">
        <v>1061</v>
      </c>
      <c r="V455" s="10" t="s">
        <v>1081</v>
      </c>
      <c r="W455" s="10" t="s">
        <v>1066</v>
      </c>
      <c r="X455" s="10" t="s">
        <v>1068</v>
      </c>
      <c r="Y455" t="s">
        <v>140</v>
      </c>
      <c r="Z455" t="s">
        <v>40</v>
      </c>
      <c r="AA455" t="s">
        <v>63</v>
      </c>
    </row>
    <row r="456" spans="1:28" x14ac:dyDescent="0.8">
      <c r="A456">
        <v>994</v>
      </c>
      <c r="B456">
        <v>1350</v>
      </c>
      <c r="C456" s="2">
        <v>44385</v>
      </c>
      <c r="D456" t="s">
        <v>203</v>
      </c>
      <c r="E456" t="s">
        <v>63</v>
      </c>
      <c r="F456" t="s">
        <v>26</v>
      </c>
      <c r="G456" t="s">
        <v>45</v>
      </c>
      <c r="H456" t="s">
        <v>46</v>
      </c>
      <c r="I456" t="s">
        <v>47</v>
      </c>
      <c r="J456" t="s">
        <v>48</v>
      </c>
      <c r="K456" t="s">
        <v>141</v>
      </c>
      <c r="L456" t="s">
        <v>59</v>
      </c>
      <c r="M456" t="s">
        <v>346</v>
      </c>
      <c r="N456" t="s">
        <v>61</v>
      </c>
      <c r="O456" t="s">
        <v>368</v>
      </c>
      <c r="P456" t="s">
        <v>326</v>
      </c>
      <c r="Q456" t="s">
        <v>369</v>
      </c>
      <c r="R456" t="s">
        <v>370</v>
      </c>
      <c r="S456" t="s">
        <v>371</v>
      </c>
      <c r="T456" t="s">
        <v>372</v>
      </c>
      <c r="U456" s="10" t="s">
        <v>1061</v>
      </c>
      <c r="V456" s="10" t="s">
        <v>1081</v>
      </c>
      <c r="W456" s="10" t="s">
        <v>1066</v>
      </c>
      <c r="X456" s="10" t="s">
        <v>1068</v>
      </c>
      <c r="Y456" t="s">
        <v>39</v>
      </c>
      <c r="Z456" t="s">
        <v>40</v>
      </c>
      <c r="AA456" t="s">
        <v>63</v>
      </c>
    </row>
    <row r="457" spans="1:28" x14ac:dyDescent="0.8">
      <c r="A457">
        <v>1010</v>
      </c>
      <c r="B457">
        <v>1366</v>
      </c>
      <c r="C457" s="2">
        <v>44385</v>
      </c>
      <c r="D457" t="s">
        <v>203</v>
      </c>
      <c r="E457" t="s">
        <v>103</v>
      </c>
      <c r="F457" t="s">
        <v>26</v>
      </c>
      <c r="G457" t="s">
        <v>45</v>
      </c>
      <c r="H457" t="s">
        <v>46</v>
      </c>
      <c r="I457" t="s">
        <v>47</v>
      </c>
      <c r="J457" t="s">
        <v>48</v>
      </c>
      <c r="K457" t="s">
        <v>141</v>
      </c>
      <c r="L457" t="s">
        <v>142</v>
      </c>
      <c r="M457" t="s">
        <v>143</v>
      </c>
      <c r="N457" t="s">
        <v>61</v>
      </c>
      <c r="O457" t="s">
        <v>368</v>
      </c>
      <c r="P457" t="s">
        <v>326</v>
      </c>
      <c r="Q457" t="s">
        <v>369</v>
      </c>
      <c r="R457" t="s">
        <v>370</v>
      </c>
      <c r="S457" t="s">
        <v>371</v>
      </c>
      <c r="T457" t="s">
        <v>372</v>
      </c>
      <c r="U457" s="10" t="s">
        <v>1061</v>
      </c>
      <c r="V457" s="10" t="s">
        <v>1081</v>
      </c>
      <c r="W457" s="10" t="s">
        <v>1066</v>
      </c>
      <c r="X457" s="10" t="s">
        <v>1068</v>
      </c>
      <c r="Y457" t="s">
        <v>39</v>
      </c>
      <c r="Z457" t="s">
        <v>40</v>
      </c>
      <c r="AA457" t="s">
        <v>63</v>
      </c>
    </row>
    <row r="458" spans="1:28" x14ac:dyDescent="0.8">
      <c r="A458">
        <v>990</v>
      </c>
      <c r="B458">
        <v>714</v>
      </c>
      <c r="C458" s="2">
        <v>44385</v>
      </c>
      <c r="D458" t="s">
        <v>203</v>
      </c>
      <c r="E458" t="s">
        <v>44</v>
      </c>
      <c r="F458" t="s">
        <v>26</v>
      </c>
      <c r="G458" t="s">
        <v>94</v>
      </c>
      <c r="H458" t="s">
        <v>95</v>
      </c>
      <c r="I458" t="s">
        <v>96</v>
      </c>
      <c r="J458" t="s">
        <v>97</v>
      </c>
      <c r="K458" t="s">
        <v>98</v>
      </c>
      <c r="L458" t="s">
        <v>99</v>
      </c>
      <c r="M458" t="s">
        <v>100</v>
      </c>
      <c r="N458" t="s">
        <v>101</v>
      </c>
      <c r="O458" t="s">
        <v>368</v>
      </c>
      <c r="P458" t="s">
        <v>326</v>
      </c>
      <c r="Q458" t="s">
        <v>369</v>
      </c>
      <c r="R458" t="s">
        <v>370</v>
      </c>
      <c r="S458" t="s">
        <v>371</v>
      </c>
      <c r="T458" t="s">
        <v>372</v>
      </c>
      <c r="U458" s="10" t="s">
        <v>1061</v>
      </c>
      <c r="V458" s="10" t="s">
        <v>1081</v>
      </c>
      <c r="W458" s="10" t="s">
        <v>1066</v>
      </c>
      <c r="X458" s="10" t="s">
        <v>1068</v>
      </c>
      <c r="Y458" t="s">
        <v>39</v>
      </c>
      <c r="Z458" t="s">
        <v>40</v>
      </c>
      <c r="AA458" t="s">
        <v>63</v>
      </c>
      <c r="AB458" t="s">
        <v>383</v>
      </c>
    </row>
    <row r="459" spans="1:28" x14ac:dyDescent="0.8">
      <c r="A459">
        <v>1150</v>
      </c>
      <c r="B459">
        <v>1647</v>
      </c>
      <c r="C459" s="2">
        <v>44384</v>
      </c>
      <c r="D459" t="s">
        <v>384</v>
      </c>
      <c r="E459" t="s">
        <v>25</v>
      </c>
      <c r="F459" t="s">
        <v>26</v>
      </c>
      <c r="G459" t="s">
        <v>27</v>
      </c>
      <c r="H459" t="s">
        <v>114</v>
      </c>
      <c r="I459" t="s">
        <v>115</v>
      </c>
      <c r="J459" t="s">
        <v>116</v>
      </c>
      <c r="K459" t="s">
        <v>257</v>
      </c>
      <c r="L459" t="s">
        <v>258</v>
      </c>
      <c r="M459" t="s">
        <v>259</v>
      </c>
      <c r="O459" t="s">
        <v>368</v>
      </c>
      <c r="P459" t="s">
        <v>326</v>
      </c>
      <c r="Q459" t="s">
        <v>369</v>
      </c>
      <c r="R459" t="s">
        <v>370</v>
      </c>
      <c r="S459" t="s">
        <v>371</v>
      </c>
      <c r="T459" t="s">
        <v>372</v>
      </c>
      <c r="U459" s="10" t="s">
        <v>1061</v>
      </c>
      <c r="V459" s="10" t="s">
        <v>1081</v>
      </c>
      <c r="W459" s="10" t="s">
        <v>1066</v>
      </c>
      <c r="X459" s="10" t="s">
        <v>1068</v>
      </c>
      <c r="Y459" t="s">
        <v>39</v>
      </c>
      <c r="Z459" t="s">
        <v>202</v>
      </c>
      <c r="AA459" t="s">
        <v>63</v>
      </c>
    </row>
    <row r="460" spans="1:28" x14ac:dyDescent="0.8">
      <c r="A460">
        <v>1146</v>
      </c>
      <c r="B460">
        <v>1643</v>
      </c>
      <c r="C460" s="2">
        <v>44384</v>
      </c>
      <c r="D460" t="s">
        <v>384</v>
      </c>
      <c r="E460" t="s">
        <v>25</v>
      </c>
      <c r="F460" t="s">
        <v>26</v>
      </c>
      <c r="G460" t="s">
        <v>27</v>
      </c>
      <c r="H460" t="s">
        <v>114</v>
      </c>
      <c r="I460" t="s">
        <v>115</v>
      </c>
      <c r="J460" t="s">
        <v>385</v>
      </c>
      <c r="K460" t="s">
        <v>386</v>
      </c>
      <c r="L460" t="s">
        <v>387</v>
      </c>
      <c r="M460" t="s">
        <v>388</v>
      </c>
      <c r="O460" t="s">
        <v>368</v>
      </c>
      <c r="P460" t="s">
        <v>326</v>
      </c>
      <c r="Q460" t="s">
        <v>369</v>
      </c>
      <c r="R460" t="s">
        <v>370</v>
      </c>
      <c r="S460" t="s">
        <v>371</v>
      </c>
      <c r="T460" t="s">
        <v>372</v>
      </c>
      <c r="U460" s="10" t="s">
        <v>1061</v>
      </c>
      <c r="V460" s="10" t="s">
        <v>1081</v>
      </c>
      <c r="W460" s="10" t="s">
        <v>1066</v>
      </c>
      <c r="X460" s="10" t="s">
        <v>1068</v>
      </c>
      <c r="Y460" t="s">
        <v>39</v>
      </c>
      <c r="Z460" t="s">
        <v>202</v>
      </c>
      <c r="AA460" t="s">
        <v>63</v>
      </c>
    </row>
    <row r="461" spans="1:28" x14ac:dyDescent="0.8">
      <c r="A461">
        <v>1132</v>
      </c>
      <c r="B461">
        <v>1579</v>
      </c>
      <c r="C461" s="2">
        <v>44384</v>
      </c>
      <c r="D461" t="s">
        <v>384</v>
      </c>
      <c r="E461" t="s">
        <v>63</v>
      </c>
      <c r="F461" t="s">
        <v>26</v>
      </c>
      <c r="G461" t="s">
        <v>45</v>
      </c>
      <c r="H461" t="s">
        <v>46</v>
      </c>
      <c r="I461" t="s">
        <v>47</v>
      </c>
      <c r="J461" t="s">
        <v>48</v>
      </c>
      <c r="K461" t="s">
        <v>49</v>
      </c>
      <c r="L461" t="s">
        <v>91</v>
      </c>
      <c r="M461" t="s">
        <v>92</v>
      </c>
      <c r="N461" t="s">
        <v>61</v>
      </c>
      <c r="O461" t="s">
        <v>368</v>
      </c>
      <c r="P461" t="s">
        <v>326</v>
      </c>
      <c r="Q461" t="s">
        <v>369</v>
      </c>
      <c r="R461" t="s">
        <v>370</v>
      </c>
      <c r="S461" t="s">
        <v>371</v>
      </c>
      <c r="T461" t="s">
        <v>372</v>
      </c>
      <c r="U461" s="10" t="s">
        <v>1061</v>
      </c>
      <c r="V461" s="10" t="s">
        <v>1081</v>
      </c>
      <c r="W461" s="10" t="s">
        <v>1066</v>
      </c>
      <c r="X461" s="10" t="s">
        <v>1068</v>
      </c>
      <c r="Y461" t="s">
        <v>39</v>
      </c>
      <c r="Z461" t="s">
        <v>40</v>
      </c>
      <c r="AA461" t="s">
        <v>63</v>
      </c>
    </row>
    <row r="462" spans="1:28" x14ac:dyDescent="0.8">
      <c r="A462">
        <v>1176</v>
      </c>
      <c r="B462">
        <v>1673</v>
      </c>
      <c r="C462" s="2">
        <v>44386</v>
      </c>
      <c r="D462" t="s">
        <v>129</v>
      </c>
      <c r="E462" t="s">
        <v>25</v>
      </c>
      <c r="F462" t="s">
        <v>26</v>
      </c>
      <c r="G462" t="s">
        <v>45</v>
      </c>
      <c r="H462" t="s">
        <v>68</v>
      </c>
      <c r="I462" t="s">
        <v>69</v>
      </c>
      <c r="J462" t="s">
        <v>70</v>
      </c>
      <c r="K462" t="s">
        <v>71</v>
      </c>
      <c r="L462" t="s">
        <v>72</v>
      </c>
      <c r="M462" t="s">
        <v>73</v>
      </c>
      <c r="N462" t="s">
        <v>61</v>
      </c>
      <c r="O462" t="s">
        <v>368</v>
      </c>
      <c r="P462" t="s">
        <v>326</v>
      </c>
      <c r="Q462" t="s">
        <v>369</v>
      </c>
      <c r="R462" t="s">
        <v>370</v>
      </c>
      <c r="S462" t="s">
        <v>371</v>
      </c>
      <c r="T462" t="s">
        <v>372</v>
      </c>
      <c r="U462" s="10" t="s">
        <v>1061</v>
      </c>
      <c r="V462" s="10" t="s">
        <v>1081</v>
      </c>
      <c r="W462" s="10" t="s">
        <v>1066</v>
      </c>
      <c r="X462" s="10" t="s">
        <v>1068</v>
      </c>
      <c r="Y462" t="s">
        <v>39</v>
      </c>
      <c r="Z462" t="s">
        <v>40</v>
      </c>
      <c r="AA462" t="s">
        <v>63</v>
      </c>
    </row>
    <row r="463" spans="1:28" x14ac:dyDescent="0.8">
      <c r="A463">
        <v>1171</v>
      </c>
      <c r="B463">
        <v>1668</v>
      </c>
      <c r="C463" s="2">
        <v>44386</v>
      </c>
      <c r="D463" t="s">
        <v>129</v>
      </c>
      <c r="E463" t="s">
        <v>125</v>
      </c>
      <c r="F463" t="s">
        <v>26</v>
      </c>
      <c r="G463" t="s">
        <v>94</v>
      </c>
      <c r="H463" t="s">
        <v>389</v>
      </c>
      <c r="I463" t="s">
        <v>390</v>
      </c>
      <c r="J463" t="s">
        <v>391</v>
      </c>
      <c r="K463" t="s">
        <v>392</v>
      </c>
      <c r="L463" t="s">
        <v>393</v>
      </c>
      <c r="M463" t="s">
        <v>394</v>
      </c>
      <c r="N463" t="s">
        <v>395</v>
      </c>
      <c r="O463" t="s">
        <v>368</v>
      </c>
      <c r="P463" t="s">
        <v>326</v>
      </c>
      <c r="Q463" t="s">
        <v>369</v>
      </c>
      <c r="R463" t="s">
        <v>370</v>
      </c>
      <c r="S463" t="s">
        <v>371</v>
      </c>
      <c r="T463" t="s">
        <v>372</v>
      </c>
      <c r="U463" s="10" t="s">
        <v>1061</v>
      </c>
      <c r="V463" s="10" t="s">
        <v>1081</v>
      </c>
      <c r="W463" s="10" t="s">
        <v>1066</v>
      </c>
      <c r="X463" s="10" t="s">
        <v>1068</v>
      </c>
      <c r="Y463" t="s">
        <v>39</v>
      </c>
      <c r="Z463" t="s">
        <v>40</v>
      </c>
      <c r="AA463" t="s">
        <v>63</v>
      </c>
    </row>
    <row r="464" spans="1:28" x14ac:dyDescent="0.8">
      <c r="A464">
        <v>544</v>
      </c>
      <c r="B464">
        <v>175</v>
      </c>
      <c r="C464" s="2">
        <v>44388</v>
      </c>
      <c r="D464" t="s">
        <v>124</v>
      </c>
      <c r="E464" t="s">
        <v>63</v>
      </c>
      <c r="F464" t="s">
        <v>26</v>
      </c>
      <c r="G464" t="s">
        <v>45</v>
      </c>
      <c r="H464" t="s">
        <v>68</v>
      </c>
      <c r="I464" t="s">
        <v>69</v>
      </c>
      <c r="J464" t="s">
        <v>70</v>
      </c>
      <c r="K464" t="s">
        <v>71</v>
      </c>
      <c r="L464" t="s">
        <v>72</v>
      </c>
      <c r="M464" t="s">
        <v>73</v>
      </c>
      <c r="N464" t="s">
        <v>61</v>
      </c>
      <c r="O464" t="s">
        <v>368</v>
      </c>
      <c r="P464" t="s">
        <v>326</v>
      </c>
      <c r="Q464" t="s">
        <v>369</v>
      </c>
      <c r="R464" t="s">
        <v>370</v>
      </c>
      <c r="S464" t="s">
        <v>371</v>
      </c>
      <c r="T464" t="s">
        <v>372</v>
      </c>
      <c r="U464" s="10" t="s">
        <v>1061</v>
      </c>
      <c r="V464" s="10" t="s">
        <v>1081</v>
      </c>
      <c r="W464" s="10" t="s">
        <v>1066</v>
      </c>
      <c r="X464" s="10" t="s">
        <v>1068</v>
      </c>
      <c r="Y464" t="s">
        <v>39</v>
      </c>
      <c r="Z464" t="s">
        <v>40</v>
      </c>
      <c r="AA464" t="s">
        <v>63</v>
      </c>
    </row>
    <row r="465" spans="1:27" x14ac:dyDescent="0.8">
      <c r="A465">
        <v>559</v>
      </c>
      <c r="B465">
        <v>190</v>
      </c>
      <c r="C465" s="2">
        <v>44388</v>
      </c>
      <c r="D465" t="s">
        <v>124</v>
      </c>
      <c r="E465" t="s">
        <v>25</v>
      </c>
      <c r="F465" t="s">
        <v>26</v>
      </c>
      <c r="G465" t="s">
        <v>45</v>
      </c>
      <c r="H465" t="s">
        <v>55</v>
      </c>
      <c r="I465" t="s">
        <v>56</v>
      </c>
      <c r="J465" t="s">
        <v>57</v>
      </c>
      <c r="K465" t="s">
        <v>58</v>
      </c>
      <c r="L465" t="s">
        <v>171</v>
      </c>
      <c r="M465" t="s">
        <v>172</v>
      </c>
      <c r="N465" t="s">
        <v>52</v>
      </c>
      <c r="O465" t="s">
        <v>368</v>
      </c>
      <c r="P465" t="s">
        <v>326</v>
      </c>
      <c r="Q465" t="s">
        <v>369</v>
      </c>
      <c r="R465" t="s">
        <v>370</v>
      </c>
      <c r="S465" t="s">
        <v>371</v>
      </c>
      <c r="T465" t="s">
        <v>372</v>
      </c>
      <c r="U465" s="10" t="s">
        <v>1061</v>
      </c>
      <c r="V465" s="10" t="s">
        <v>1081</v>
      </c>
      <c r="W465" s="10" t="s">
        <v>1066</v>
      </c>
      <c r="X465" s="10" t="s">
        <v>1068</v>
      </c>
      <c r="Y465" t="s">
        <v>39</v>
      </c>
      <c r="Z465" t="s">
        <v>40</v>
      </c>
      <c r="AA465" t="s">
        <v>63</v>
      </c>
    </row>
    <row r="466" spans="1:27" x14ac:dyDescent="0.8">
      <c r="A466">
        <v>1673</v>
      </c>
      <c r="B466">
        <v>446</v>
      </c>
      <c r="C466" s="2">
        <v>44388</v>
      </c>
      <c r="D466" t="s">
        <v>124</v>
      </c>
      <c r="E466" t="s">
        <v>25</v>
      </c>
      <c r="F466" t="s">
        <v>26</v>
      </c>
      <c r="G466" t="s">
        <v>45</v>
      </c>
      <c r="H466" t="s">
        <v>46</v>
      </c>
      <c r="I466" t="s">
        <v>47</v>
      </c>
      <c r="J466" t="s">
        <v>48</v>
      </c>
      <c r="K466" t="s">
        <v>49</v>
      </c>
      <c r="L466" t="s">
        <v>91</v>
      </c>
      <c r="M466" t="s">
        <v>92</v>
      </c>
      <c r="N466" t="s">
        <v>61</v>
      </c>
      <c r="O466" t="s">
        <v>368</v>
      </c>
      <c r="P466" t="s">
        <v>326</v>
      </c>
      <c r="Q466" t="s">
        <v>369</v>
      </c>
      <c r="R466" t="s">
        <v>370</v>
      </c>
      <c r="S466" t="s">
        <v>371</v>
      </c>
      <c r="T466" t="s">
        <v>372</v>
      </c>
      <c r="U466" s="10" t="s">
        <v>1061</v>
      </c>
      <c r="V466" s="10" t="s">
        <v>1081</v>
      </c>
      <c r="W466" s="10" t="s">
        <v>1066</v>
      </c>
      <c r="X466" s="10" t="s">
        <v>1068</v>
      </c>
      <c r="Y466" t="s">
        <v>39</v>
      </c>
      <c r="Z466" t="s">
        <v>62</v>
      </c>
      <c r="AA466" t="s">
        <v>41</v>
      </c>
    </row>
    <row r="467" spans="1:27" x14ac:dyDescent="0.8">
      <c r="A467">
        <v>548</v>
      </c>
      <c r="B467">
        <v>179</v>
      </c>
      <c r="C467" s="2">
        <v>44388</v>
      </c>
      <c r="D467" t="s">
        <v>124</v>
      </c>
      <c r="E467" t="s">
        <v>53</v>
      </c>
      <c r="F467" t="s">
        <v>26</v>
      </c>
      <c r="G467" t="s">
        <v>45</v>
      </c>
      <c r="H467" t="s">
        <v>46</v>
      </c>
      <c r="I467" t="s">
        <v>47</v>
      </c>
      <c r="J467" t="s">
        <v>48</v>
      </c>
      <c r="K467" t="s">
        <v>49</v>
      </c>
      <c r="L467" t="s">
        <v>91</v>
      </c>
      <c r="M467" t="s">
        <v>92</v>
      </c>
      <c r="N467" t="s">
        <v>61</v>
      </c>
      <c r="O467" t="s">
        <v>368</v>
      </c>
      <c r="P467" t="s">
        <v>326</v>
      </c>
      <c r="Q467" t="s">
        <v>369</v>
      </c>
      <c r="R467" t="s">
        <v>370</v>
      </c>
      <c r="S467" t="s">
        <v>371</v>
      </c>
      <c r="T467" t="s">
        <v>372</v>
      </c>
      <c r="U467" s="10" t="s">
        <v>1061</v>
      </c>
      <c r="V467" s="10" t="s">
        <v>1081</v>
      </c>
      <c r="W467" s="10" t="s">
        <v>1066</v>
      </c>
      <c r="X467" s="10" t="s">
        <v>1068</v>
      </c>
      <c r="Y467" t="s">
        <v>39</v>
      </c>
      <c r="Z467" t="s">
        <v>40</v>
      </c>
      <c r="AA467" t="s">
        <v>63</v>
      </c>
    </row>
    <row r="468" spans="1:27" x14ac:dyDescent="0.8">
      <c r="A468">
        <v>196</v>
      </c>
      <c r="B468">
        <v>1422</v>
      </c>
      <c r="C468" s="2">
        <v>44388</v>
      </c>
      <c r="D468" t="s">
        <v>124</v>
      </c>
      <c r="E468" t="s">
        <v>53</v>
      </c>
      <c r="F468" t="s">
        <v>26</v>
      </c>
      <c r="G468" t="s">
        <v>45</v>
      </c>
      <c r="H468" t="s">
        <v>46</v>
      </c>
      <c r="I468" t="s">
        <v>47</v>
      </c>
      <c r="J468" t="s">
        <v>48</v>
      </c>
      <c r="K468" t="s">
        <v>141</v>
      </c>
      <c r="L468" t="s">
        <v>65</v>
      </c>
      <c r="M468" t="s">
        <v>396</v>
      </c>
      <c r="N468" t="s">
        <v>61</v>
      </c>
      <c r="O468" t="s">
        <v>368</v>
      </c>
      <c r="P468" t="s">
        <v>326</v>
      </c>
      <c r="Q468" t="s">
        <v>369</v>
      </c>
      <c r="R468" t="s">
        <v>370</v>
      </c>
      <c r="S468" t="s">
        <v>371</v>
      </c>
      <c r="T468" t="s">
        <v>372</v>
      </c>
      <c r="U468" s="10" t="s">
        <v>1061</v>
      </c>
      <c r="V468" s="10" t="s">
        <v>1081</v>
      </c>
      <c r="W468" s="10" t="s">
        <v>1066</v>
      </c>
      <c r="X468" s="10" t="s">
        <v>1068</v>
      </c>
      <c r="Y468" t="s">
        <v>140</v>
      </c>
      <c r="Z468" t="s">
        <v>40</v>
      </c>
      <c r="AA468" t="s">
        <v>53</v>
      </c>
    </row>
    <row r="469" spans="1:27" x14ac:dyDescent="0.8">
      <c r="A469">
        <v>1674</v>
      </c>
      <c r="B469">
        <v>447</v>
      </c>
      <c r="C469" s="2">
        <v>44388</v>
      </c>
      <c r="D469" t="s">
        <v>124</v>
      </c>
      <c r="E469" t="s">
        <v>25</v>
      </c>
      <c r="F469" t="s">
        <v>26</v>
      </c>
      <c r="G469" t="s">
        <v>45</v>
      </c>
      <c r="H469" t="s">
        <v>46</v>
      </c>
      <c r="I469" t="s">
        <v>47</v>
      </c>
      <c r="J469" t="s">
        <v>48</v>
      </c>
      <c r="K469" t="s">
        <v>141</v>
      </c>
      <c r="L469" t="s">
        <v>293</v>
      </c>
      <c r="M469" t="s">
        <v>294</v>
      </c>
      <c r="N469" t="s">
        <v>52</v>
      </c>
      <c r="O469" t="s">
        <v>368</v>
      </c>
      <c r="P469" t="s">
        <v>326</v>
      </c>
      <c r="Q469" t="s">
        <v>369</v>
      </c>
      <c r="R469" t="s">
        <v>370</v>
      </c>
      <c r="S469" t="s">
        <v>371</v>
      </c>
      <c r="T469" t="s">
        <v>372</v>
      </c>
      <c r="U469" s="10" t="s">
        <v>1061</v>
      </c>
      <c r="V469" s="10" t="s">
        <v>1081</v>
      </c>
      <c r="W469" s="10" t="s">
        <v>1066</v>
      </c>
      <c r="X469" s="10" t="s">
        <v>1068</v>
      </c>
      <c r="Y469" t="s">
        <v>39</v>
      </c>
      <c r="Z469" t="s">
        <v>40</v>
      </c>
      <c r="AA469" t="s">
        <v>41</v>
      </c>
    </row>
    <row r="470" spans="1:27" x14ac:dyDescent="0.8">
      <c r="A470">
        <v>1676</v>
      </c>
      <c r="B470">
        <v>449</v>
      </c>
      <c r="C470" s="2">
        <v>44388</v>
      </c>
      <c r="D470" t="s">
        <v>124</v>
      </c>
      <c r="E470" t="s">
        <v>103</v>
      </c>
      <c r="F470" t="s">
        <v>26</v>
      </c>
      <c r="G470" t="s">
        <v>45</v>
      </c>
      <c r="H470" t="s">
        <v>46</v>
      </c>
      <c r="I470" t="s">
        <v>47</v>
      </c>
      <c r="J470" t="s">
        <v>48</v>
      </c>
      <c r="K470" t="s">
        <v>141</v>
      </c>
      <c r="L470" t="s">
        <v>293</v>
      </c>
      <c r="M470" t="s">
        <v>294</v>
      </c>
      <c r="N470" t="s">
        <v>52</v>
      </c>
      <c r="O470" t="s">
        <v>368</v>
      </c>
      <c r="P470" t="s">
        <v>326</v>
      </c>
      <c r="Q470" t="s">
        <v>369</v>
      </c>
      <c r="R470" t="s">
        <v>370</v>
      </c>
      <c r="S470" t="s">
        <v>371</v>
      </c>
      <c r="T470" t="s">
        <v>372</v>
      </c>
      <c r="U470" s="10" t="s">
        <v>1061</v>
      </c>
      <c r="V470" s="10" t="s">
        <v>1081</v>
      </c>
      <c r="W470" s="10" t="s">
        <v>1066</v>
      </c>
      <c r="X470" s="10" t="s">
        <v>1068</v>
      </c>
      <c r="Y470" t="s">
        <v>39</v>
      </c>
      <c r="Z470" t="s">
        <v>40</v>
      </c>
      <c r="AA470" t="s">
        <v>41</v>
      </c>
    </row>
    <row r="471" spans="1:27" x14ac:dyDescent="0.8">
      <c r="A471">
        <v>540</v>
      </c>
      <c r="B471">
        <v>171</v>
      </c>
      <c r="C471" s="2">
        <v>44388</v>
      </c>
      <c r="D471" t="s">
        <v>124</v>
      </c>
      <c r="E471" t="s">
        <v>53</v>
      </c>
      <c r="F471" t="s">
        <v>26</v>
      </c>
      <c r="G471" t="s">
        <v>94</v>
      </c>
      <c r="H471" t="s">
        <v>95</v>
      </c>
      <c r="I471" t="s">
        <v>236</v>
      </c>
      <c r="J471" t="s">
        <v>237</v>
      </c>
      <c r="K471" t="s">
        <v>238</v>
      </c>
      <c r="L471" t="s">
        <v>239</v>
      </c>
      <c r="M471" t="s">
        <v>240</v>
      </c>
      <c r="N471" t="s">
        <v>263</v>
      </c>
      <c r="O471" t="s">
        <v>368</v>
      </c>
      <c r="P471" t="s">
        <v>326</v>
      </c>
      <c r="Q471" t="s">
        <v>369</v>
      </c>
      <c r="R471" t="s">
        <v>370</v>
      </c>
      <c r="S471" t="s">
        <v>371</v>
      </c>
      <c r="T471" t="s">
        <v>372</v>
      </c>
      <c r="U471" s="10" t="s">
        <v>1061</v>
      </c>
      <c r="V471" s="10" t="s">
        <v>1081</v>
      </c>
      <c r="W471" s="10" t="s">
        <v>1066</v>
      </c>
      <c r="X471" s="10" t="s">
        <v>1068</v>
      </c>
      <c r="Y471" t="s">
        <v>39</v>
      </c>
      <c r="Z471" t="s">
        <v>40</v>
      </c>
      <c r="AA471" t="s">
        <v>63</v>
      </c>
    </row>
    <row r="472" spans="1:27" x14ac:dyDescent="0.8">
      <c r="A472">
        <v>388</v>
      </c>
      <c r="B472">
        <v>484</v>
      </c>
      <c r="C472" s="2">
        <v>44384</v>
      </c>
      <c r="D472" t="s">
        <v>306</v>
      </c>
      <c r="E472" t="s">
        <v>25</v>
      </c>
      <c r="F472" t="s">
        <v>26</v>
      </c>
      <c r="G472" t="s">
        <v>45</v>
      </c>
      <c r="H472" t="s">
        <v>68</v>
      </c>
      <c r="I472" t="s">
        <v>69</v>
      </c>
      <c r="J472" t="s">
        <v>70</v>
      </c>
      <c r="K472" t="s">
        <v>71</v>
      </c>
      <c r="L472" t="s">
        <v>72</v>
      </c>
      <c r="M472" t="s">
        <v>73</v>
      </c>
      <c r="N472" t="s">
        <v>61</v>
      </c>
      <c r="O472" t="s">
        <v>368</v>
      </c>
      <c r="P472" t="s">
        <v>326</v>
      </c>
      <c r="Q472" t="s">
        <v>369</v>
      </c>
      <c r="R472" t="s">
        <v>370</v>
      </c>
      <c r="S472" t="s">
        <v>371</v>
      </c>
      <c r="T472" t="s">
        <v>372</v>
      </c>
      <c r="U472" s="10" t="s">
        <v>1061</v>
      </c>
      <c r="V472" s="10" t="s">
        <v>1081</v>
      </c>
      <c r="W472" s="10" t="s">
        <v>1066</v>
      </c>
      <c r="X472" s="10" t="s">
        <v>1068</v>
      </c>
      <c r="Y472" t="s">
        <v>39</v>
      </c>
      <c r="Z472" t="s">
        <v>202</v>
      </c>
      <c r="AA472" t="s">
        <v>53</v>
      </c>
    </row>
    <row r="473" spans="1:27" x14ac:dyDescent="0.8">
      <c r="A473">
        <v>380</v>
      </c>
      <c r="B473">
        <v>476</v>
      </c>
      <c r="C473" s="2">
        <v>44384</v>
      </c>
      <c r="D473" t="s">
        <v>306</v>
      </c>
      <c r="E473" t="s">
        <v>25</v>
      </c>
      <c r="F473" t="s">
        <v>26</v>
      </c>
      <c r="G473" t="s">
        <v>45</v>
      </c>
      <c r="H473" t="s">
        <v>46</v>
      </c>
      <c r="I473" t="s">
        <v>47</v>
      </c>
      <c r="J473" t="s">
        <v>48</v>
      </c>
      <c r="K473" t="s">
        <v>49</v>
      </c>
      <c r="L473" t="s">
        <v>91</v>
      </c>
      <c r="M473" t="s">
        <v>92</v>
      </c>
      <c r="N473" t="s">
        <v>61</v>
      </c>
      <c r="O473" t="s">
        <v>368</v>
      </c>
      <c r="P473" t="s">
        <v>326</v>
      </c>
      <c r="Q473" t="s">
        <v>369</v>
      </c>
      <c r="R473" t="s">
        <v>370</v>
      </c>
      <c r="S473" t="s">
        <v>371</v>
      </c>
      <c r="T473" t="s">
        <v>372</v>
      </c>
      <c r="U473" s="10" t="s">
        <v>1061</v>
      </c>
      <c r="V473" s="10" t="s">
        <v>1081</v>
      </c>
      <c r="W473" s="10" t="s">
        <v>1066</v>
      </c>
      <c r="X473" s="10" t="s">
        <v>1068</v>
      </c>
      <c r="Y473" t="s">
        <v>140</v>
      </c>
      <c r="Z473" t="s">
        <v>62</v>
      </c>
      <c r="AA473" t="s">
        <v>53</v>
      </c>
    </row>
    <row r="474" spans="1:27" x14ac:dyDescent="0.8">
      <c r="A474">
        <v>379</v>
      </c>
      <c r="B474">
        <v>475</v>
      </c>
      <c r="C474" s="2">
        <v>44384</v>
      </c>
      <c r="D474" t="s">
        <v>306</v>
      </c>
      <c r="E474" t="s">
        <v>25</v>
      </c>
      <c r="F474" t="s">
        <v>26</v>
      </c>
      <c r="G474" t="s">
        <v>45</v>
      </c>
      <c r="H474" t="s">
        <v>46</v>
      </c>
      <c r="I474" t="s">
        <v>47</v>
      </c>
      <c r="J474" t="s">
        <v>48</v>
      </c>
      <c r="K474" t="s">
        <v>49</v>
      </c>
      <c r="L474" t="s">
        <v>91</v>
      </c>
      <c r="M474" t="s">
        <v>92</v>
      </c>
      <c r="N474" t="s">
        <v>61</v>
      </c>
      <c r="O474" t="s">
        <v>368</v>
      </c>
      <c r="P474" t="s">
        <v>326</v>
      </c>
      <c r="Q474" t="s">
        <v>369</v>
      </c>
      <c r="R474" t="s">
        <v>370</v>
      </c>
      <c r="S474" t="s">
        <v>371</v>
      </c>
      <c r="T474" t="s">
        <v>372</v>
      </c>
      <c r="U474" s="10" t="s">
        <v>1061</v>
      </c>
      <c r="V474" s="10" t="s">
        <v>1081</v>
      </c>
      <c r="W474" s="10" t="s">
        <v>1066</v>
      </c>
      <c r="X474" s="10" t="s">
        <v>1068</v>
      </c>
      <c r="Y474" t="s">
        <v>140</v>
      </c>
      <c r="Z474" t="s">
        <v>62</v>
      </c>
      <c r="AA474" t="s">
        <v>53</v>
      </c>
    </row>
    <row r="475" spans="1:27" x14ac:dyDescent="0.8">
      <c r="A475">
        <v>627</v>
      </c>
      <c r="B475">
        <v>164</v>
      </c>
      <c r="C475" s="2">
        <v>44384</v>
      </c>
      <c r="D475" t="s">
        <v>306</v>
      </c>
      <c r="E475" t="s">
        <v>63</v>
      </c>
      <c r="F475" t="s">
        <v>26</v>
      </c>
      <c r="G475" t="s">
        <v>45</v>
      </c>
      <c r="H475" t="s">
        <v>46</v>
      </c>
      <c r="I475" t="s">
        <v>47</v>
      </c>
      <c r="J475" t="s">
        <v>48</v>
      </c>
      <c r="K475" t="s">
        <v>49</v>
      </c>
      <c r="L475" t="s">
        <v>91</v>
      </c>
      <c r="M475" t="s">
        <v>92</v>
      </c>
      <c r="N475" t="s">
        <v>61</v>
      </c>
      <c r="O475" t="s">
        <v>368</v>
      </c>
      <c r="P475" t="s">
        <v>326</v>
      </c>
      <c r="Q475" t="s">
        <v>369</v>
      </c>
      <c r="R475" t="s">
        <v>370</v>
      </c>
      <c r="S475" t="s">
        <v>371</v>
      </c>
      <c r="T475" t="s">
        <v>372</v>
      </c>
      <c r="U475" s="10" t="s">
        <v>1061</v>
      </c>
      <c r="V475" s="10" t="s">
        <v>1081</v>
      </c>
      <c r="W475" s="10" t="s">
        <v>1066</v>
      </c>
      <c r="X475" s="10" t="s">
        <v>1068</v>
      </c>
      <c r="Y475" t="s">
        <v>39</v>
      </c>
      <c r="Z475" t="s">
        <v>40</v>
      </c>
      <c r="AA475" t="s">
        <v>63</v>
      </c>
    </row>
    <row r="476" spans="1:27" x14ac:dyDescent="0.8">
      <c r="A476">
        <v>626</v>
      </c>
      <c r="B476">
        <v>163</v>
      </c>
      <c r="C476" s="2">
        <v>44384</v>
      </c>
      <c r="D476" t="s">
        <v>306</v>
      </c>
      <c r="E476" t="s">
        <v>150</v>
      </c>
      <c r="F476" t="s">
        <v>26</v>
      </c>
      <c r="G476" t="s">
        <v>45</v>
      </c>
      <c r="H476" t="s">
        <v>46</v>
      </c>
      <c r="I476" t="s">
        <v>47</v>
      </c>
      <c r="J476" t="s">
        <v>48</v>
      </c>
      <c r="K476" t="s">
        <v>49</v>
      </c>
      <c r="L476" t="s">
        <v>91</v>
      </c>
      <c r="M476" t="s">
        <v>92</v>
      </c>
      <c r="N476" t="s">
        <v>61</v>
      </c>
      <c r="O476" t="s">
        <v>368</v>
      </c>
      <c r="P476" t="s">
        <v>326</v>
      </c>
      <c r="Q476" t="s">
        <v>369</v>
      </c>
      <c r="R476" t="s">
        <v>370</v>
      </c>
      <c r="S476" t="s">
        <v>371</v>
      </c>
      <c r="T476" t="s">
        <v>372</v>
      </c>
      <c r="U476" s="10" t="s">
        <v>1061</v>
      </c>
      <c r="V476" s="10" t="s">
        <v>1081</v>
      </c>
      <c r="W476" s="10" t="s">
        <v>1066</v>
      </c>
      <c r="X476" s="10" t="s">
        <v>1068</v>
      </c>
      <c r="Y476" t="s">
        <v>39</v>
      </c>
      <c r="Z476" t="s">
        <v>40</v>
      </c>
      <c r="AA476" t="s">
        <v>63</v>
      </c>
    </row>
    <row r="477" spans="1:27" x14ac:dyDescent="0.8">
      <c r="A477">
        <v>382</v>
      </c>
      <c r="B477">
        <v>478</v>
      </c>
      <c r="C477" s="2">
        <v>44384</v>
      </c>
      <c r="D477" t="s">
        <v>306</v>
      </c>
      <c r="E477" t="s">
        <v>25</v>
      </c>
      <c r="F477" t="s">
        <v>26</v>
      </c>
      <c r="G477" t="s">
        <v>45</v>
      </c>
      <c r="H477" t="s">
        <v>46</v>
      </c>
      <c r="I477" t="s">
        <v>47</v>
      </c>
      <c r="J477" t="s">
        <v>48</v>
      </c>
      <c r="K477" t="s">
        <v>141</v>
      </c>
      <c r="L477" t="s">
        <v>293</v>
      </c>
      <c r="M477" t="s">
        <v>294</v>
      </c>
      <c r="N477" t="s">
        <v>52</v>
      </c>
      <c r="O477" t="s">
        <v>368</v>
      </c>
      <c r="P477" t="s">
        <v>326</v>
      </c>
      <c r="Q477" t="s">
        <v>369</v>
      </c>
      <c r="R477" t="s">
        <v>370</v>
      </c>
      <c r="S477" t="s">
        <v>371</v>
      </c>
      <c r="T477" t="s">
        <v>372</v>
      </c>
      <c r="U477" s="10" t="s">
        <v>1061</v>
      </c>
      <c r="V477" s="10" t="s">
        <v>1081</v>
      </c>
      <c r="W477" s="10" t="s">
        <v>1066</v>
      </c>
      <c r="X477" s="10" t="s">
        <v>1068</v>
      </c>
      <c r="Y477" t="s">
        <v>140</v>
      </c>
      <c r="Z477" t="s">
        <v>202</v>
      </c>
      <c r="AA477" t="s">
        <v>53</v>
      </c>
    </row>
    <row r="478" spans="1:27" x14ac:dyDescent="0.8">
      <c r="A478">
        <v>647</v>
      </c>
      <c r="B478">
        <v>984</v>
      </c>
      <c r="C478" s="2">
        <v>44384</v>
      </c>
      <c r="D478" t="s">
        <v>306</v>
      </c>
      <c r="E478" t="s">
        <v>25</v>
      </c>
      <c r="F478" t="s">
        <v>26</v>
      </c>
      <c r="G478" t="s">
        <v>45</v>
      </c>
      <c r="H478" t="s">
        <v>46</v>
      </c>
      <c r="I478" t="s">
        <v>47</v>
      </c>
      <c r="J478" t="s">
        <v>48</v>
      </c>
      <c r="K478" t="s">
        <v>141</v>
      </c>
      <c r="L478" t="s">
        <v>293</v>
      </c>
      <c r="M478" t="s">
        <v>294</v>
      </c>
      <c r="N478" t="s">
        <v>52</v>
      </c>
      <c r="O478" t="s">
        <v>368</v>
      </c>
      <c r="P478" t="s">
        <v>326</v>
      </c>
      <c r="Q478" t="s">
        <v>369</v>
      </c>
      <c r="R478" t="s">
        <v>370</v>
      </c>
      <c r="S478" t="s">
        <v>371</v>
      </c>
      <c r="T478" t="s">
        <v>372</v>
      </c>
      <c r="U478" s="10" t="s">
        <v>1061</v>
      </c>
      <c r="V478" s="10" t="s">
        <v>1081</v>
      </c>
      <c r="W478" s="10" t="s">
        <v>1066</v>
      </c>
      <c r="X478" s="10" t="s">
        <v>1068</v>
      </c>
      <c r="Y478" t="s">
        <v>39</v>
      </c>
      <c r="Z478" t="s">
        <v>40</v>
      </c>
      <c r="AA478" t="s">
        <v>63</v>
      </c>
    </row>
    <row r="479" spans="1:27" x14ac:dyDescent="0.8">
      <c r="A479">
        <v>935</v>
      </c>
      <c r="B479">
        <v>1111</v>
      </c>
      <c r="C479" s="2">
        <v>44384</v>
      </c>
      <c r="D479" t="s">
        <v>242</v>
      </c>
      <c r="E479" t="s">
        <v>25</v>
      </c>
      <c r="F479" t="s">
        <v>26</v>
      </c>
      <c r="G479" t="s">
        <v>45</v>
      </c>
      <c r="H479" t="s">
        <v>68</v>
      </c>
      <c r="I479" t="s">
        <v>69</v>
      </c>
      <c r="J479" t="s">
        <v>70</v>
      </c>
      <c r="K479" t="s">
        <v>71</v>
      </c>
      <c r="L479" t="s">
        <v>72</v>
      </c>
      <c r="M479" t="s">
        <v>73</v>
      </c>
      <c r="N479" t="s">
        <v>61</v>
      </c>
      <c r="O479" t="s">
        <v>368</v>
      </c>
      <c r="P479" t="s">
        <v>326</v>
      </c>
      <c r="Q479" t="s">
        <v>369</v>
      </c>
      <c r="R479" t="s">
        <v>370</v>
      </c>
      <c r="S479" t="s">
        <v>371</v>
      </c>
      <c r="T479" t="s">
        <v>372</v>
      </c>
      <c r="U479" s="10" t="s">
        <v>1061</v>
      </c>
      <c r="V479" s="10" t="s">
        <v>1081</v>
      </c>
      <c r="W479" s="10" t="s">
        <v>1066</v>
      </c>
      <c r="X479" s="10" t="s">
        <v>1068</v>
      </c>
      <c r="Y479" t="s">
        <v>39</v>
      </c>
      <c r="Z479" t="s">
        <v>40</v>
      </c>
      <c r="AA479" t="s">
        <v>63</v>
      </c>
    </row>
    <row r="480" spans="1:27" x14ac:dyDescent="0.8">
      <c r="A480">
        <v>910</v>
      </c>
      <c r="B480">
        <v>1038</v>
      </c>
      <c r="C480" s="2">
        <v>44384</v>
      </c>
      <c r="D480" t="s">
        <v>242</v>
      </c>
      <c r="E480" t="s">
        <v>25</v>
      </c>
      <c r="F480" t="s">
        <v>26</v>
      </c>
      <c r="G480" t="s">
        <v>45</v>
      </c>
      <c r="H480" t="s">
        <v>46</v>
      </c>
      <c r="I480" t="s">
        <v>47</v>
      </c>
      <c r="J480" t="s">
        <v>48</v>
      </c>
      <c r="K480" t="s">
        <v>49</v>
      </c>
      <c r="L480" t="s">
        <v>91</v>
      </c>
      <c r="M480" t="s">
        <v>92</v>
      </c>
      <c r="N480" t="s">
        <v>61</v>
      </c>
      <c r="O480" t="s">
        <v>368</v>
      </c>
      <c r="P480" t="s">
        <v>326</v>
      </c>
      <c r="Q480" t="s">
        <v>369</v>
      </c>
      <c r="R480" t="s">
        <v>370</v>
      </c>
      <c r="S480" t="s">
        <v>371</v>
      </c>
      <c r="T480" t="s">
        <v>372</v>
      </c>
      <c r="U480" s="10" t="s">
        <v>1061</v>
      </c>
      <c r="V480" s="10" t="s">
        <v>1081</v>
      </c>
      <c r="W480" s="10" t="s">
        <v>1066</v>
      </c>
      <c r="X480" s="10" t="s">
        <v>1068</v>
      </c>
      <c r="Y480" t="s">
        <v>39</v>
      </c>
      <c r="Z480" t="s">
        <v>40</v>
      </c>
      <c r="AA480" t="s">
        <v>63</v>
      </c>
    </row>
    <row r="481" spans="1:28" x14ac:dyDescent="0.8">
      <c r="A481">
        <v>405</v>
      </c>
      <c r="B481">
        <v>458</v>
      </c>
      <c r="C481" s="2">
        <v>44384</v>
      </c>
      <c r="D481" t="s">
        <v>242</v>
      </c>
      <c r="E481" t="s">
        <v>25</v>
      </c>
      <c r="F481" t="s">
        <v>26</v>
      </c>
      <c r="G481" t="s">
        <v>45</v>
      </c>
      <c r="H481" t="s">
        <v>46</v>
      </c>
      <c r="I481" t="s">
        <v>47</v>
      </c>
      <c r="J481" t="s">
        <v>48</v>
      </c>
      <c r="K481" t="s">
        <v>141</v>
      </c>
      <c r="L481" t="s">
        <v>142</v>
      </c>
      <c r="M481" t="s">
        <v>143</v>
      </c>
      <c r="N481" t="s">
        <v>61</v>
      </c>
      <c r="O481" t="s">
        <v>368</v>
      </c>
      <c r="P481" t="s">
        <v>326</v>
      </c>
      <c r="Q481" t="s">
        <v>369</v>
      </c>
      <c r="R481" t="s">
        <v>370</v>
      </c>
      <c r="S481" t="s">
        <v>371</v>
      </c>
      <c r="T481" t="s">
        <v>372</v>
      </c>
      <c r="U481" s="10" t="s">
        <v>1061</v>
      </c>
      <c r="V481" s="10" t="s">
        <v>1081</v>
      </c>
      <c r="W481" s="10" t="s">
        <v>1066</v>
      </c>
      <c r="X481" s="10" t="s">
        <v>1068</v>
      </c>
      <c r="Y481" t="s">
        <v>140</v>
      </c>
      <c r="Z481" t="s">
        <v>40</v>
      </c>
      <c r="AA481" t="s">
        <v>53</v>
      </c>
    </row>
    <row r="482" spans="1:28" x14ac:dyDescent="0.8">
      <c r="A482">
        <v>856</v>
      </c>
      <c r="B482">
        <v>936</v>
      </c>
      <c r="C482" s="2">
        <v>44388</v>
      </c>
      <c r="D482" t="s">
        <v>189</v>
      </c>
      <c r="E482" t="s">
        <v>53</v>
      </c>
      <c r="F482" t="s">
        <v>26</v>
      </c>
      <c r="G482" t="s">
        <v>45</v>
      </c>
      <c r="H482" t="s">
        <v>155</v>
      </c>
      <c r="I482" t="s">
        <v>69</v>
      </c>
      <c r="J482" t="s">
        <v>156</v>
      </c>
      <c r="K482" t="s">
        <v>157</v>
      </c>
      <c r="L482" t="s">
        <v>232</v>
      </c>
      <c r="M482" t="s">
        <v>233</v>
      </c>
      <c r="N482" t="s">
        <v>61</v>
      </c>
      <c r="O482" t="s">
        <v>523</v>
      </c>
      <c r="P482" t="s">
        <v>34</v>
      </c>
      <c r="Q482" t="s">
        <v>524</v>
      </c>
      <c r="R482" t="s">
        <v>525</v>
      </c>
      <c r="S482" t="s">
        <v>131</v>
      </c>
      <c r="T482" t="s">
        <v>526</v>
      </c>
      <c r="U482" s="10" t="s">
        <v>1061</v>
      </c>
      <c r="V482" s="10" t="s">
        <v>1081</v>
      </c>
      <c r="W482" s="10" t="s">
        <v>1141</v>
      </c>
      <c r="X482" s="10" t="s">
        <v>1068</v>
      </c>
      <c r="Y482" t="s">
        <v>39</v>
      </c>
      <c r="Z482" t="s">
        <v>40</v>
      </c>
      <c r="AA482" t="s">
        <v>63</v>
      </c>
    </row>
    <row r="483" spans="1:28" x14ac:dyDescent="0.8">
      <c r="A483">
        <v>861</v>
      </c>
      <c r="B483">
        <v>941</v>
      </c>
      <c r="C483" s="2">
        <v>44388</v>
      </c>
      <c r="D483" t="s">
        <v>189</v>
      </c>
      <c r="E483" t="s">
        <v>53</v>
      </c>
      <c r="F483" t="s">
        <v>26</v>
      </c>
      <c r="G483" t="s">
        <v>45</v>
      </c>
      <c r="H483" t="s">
        <v>155</v>
      </c>
      <c r="I483" t="s">
        <v>69</v>
      </c>
      <c r="J483" t="s">
        <v>156</v>
      </c>
      <c r="K483" t="s">
        <v>157</v>
      </c>
      <c r="L483" t="s">
        <v>158</v>
      </c>
      <c r="M483" t="s">
        <v>159</v>
      </c>
      <c r="N483" t="s">
        <v>52</v>
      </c>
      <c r="O483" t="s">
        <v>523</v>
      </c>
      <c r="P483" t="s">
        <v>34</v>
      </c>
      <c r="Q483" t="s">
        <v>524</v>
      </c>
      <c r="R483" t="s">
        <v>525</v>
      </c>
      <c r="S483" t="s">
        <v>131</v>
      </c>
      <c r="T483" t="s">
        <v>526</v>
      </c>
      <c r="U483" s="10" t="s">
        <v>1061</v>
      </c>
      <c r="V483" s="10" t="s">
        <v>1081</v>
      </c>
      <c r="W483" s="10" t="s">
        <v>1141</v>
      </c>
      <c r="X483" s="10" t="s">
        <v>1068</v>
      </c>
      <c r="Y483" t="s">
        <v>39</v>
      </c>
      <c r="Z483" t="s">
        <v>40</v>
      </c>
      <c r="AA483" t="s">
        <v>63</v>
      </c>
    </row>
    <row r="484" spans="1:28" x14ac:dyDescent="0.8">
      <c r="A484">
        <v>875</v>
      </c>
      <c r="B484">
        <v>955</v>
      </c>
      <c r="C484" s="2">
        <v>44388</v>
      </c>
      <c r="D484" t="s">
        <v>189</v>
      </c>
      <c r="E484" t="s">
        <v>63</v>
      </c>
      <c r="F484" t="s">
        <v>26</v>
      </c>
      <c r="G484" t="s">
        <v>45</v>
      </c>
      <c r="H484" t="s">
        <v>155</v>
      </c>
      <c r="I484" t="s">
        <v>69</v>
      </c>
      <c r="J484" t="s">
        <v>156</v>
      </c>
      <c r="K484" t="s">
        <v>157</v>
      </c>
      <c r="L484" t="s">
        <v>158</v>
      </c>
      <c r="M484" t="s">
        <v>159</v>
      </c>
      <c r="N484" t="s">
        <v>52</v>
      </c>
      <c r="O484" t="s">
        <v>527</v>
      </c>
      <c r="P484" t="s">
        <v>34</v>
      </c>
      <c r="Q484" t="s">
        <v>524</v>
      </c>
      <c r="R484" t="s">
        <v>525</v>
      </c>
      <c r="S484" t="s">
        <v>131</v>
      </c>
      <c r="T484" t="s">
        <v>526</v>
      </c>
      <c r="U484" s="10" t="s">
        <v>1061</v>
      </c>
      <c r="V484" s="10" t="s">
        <v>1081</v>
      </c>
      <c r="W484" s="10" t="s">
        <v>1141</v>
      </c>
      <c r="X484" s="10" t="s">
        <v>1068</v>
      </c>
      <c r="Y484" t="s">
        <v>39</v>
      </c>
      <c r="Z484" t="s">
        <v>40</v>
      </c>
      <c r="AA484" t="s">
        <v>63</v>
      </c>
    </row>
    <row r="485" spans="1:28" x14ac:dyDescent="0.8">
      <c r="A485">
        <v>682</v>
      </c>
      <c r="B485">
        <v>1067</v>
      </c>
      <c r="C485" s="2">
        <v>44385</v>
      </c>
      <c r="D485" t="s">
        <v>133</v>
      </c>
      <c r="E485" t="s">
        <v>25</v>
      </c>
      <c r="F485" t="s">
        <v>26</v>
      </c>
      <c r="G485" t="s">
        <v>45</v>
      </c>
      <c r="H485" t="s">
        <v>68</v>
      </c>
      <c r="I485" t="s">
        <v>69</v>
      </c>
      <c r="J485" t="s">
        <v>70</v>
      </c>
      <c r="K485" t="s">
        <v>71</v>
      </c>
      <c r="L485" t="s">
        <v>72</v>
      </c>
      <c r="M485" t="s">
        <v>73</v>
      </c>
      <c r="N485" t="s">
        <v>61</v>
      </c>
      <c r="O485" t="s">
        <v>528</v>
      </c>
      <c r="P485" t="s">
        <v>34</v>
      </c>
      <c r="Q485" t="s">
        <v>524</v>
      </c>
      <c r="R485" t="s">
        <v>525</v>
      </c>
      <c r="S485" t="s">
        <v>131</v>
      </c>
      <c r="T485" t="s">
        <v>526</v>
      </c>
      <c r="U485" s="10" t="s">
        <v>1061</v>
      </c>
      <c r="V485" s="10" t="s">
        <v>1081</v>
      </c>
      <c r="W485" s="10" t="s">
        <v>1141</v>
      </c>
      <c r="X485" s="10" t="s">
        <v>1068</v>
      </c>
      <c r="Y485" t="s">
        <v>39</v>
      </c>
      <c r="Z485" t="s">
        <v>62</v>
      </c>
      <c r="AA485" t="s">
        <v>63</v>
      </c>
    </row>
    <row r="486" spans="1:28" x14ac:dyDescent="0.8">
      <c r="A486">
        <v>604</v>
      </c>
      <c r="B486">
        <v>703</v>
      </c>
      <c r="C486" s="2">
        <v>44384</v>
      </c>
      <c r="D486" t="s">
        <v>24</v>
      </c>
      <c r="E486" t="s">
        <v>125</v>
      </c>
      <c r="F486" t="s">
        <v>26</v>
      </c>
      <c r="G486" t="s">
        <v>94</v>
      </c>
      <c r="H486" t="s">
        <v>95</v>
      </c>
      <c r="I486" t="s">
        <v>96</v>
      </c>
      <c r="J486" t="s">
        <v>97</v>
      </c>
      <c r="K486" t="s">
        <v>98</v>
      </c>
      <c r="L486" t="s">
        <v>99</v>
      </c>
      <c r="M486" t="s">
        <v>100</v>
      </c>
      <c r="N486" t="s">
        <v>263</v>
      </c>
      <c r="O486" t="s">
        <v>651</v>
      </c>
      <c r="P486" t="s">
        <v>34</v>
      </c>
      <c r="Q486" t="s">
        <v>359</v>
      </c>
      <c r="R486" t="s">
        <v>652</v>
      </c>
      <c r="S486" t="s">
        <v>653</v>
      </c>
      <c r="T486" t="s">
        <v>654</v>
      </c>
      <c r="U486" s="10" t="s">
        <v>1061</v>
      </c>
      <c r="V486" s="10" t="s">
        <v>1065</v>
      </c>
      <c r="W486" s="10" t="s">
        <v>1065</v>
      </c>
      <c r="X486" s="10" t="s">
        <v>1080</v>
      </c>
      <c r="Y486" t="s">
        <v>39</v>
      </c>
      <c r="Z486" t="s">
        <v>40</v>
      </c>
      <c r="AA486" t="s">
        <v>63</v>
      </c>
    </row>
    <row r="487" spans="1:28" x14ac:dyDescent="0.8">
      <c r="A487">
        <v>848</v>
      </c>
      <c r="B487">
        <v>86</v>
      </c>
      <c r="C487" s="2">
        <v>44388</v>
      </c>
      <c r="D487" t="s">
        <v>189</v>
      </c>
      <c r="E487" t="s">
        <v>25</v>
      </c>
      <c r="F487" t="s">
        <v>26</v>
      </c>
      <c r="G487" t="s">
        <v>45</v>
      </c>
      <c r="H487" t="s">
        <v>68</v>
      </c>
      <c r="I487" t="s">
        <v>69</v>
      </c>
      <c r="J487" t="s">
        <v>70</v>
      </c>
      <c r="K487" t="s">
        <v>71</v>
      </c>
      <c r="L487" t="s">
        <v>72</v>
      </c>
      <c r="M487" t="s">
        <v>73</v>
      </c>
      <c r="N487" t="s">
        <v>61</v>
      </c>
      <c r="O487" t="s">
        <v>925</v>
      </c>
      <c r="P487" t="s">
        <v>34</v>
      </c>
      <c r="Q487" t="s">
        <v>359</v>
      </c>
      <c r="R487" t="s">
        <v>911</v>
      </c>
      <c r="S487" t="s">
        <v>926</v>
      </c>
      <c r="T487" t="s">
        <v>927</v>
      </c>
      <c r="U487" s="10" t="s">
        <v>1061</v>
      </c>
      <c r="V487" s="10" t="s">
        <v>1065</v>
      </c>
      <c r="W487" s="10" t="s">
        <v>1065</v>
      </c>
      <c r="X487" s="10" t="s">
        <v>1080</v>
      </c>
      <c r="Y487" t="s">
        <v>140</v>
      </c>
      <c r="Z487" t="s">
        <v>40</v>
      </c>
      <c r="AA487" t="s">
        <v>63</v>
      </c>
    </row>
    <row r="488" spans="1:28" x14ac:dyDescent="0.8">
      <c r="A488">
        <v>877</v>
      </c>
      <c r="B488">
        <v>957</v>
      </c>
      <c r="C488" s="2">
        <v>44388</v>
      </c>
      <c r="D488" t="s">
        <v>189</v>
      </c>
      <c r="E488" t="s">
        <v>25</v>
      </c>
      <c r="F488" t="s">
        <v>26</v>
      </c>
      <c r="G488" t="s">
        <v>45</v>
      </c>
      <c r="H488" t="s">
        <v>79</v>
      </c>
      <c r="I488" t="s">
        <v>69</v>
      </c>
      <c r="J488" t="s">
        <v>80</v>
      </c>
      <c r="K488" t="s">
        <v>81</v>
      </c>
      <c r="L488" t="s">
        <v>638</v>
      </c>
      <c r="M488" t="s">
        <v>639</v>
      </c>
      <c r="N488" t="s">
        <v>61</v>
      </c>
      <c r="O488" t="s">
        <v>925</v>
      </c>
      <c r="P488" t="s">
        <v>34</v>
      </c>
      <c r="Q488" t="s">
        <v>359</v>
      </c>
      <c r="R488" t="s">
        <v>911</v>
      </c>
      <c r="S488" t="s">
        <v>926</v>
      </c>
      <c r="T488" t="s">
        <v>927</v>
      </c>
      <c r="U488" s="10" t="s">
        <v>1061</v>
      </c>
      <c r="V488" s="10" t="s">
        <v>1065</v>
      </c>
      <c r="W488" s="10" t="s">
        <v>1065</v>
      </c>
      <c r="X488" s="10" t="s">
        <v>1080</v>
      </c>
      <c r="Y488" t="s">
        <v>39</v>
      </c>
      <c r="Z488" t="s">
        <v>40</v>
      </c>
      <c r="AA488" t="s">
        <v>63</v>
      </c>
    </row>
    <row r="489" spans="1:28" x14ac:dyDescent="0.8">
      <c r="A489">
        <v>1057</v>
      </c>
      <c r="B489">
        <v>1461</v>
      </c>
      <c r="C489" s="2">
        <v>44387</v>
      </c>
      <c r="D489" t="s">
        <v>54</v>
      </c>
      <c r="E489" t="s">
        <v>63</v>
      </c>
      <c r="F489" t="s">
        <v>26</v>
      </c>
      <c r="G489" t="s">
        <v>45</v>
      </c>
      <c r="H489" t="s">
        <v>155</v>
      </c>
      <c r="I489" t="s">
        <v>69</v>
      </c>
      <c r="J489" t="s">
        <v>156</v>
      </c>
      <c r="K489" t="s">
        <v>157</v>
      </c>
      <c r="L489" t="s">
        <v>158</v>
      </c>
      <c r="M489" t="s">
        <v>159</v>
      </c>
      <c r="N489" t="s">
        <v>52</v>
      </c>
      <c r="O489" t="s">
        <v>272</v>
      </c>
      <c r="P489" t="s">
        <v>34</v>
      </c>
      <c r="Q489" t="s">
        <v>273</v>
      </c>
      <c r="R489" t="s">
        <v>274</v>
      </c>
      <c r="S489" t="s">
        <v>275</v>
      </c>
      <c r="T489" t="s">
        <v>276</v>
      </c>
      <c r="U489" s="10" t="s">
        <v>1061</v>
      </c>
      <c r="V489" s="10" t="s">
        <v>1065</v>
      </c>
      <c r="W489" s="10" t="s">
        <v>1065</v>
      </c>
      <c r="X489" s="10" t="s">
        <v>1068</v>
      </c>
      <c r="Y489" t="s">
        <v>39</v>
      </c>
      <c r="Z489" t="s">
        <v>40</v>
      </c>
      <c r="AA489" t="s">
        <v>63</v>
      </c>
    </row>
    <row r="490" spans="1:28" x14ac:dyDescent="0.8">
      <c r="A490">
        <v>1052</v>
      </c>
      <c r="B490">
        <v>1456</v>
      </c>
      <c r="C490" s="2">
        <v>44387</v>
      </c>
      <c r="D490" t="s">
        <v>54</v>
      </c>
      <c r="E490" t="s">
        <v>63</v>
      </c>
      <c r="F490" t="s">
        <v>26</v>
      </c>
      <c r="G490" t="s">
        <v>45</v>
      </c>
      <c r="H490" t="s">
        <v>155</v>
      </c>
      <c r="I490" t="s">
        <v>69</v>
      </c>
      <c r="J490" t="s">
        <v>156</v>
      </c>
      <c r="K490" t="s">
        <v>157</v>
      </c>
      <c r="L490" t="s">
        <v>158</v>
      </c>
      <c r="M490" t="s">
        <v>159</v>
      </c>
      <c r="N490" t="s">
        <v>61</v>
      </c>
      <c r="O490" t="s">
        <v>272</v>
      </c>
      <c r="P490" t="s">
        <v>34</v>
      </c>
      <c r="Q490" t="s">
        <v>273</v>
      </c>
      <c r="R490" t="s">
        <v>274</v>
      </c>
      <c r="S490" t="s">
        <v>275</v>
      </c>
      <c r="T490" t="s">
        <v>276</v>
      </c>
      <c r="U490" s="10" t="s">
        <v>1061</v>
      </c>
      <c r="V490" s="10" t="s">
        <v>1065</v>
      </c>
      <c r="W490" s="10" t="s">
        <v>1065</v>
      </c>
      <c r="X490" s="10" t="s">
        <v>1068</v>
      </c>
      <c r="Y490" t="s">
        <v>39</v>
      </c>
      <c r="Z490" t="s">
        <v>40</v>
      </c>
      <c r="AA490" t="s">
        <v>63</v>
      </c>
    </row>
    <row r="491" spans="1:28" x14ac:dyDescent="0.8">
      <c r="A491">
        <v>1077</v>
      </c>
      <c r="B491">
        <v>1052</v>
      </c>
      <c r="C491" s="2">
        <v>44387</v>
      </c>
      <c r="D491" t="s">
        <v>54</v>
      </c>
      <c r="E491" t="s">
        <v>63</v>
      </c>
      <c r="F491" t="s">
        <v>26</v>
      </c>
      <c r="G491" t="s">
        <v>45</v>
      </c>
      <c r="H491" t="s">
        <v>55</v>
      </c>
      <c r="I491" t="s">
        <v>56</v>
      </c>
      <c r="J491" t="s">
        <v>57</v>
      </c>
      <c r="K491" t="s">
        <v>58</v>
      </c>
      <c r="L491" t="s">
        <v>65</v>
      </c>
      <c r="M491" t="s">
        <v>66</v>
      </c>
      <c r="N491" t="s">
        <v>52</v>
      </c>
      <c r="O491" t="s">
        <v>272</v>
      </c>
      <c r="P491" t="s">
        <v>34</v>
      </c>
      <c r="Q491" t="s">
        <v>273</v>
      </c>
      <c r="R491" t="s">
        <v>274</v>
      </c>
      <c r="S491" t="s">
        <v>275</v>
      </c>
      <c r="T491" t="s">
        <v>276</v>
      </c>
      <c r="U491" s="10" t="s">
        <v>1061</v>
      </c>
      <c r="V491" s="10" t="s">
        <v>1065</v>
      </c>
      <c r="W491" s="10" t="s">
        <v>1065</v>
      </c>
      <c r="X491" s="10" t="s">
        <v>1068</v>
      </c>
      <c r="Y491" t="s">
        <v>39</v>
      </c>
      <c r="Z491" t="s">
        <v>40</v>
      </c>
      <c r="AA491" t="s">
        <v>63</v>
      </c>
      <c r="AB491" t="s">
        <v>277</v>
      </c>
    </row>
    <row r="492" spans="1:28" x14ac:dyDescent="0.8">
      <c r="A492">
        <v>1076</v>
      </c>
      <c r="B492">
        <v>1051</v>
      </c>
      <c r="C492" s="2">
        <v>44387</v>
      </c>
      <c r="D492" t="s">
        <v>54</v>
      </c>
      <c r="E492" t="s">
        <v>63</v>
      </c>
      <c r="F492" t="s">
        <v>26</v>
      </c>
      <c r="G492" t="s">
        <v>45</v>
      </c>
      <c r="H492" t="s">
        <v>55</v>
      </c>
      <c r="I492" t="s">
        <v>56</v>
      </c>
      <c r="J492" t="s">
        <v>57</v>
      </c>
      <c r="K492" t="s">
        <v>58</v>
      </c>
      <c r="L492" t="s">
        <v>65</v>
      </c>
      <c r="M492" t="s">
        <v>66</v>
      </c>
      <c r="N492" t="s">
        <v>52</v>
      </c>
      <c r="O492" t="s">
        <v>272</v>
      </c>
      <c r="P492" t="s">
        <v>34</v>
      </c>
      <c r="Q492" t="s">
        <v>273</v>
      </c>
      <c r="R492" t="s">
        <v>274</v>
      </c>
      <c r="S492" t="s">
        <v>275</v>
      </c>
      <c r="T492" t="s">
        <v>276</v>
      </c>
      <c r="U492" s="10" t="s">
        <v>1061</v>
      </c>
      <c r="V492" s="10" t="s">
        <v>1065</v>
      </c>
      <c r="W492" s="10" t="s">
        <v>1065</v>
      </c>
      <c r="X492" s="10" t="s">
        <v>1068</v>
      </c>
      <c r="Y492" t="s">
        <v>39</v>
      </c>
      <c r="Z492" t="s">
        <v>40</v>
      </c>
      <c r="AA492" t="s">
        <v>63</v>
      </c>
      <c r="AB492" t="s">
        <v>277</v>
      </c>
    </row>
    <row r="493" spans="1:28" x14ac:dyDescent="0.8">
      <c r="A493">
        <v>1091</v>
      </c>
      <c r="B493">
        <v>1191</v>
      </c>
      <c r="C493" s="2">
        <v>44387</v>
      </c>
      <c r="D493" t="s">
        <v>54</v>
      </c>
      <c r="E493" t="s">
        <v>25</v>
      </c>
      <c r="F493" t="s">
        <v>26</v>
      </c>
      <c r="G493" t="s">
        <v>45</v>
      </c>
      <c r="H493" t="s">
        <v>55</v>
      </c>
      <c r="I493" t="s">
        <v>56</v>
      </c>
      <c r="J493" t="s">
        <v>57</v>
      </c>
      <c r="K493" t="s">
        <v>58</v>
      </c>
      <c r="L493" t="s">
        <v>65</v>
      </c>
      <c r="M493" t="s">
        <v>66</v>
      </c>
      <c r="N493" t="s">
        <v>52</v>
      </c>
      <c r="O493" t="s">
        <v>272</v>
      </c>
      <c r="P493" t="s">
        <v>34</v>
      </c>
      <c r="Q493" t="s">
        <v>273</v>
      </c>
      <c r="R493" t="s">
        <v>274</v>
      </c>
      <c r="S493" t="s">
        <v>275</v>
      </c>
      <c r="T493" t="s">
        <v>276</v>
      </c>
      <c r="U493" s="10" t="s">
        <v>1061</v>
      </c>
      <c r="V493" s="10" t="s">
        <v>1065</v>
      </c>
      <c r="W493" s="10" t="s">
        <v>1065</v>
      </c>
      <c r="X493" s="10" t="s">
        <v>1068</v>
      </c>
      <c r="Y493" t="s">
        <v>39</v>
      </c>
      <c r="Z493" t="s">
        <v>40</v>
      </c>
      <c r="AA493" t="s">
        <v>63</v>
      </c>
    </row>
    <row r="494" spans="1:28" x14ac:dyDescent="0.8">
      <c r="A494">
        <v>1069</v>
      </c>
      <c r="B494">
        <v>967</v>
      </c>
      <c r="C494" s="2">
        <v>44387</v>
      </c>
      <c r="D494" t="s">
        <v>54</v>
      </c>
      <c r="E494" t="s">
        <v>25</v>
      </c>
      <c r="F494" t="s">
        <v>26</v>
      </c>
      <c r="G494" t="s">
        <v>45</v>
      </c>
      <c r="H494" t="s">
        <v>55</v>
      </c>
      <c r="I494" t="s">
        <v>56</v>
      </c>
      <c r="J494" t="s">
        <v>57</v>
      </c>
      <c r="K494" t="s">
        <v>58</v>
      </c>
      <c r="L494" t="s">
        <v>171</v>
      </c>
      <c r="M494" t="s">
        <v>172</v>
      </c>
      <c r="N494" t="s">
        <v>52</v>
      </c>
      <c r="O494" t="s">
        <v>272</v>
      </c>
      <c r="P494" t="s">
        <v>34</v>
      </c>
      <c r="Q494" t="s">
        <v>273</v>
      </c>
      <c r="R494" t="s">
        <v>274</v>
      </c>
      <c r="S494" t="s">
        <v>275</v>
      </c>
      <c r="T494" t="s">
        <v>276</v>
      </c>
      <c r="U494" s="10" t="s">
        <v>1061</v>
      </c>
      <c r="V494" s="10" t="s">
        <v>1065</v>
      </c>
      <c r="W494" s="10" t="s">
        <v>1065</v>
      </c>
      <c r="X494" s="10" t="s">
        <v>1068</v>
      </c>
      <c r="Y494" t="s">
        <v>39</v>
      </c>
      <c r="Z494" t="s">
        <v>40</v>
      </c>
      <c r="AA494" t="s">
        <v>63</v>
      </c>
    </row>
    <row r="495" spans="1:28" x14ac:dyDescent="0.8">
      <c r="A495">
        <v>1055</v>
      </c>
      <c r="B495">
        <v>1459</v>
      </c>
      <c r="C495" s="2">
        <v>44387</v>
      </c>
      <c r="D495" t="s">
        <v>54</v>
      </c>
      <c r="E495" t="s">
        <v>63</v>
      </c>
      <c r="F495" t="s">
        <v>26</v>
      </c>
      <c r="G495" t="s">
        <v>94</v>
      </c>
      <c r="H495" t="s">
        <v>95</v>
      </c>
      <c r="I495" t="s">
        <v>96</v>
      </c>
      <c r="J495" t="s">
        <v>97</v>
      </c>
      <c r="K495" t="s">
        <v>98</v>
      </c>
      <c r="L495" t="s">
        <v>99</v>
      </c>
      <c r="M495" t="s">
        <v>100</v>
      </c>
      <c r="N495" t="s">
        <v>101</v>
      </c>
      <c r="O495" t="s">
        <v>272</v>
      </c>
      <c r="P495" t="s">
        <v>34</v>
      </c>
      <c r="Q495" t="s">
        <v>273</v>
      </c>
      <c r="R495" t="s">
        <v>274</v>
      </c>
      <c r="S495" t="s">
        <v>275</v>
      </c>
      <c r="T495" t="s">
        <v>276</v>
      </c>
      <c r="U495" s="10" t="s">
        <v>1061</v>
      </c>
      <c r="V495" s="10" t="s">
        <v>1065</v>
      </c>
      <c r="W495" s="10" t="s">
        <v>1065</v>
      </c>
      <c r="X495" s="10" t="s">
        <v>1068</v>
      </c>
      <c r="Y495" t="s">
        <v>39</v>
      </c>
      <c r="Z495" t="s">
        <v>40</v>
      </c>
      <c r="AA495" t="s">
        <v>63</v>
      </c>
    </row>
    <row r="496" spans="1:28" x14ac:dyDescent="0.8">
      <c r="A496">
        <v>1053</v>
      </c>
      <c r="B496">
        <v>1457</v>
      </c>
      <c r="C496" s="2">
        <v>44387</v>
      </c>
      <c r="D496" t="s">
        <v>54</v>
      </c>
      <c r="E496" t="s">
        <v>63</v>
      </c>
      <c r="F496" t="s">
        <v>26</v>
      </c>
      <c r="G496" t="s">
        <v>94</v>
      </c>
      <c r="H496" t="s">
        <v>95</v>
      </c>
      <c r="I496" t="s">
        <v>236</v>
      </c>
      <c r="J496" t="s">
        <v>237</v>
      </c>
      <c r="K496" t="s">
        <v>238</v>
      </c>
      <c r="L496" t="s">
        <v>239</v>
      </c>
      <c r="M496" t="s">
        <v>240</v>
      </c>
      <c r="N496" t="s">
        <v>101</v>
      </c>
      <c r="O496" t="s">
        <v>272</v>
      </c>
      <c r="P496" t="s">
        <v>34</v>
      </c>
      <c r="Q496" t="s">
        <v>273</v>
      </c>
      <c r="R496" t="s">
        <v>274</v>
      </c>
      <c r="S496" t="s">
        <v>275</v>
      </c>
      <c r="T496" t="s">
        <v>276</v>
      </c>
      <c r="U496" s="10" t="s">
        <v>1061</v>
      </c>
      <c r="V496" s="10" t="s">
        <v>1065</v>
      </c>
      <c r="W496" s="10" t="s">
        <v>1065</v>
      </c>
      <c r="X496" s="10" t="s">
        <v>1068</v>
      </c>
      <c r="Y496" t="s">
        <v>39</v>
      </c>
      <c r="Z496" t="s">
        <v>40</v>
      </c>
      <c r="AA496" t="s">
        <v>63</v>
      </c>
    </row>
    <row r="497" spans="1:28" x14ac:dyDescent="0.8">
      <c r="A497">
        <v>827</v>
      </c>
      <c r="B497">
        <v>1404</v>
      </c>
      <c r="C497" s="2">
        <v>44387</v>
      </c>
      <c r="D497" t="s">
        <v>149</v>
      </c>
      <c r="E497" t="s">
        <v>63</v>
      </c>
      <c r="F497" t="s">
        <v>26</v>
      </c>
      <c r="G497" t="s">
        <v>45</v>
      </c>
      <c r="H497" t="s">
        <v>68</v>
      </c>
      <c r="I497" t="s">
        <v>69</v>
      </c>
      <c r="J497" t="s">
        <v>70</v>
      </c>
      <c r="K497" t="s">
        <v>71</v>
      </c>
      <c r="L497" t="s">
        <v>72</v>
      </c>
      <c r="M497" t="s">
        <v>73</v>
      </c>
      <c r="N497" t="s">
        <v>61</v>
      </c>
      <c r="O497" t="s">
        <v>336</v>
      </c>
      <c r="P497" t="s">
        <v>326</v>
      </c>
      <c r="Q497" t="s">
        <v>35</v>
      </c>
      <c r="R497" t="s">
        <v>333</v>
      </c>
      <c r="S497" t="s">
        <v>337</v>
      </c>
      <c r="T497" t="s">
        <v>338</v>
      </c>
      <c r="U497" s="10" t="s">
        <v>1061</v>
      </c>
      <c r="V497" s="10" t="s">
        <v>1065</v>
      </c>
      <c r="W497" s="10" t="s">
        <v>1065</v>
      </c>
      <c r="X497" s="10" t="s">
        <v>1068</v>
      </c>
      <c r="Y497" t="s">
        <v>39</v>
      </c>
      <c r="Z497" t="s">
        <v>40</v>
      </c>
      <c r="AA497" t="s">
        <v>63</v>
      </c>
      <c r="AB497" t="s">
        <v>339</v>
      </c>
    </row>
    <row r="498" spans="1:28" x14ac:dyDescent="0.8">
      <c r="A498">
        <v>787</v>
      </c>
      <c r="B498">
        <v>1316</v>
      </c>
      <c r="C498" s="2">
        <v>44387</v>
      </c>
      <c r="D498" t="s">
        <v>149</v>
      </c>
      <c r="E498" t="s">
        <v>63</v>
      </c>
      <c r="F498" t="s">
        <v>26</v>
      </c>
      <c r="G498" t="s">
        <v>45</v>
      </c>
      <c r="H498" t="s">
        <v>68</v>
      </c>
      <c r="I498" t="s">
        <v>69</v>
      </c>
      <c r="J498" t="s">
        <v>70</v>
      </c>
      <c r="K498" t="s">
        <v>71</v>
      </c>
      <c r="L498" t="s">
        <v>72</v>
      </c>
      <c r="M498" t="s">
        <v>73</v>
      </c>
      <c r="N498" t="s">
        <v>61</v>
      </c>
      <c r="O498" t="s">
        <v>336</v>
      </c>
      <c r="P498" t="s">
        <v>326</v>
      </c>
      <c r="Q498" t="s">
        <v>35</v>
      </c>
      <c r="R498" t="s">
        <v>333</v>
      </c>
      <c r="S498" t="s">
        <v>337</v>
      </c>
      <c r="T498" t="s">
        <v>338</v>
      </c>
      <c r="U498" s="10" t="s">
        <v>1061</v>
      </c>
      <c r="V498" s="10" t="s">
        <v>1065</v>
      </c>
      <c r="W498" s="10" t="s">
        <v>1065</v>
      </c>
      <c r="X498" s="10" t="s">
        <v>1068</v>
      </c>
      <c r="Y498" t="s">
        <v>140</v>
      </c>
      <c r="Z498" t="s">
        <v>40</v>
      </c>
      <c r="AA498" t="s">
        <v>63</v>
      </c>
    </row>
    <row r="499" spans="1:28" x14ac:dyDescent="0.8">
      <c r="A499">
        <v>826</v>
      </c>
      <c r="B499">
        <v>1403</v>
      </c>
      <c r="C499" s="2">
        <v>44387</v>
      </c>
      <c r="D499" t="s">
        <v>149</v>
      </c>
      <c r="E499" t="s">
        <v>63</v>
      </c>
      <c r="F499" t="s">
        <v>26</v>
      </c>
      <c r="G499" t="s">
        <v>45</v>
      </c>
      <c r="H499" t="s">
        <v>155</v>
      </c>
      <c r="I499" t="s">
        <v>69</v>
      </c>
      <c r="J499" t="s">
        <v>156</v>
      </c>
      <c r="K499" t="s">
        <v>157</v>
      </c>
      <c r="L499" t="s">
        <v>158</v>
      </c>
      <c r="M499" t="s">
        <v>159</v>
      </c>
      <c r="N499" t="s">
        <v>52</v>
      </c>
      <c r="O499" t="s">
        <v>336</v>
      </c>
      <c r="P499" t="s">
        <v>326</v>
      </c>
      <c r="Q499" t="s">
        <v>35</v>
      </c>
      <c r="R499" t="s">
        <v>333</v>
      </c>
      <c r="S499" t="s">
        <v>337</v>
      </c>
      <c r="T499" t="s">
        <v>338</v>
      </c>
      <c r="U499" s="10" t="s">
        <v>1061</v>
      </c>
      <c r="V499" s="10" t="s">
        <v>1065</v>
      </c>
      <c r="W499" s="10" t="s">
        <v>1065</v>
      </c>
      <c r="X499" s="10" t="s">
        <v>1068</v>
      </c>
      <c r="Y499" t="s">
        <v>39</v>
      </c>
      <c r="Z499" t="s">
        <v>40</v>
      </c>
      <c r="AA499" t="s">
        <v>63</v>
      </c>
      <c r="AB499" t="s">
        <v>339</v>
      </c>
    </row>
    <row r="500" spans="1:28" x14ac:dyDescent="0.8">
      <c r="A500">
        <v>782</v>
      </c>
      <c r="B500">
        <v>1311</v>
      </c>
      <c r="C500" s="2">
        <v>44387</v>
      </c>
      <c r="D500" t="s">
        <v>149</v>
      </c>
      <c r="E500" t="s">
        <v>63</v>
      </c>
      <c r="F500" t="s">
        <v>26</v>
      </c>
      <c r="G500" t="s">
        <v>45</v>
      </c>
      <c r="H500" t="s">
        <v>155</v>
      </c>
      <c r="I500" t="s">
        <v>69</v>
      </c>
      <c r="J500" t="s">
        <v>156</v>
      </c>
      <c r="K500" t="s">
        <v>157</v>
      </c>
      <c r="L500" t="s">
        <v>158</v>
      </c>
      <c r="M500" t="s">
        <v>159</v>
      </c>
      <c r="N500" t="s">
        <v>52</v>
      </c>
      <c r="O500" t="s">
        <v>336</v>
      </c>
      <c r="P500" t="s">
        <v>326</v>
      </c>
      <c r="Q500" t="s">
        <v>35</v>
      </c>
      <c r="R500" t="s">
        <v>333</v>
      </c>
      <c r="S500" t="s">
        <v>337</v>
      </c>
      <c r="T500" t="s">
        <v>338</v>
      </c>
      <c r="U500" s="10" t="s">
        <v>1061</v>
      </c>
      <c r="V500" s="10" t="s">
        <v>1065</v>
      </c>
      <c r="W500" s="10" t="s">
        <v>1065</v>
      </c>
      <c r="X500" s="10" t="s">
        <v>1068</v>
      </c>
      <c r="Y500" t="s">
        <v>140</v>
      </c>
      <c r="Z500" t="s">
        <v>40</v>
      </c>
      <c r="AA500" t="s">
        <v>63</v>
      </c>
    </row>
    <row r="501" spans="1:28" x14ac:dyDescent="0.8">
      <c r="A501">
        <v>1700</v>
      </c>
      <c r="B501">
        <v>550</v>
      </c>
      <c r="C501" s="2">
        <v>44388</v>
      </c>
      <c r="D501" t="s">
        <v>328</v>
      </c>
      <c r="E501" t="s">
        <v>25</v>
      </c>
      <c r="F501" t="s">
        <v>26</v>
      </c>
      <c r="G501" t="s">
        <v>45</v>
      </c>
      <c r="H501" t="s">
        <v>476</v>
      </c>
      <c r="I501" t="s">
        <v>69</v>
      </c>
      <c r="J501" t="s">
        <v>295</v>
      </c>
      <c r="K501" t="s">
        <v>477</v>
      </c>
      <c r="L501" t="s">
        <v>478</v>
      </c>
      <c r="M501" t="s">
        <v>479</v>
      </c>
      <c r="N501" t="s">
        <v>52</v>
      </c>
      <c r="O501" t="s">
        <v>625</v>
      </c>
      <c r="P501" t="s">
        <v>326</v>
      </c>
      <c r="Q501" t="s">
        <v>369</v>
      </c>
      <c r="R501" t="s">
        <v>626</v>
      </c>
      <c r="S501" t="s">
        <v>131</v>
      </c>
      <c r="T501" t="s">
        <v>627</v>
      </c>
      <c r="U501" s="10" t="s">
        <v>1061</v>
      </c>
      <c r="V501" s="10" t="s">
        <v>1065</v>
      </c>
      <c r="W501" s="10" t="s">
        <v>1065</v>
      </c>
      <c r="X501" s="10" t="s">
        <v>1068</v>
      </c>
      <c r="Y501" t="s">
        <v>39</v>
      </c>
      <c r="Z501" t="s">
        <v>40</v>
      </c>
      <c r="AA501" t="s">
        <v>41</v>
      </c>
      <c r="AB501" t="s">
        <v>628</v>
      </c>
    </row>
    <row r="502" spans="1:28" x14ac:dyDescent="0.8">
      <c r="A502">
        <v>1705</v>
      </c>
      <c r="B502">
        <v>555</v>
      </c>
      <c r="C502" s="2">
        <v>44388</v>
      </c>
      <c r="D502" t="s">
        <v>328</v>
      </c>
      <c r="E502" t="s">
        <v>53</v>
      </c>
      <c r="F502" t="s">
        <v>26</v>
      </c>
      <c r="G502" t="s">
        <v>45</v>
      </c>
      <c r="H502" t="s">
        <v>476</v>
      </c>
      <c r="I502" t="s">
        <v>69</v>
      </c>
      <c r="J502" t="s">
        <v>295</v>
      </c>
      <c r="K502" t="s">
        <v>477</v>
      </c>
      <c r="L502" t="s">
        <v>478</v>
      </c>
      <c r="M502" t="s">
        <v>479</v>
      </c>
      <c r="N502" t="s">
        <v>52</v>
      </c>
      <c r="O502" t="s">
        <v>625</v>
      </c>
      <c r="P502" t="s">
        <v>326</v>
      </c>
      <c r="Q502" t="s">
        <v>369</v>
      </c>
      <c r="R502" t="s">
        <v>626</v>
      </c>
      <c r="S502" t="s">
        <v>131</v>
      </c>
      <c r="T502" t="s">
        <v>627</v>
      </c>
      <c r="U502" s="10" t="s">
        <v>1061</v>
      </c>
      <c r="V502" s="10" t="s">
        <v>1065</v>
      </c>
      <c r="W502" s="10" t="s">
        <v>1065</v>
      </c>
      <c r="X502" s="10" t="s">
        <v>1068</v>
      </c>
      <c r="Y502" t="s">
        <v>39</v>
      </c>
      <c r="Z502" t="s">
        <v>40</v>
      </c>
      <c r="AA502" t="s">
        <v>41</v>
      </c>
    </row>
    <row r="503" spans="1:28" x14ac:dyDescent="0.8">
      <c r="A503">
        <v>1116</v>
      </c>
      <c r="B503">
        <v>1563</v>
      </c>
      <c r="C503" s="2">
        <v>44384</v>
      </c>
      <c r="D503" t="s">
        <v>384</v>
      </c>
      <c r="E503" t="s">
        <v>150</v>
      </c>
      <c r="F503" t="s">
        <v>26</v>
      </c>
      <c r="G503" t="s">
        <v>45</v>
      </c>
      <c r="H503" t="s">
        <v>68</v>
      </c>
      <c r="I503" t="s">
        <v>69</v>
      </c>
      <c r="J503" t="s">
        <v>70</v>
      </c>
      <c r="K503" t="s">
        <v>71</v>
      </c>
      <c r="L503" t="s">
        <v>72</v>
      </c>
      <c r="M503" t="s">
        <v>73</v>
      </c>
      <c r="N503" t="s">
        <v>61</v>
      </c>
      <c r="O503" t="s">
        <v>625</v>
      </c>
      <c r="P503" t="s">
        <v>326</v>
      </c>
      <c r="Q503" t="s">
        <v>369</v>
      </c>
      <c r="R503" t="s">
        <v>626</v>
      </c>
      <c r="S503" t="s">
        <v>131</v>
      </c>
      <c r="T503" t="s">
        <v>627</v>
      </c>
      <c r="U503" s="10" t="s">
        <v>1061</v>
      </c>
      <c r="V503" s="10" t="s">
        <v>1065</v>
      </c>
      <c r="W503" s="10" t="s">
        <v>1065</v>
      </c>
      <c r="X503" s="10" t="s">
        <v>1068</v>
      </c>
      <c r="Y503" t="s">
        <v>39</v>
      </c>
      <c r="Z503" t="s">
        <v>40</v>
      </c>
      <c r="AA503" t="s">
        <v>63</v>
      </c>
    </row>
    <row r="504" spans="1:28" x14ac:dyDescent="0.8">
      <c r="A504">
        <v>786</v>
      </c>
      <c r="B504">
        <v>1315</v>
      </c>
      <c r="C504" s="2">
        <v>44387</v>
      </c>
      <c r="D504" t="s">
        <v>149</v>
      </c>
      <c r="E504" t="s">
        <v>103</v>
      </c>
      <c r="F504" t="s">
        <v>26</v>
      </c>
      <c r="G504" t="s">
        <v>45</v>
      </c>
      <c r="H504" t="s">
        <v>68</v>
      </c>
      <c r="I504" t="s">
        <v>69</v>
      </c>
      <c r="J504" t="s">
        <v>70</v>
      </c>
      <c r="K504" t="s">
        <v>71</v>
      </c>
      <c r="L504" t="s">
        <v>72</v>
      </c>
      <c r="M504" t="s">
        <v>73</v>
      </c>
      <c r="N504" t="s">
        <v>61</v>
      </c>
      <c r="O504" t="s">
        <v>655</v>
      </c>
      <c r="P504" t="s">
        <v>34</v>
      </c>
      <c r="Q504" t="s">
        <v>136</v>
      </c>
      <c r="R504" t="s">
        <v>656</v>
      </c>
      <c r="S504" t="s">
        <v>657</v>
      </c>
      <c r="T504" t="s">
        <v>658</v>
      </c>
      <c r="U504" s="10" t="s">
        <v>1061</v>
      </c>
      <c r="V504" s="10" t="s">
        <v>1065</v>
      </c>
      <c r="W504" s="10" t="s">
        <v>1065</v>
      </c>
      <c r="X504" s="10" t="s">
        <v>1068</v>
      </c>
      <c r="Y504" t="s">
        <v>140</v>
      </c>
      <c r="Z504" t="s">
        <v>40</v>
      </c>
      <c r="AA504" t="s">
        <v>63</v>
      </c>
      <c r="AB504" t="s">
        <v>659</v>
      </c>
    </row>
    <row r="505" spans="1:28" x14ac:dyDescent="0.8">
      <c r="A505">
        <v>785</v>
      </c>
      <c r="B505">
        <v>1314</v>
      </c>
      <c r="C505" s="2">
        <v>44387</v>
      </c>
      <c r="D505" t="s">
        <v>149</v>
      </c>
      <c r="E505" t="s">
        <v>103</v>
      </c>
      <c r="F505" t="s">
        <v>26</v>
      </c>
      <c r="G505" t="s">
        <v>45</v>
      </c>
      <c r="H505" t="s">
        <v>68</v>
      </c>
      <c r="I505" t="s">
        <v>69</v>
      </c>
      <c r="J505" t="s">
        <v>70</v>
      </c>
      <c r="K505" t="s">
        <v>71</v>
      </c>
      <c r="L505" t="s">
        <v>72</v>
      </c>
      <c r="M505" t="s">
        <v>73</v>
      </c>
      <c r="N505" t="s">
        <v>61</v>
      </c>
      <c r="O505" t="s">
        <v>655</v>
      </c>
      <c r="P505" t="s">
        <v>34</v>
      </c>
      <c r="Q505" t="s">
        <v>136</v>
      </c>
      <c r="R505" t="s">
        <v>656</v>
      </c>
      <c r="S505" t="s">
        <v>657</v>
      </c>
      <c r="T505" t="s">
        <v>658</v>
      </c>
      <c r="U505" s="10" t="s">
        <v>1061</v>
      </c>
      <c r="V505" s="10" t="s">
        <v>1065</v>
      </c>
      <c r="W505" s="10" t="s">
        <v>1065</v>
      </c>
      <c r="X505" s="10" t="s">
        <v>1068</v>
      </c>
      <c r="Y505" t="s">
        <v>140</v>
      </c>
      <c r="Z505" t="s">
        <v>40</v>
      </c>
      <c r="AA505" t="s">
        <v>63</v>
      </c>
      <c r="AB505" t="s">
        <v>659</v>
      </c>
    </row>
    <row r="506" spans="1:28" x14ac:dyDescent="0.8">
      <c r="A506">
        <v>835</v>
      </c>
      <c r="B506">
        <v>1412</v>
      </c>
      <c r="C506" s="2">
        <v>44387</v>
      </c>
      <c r="D506" t="s">
        <v>149</v>
      </c>
      <c r="E506" t="s">
        <v>150</v>
      </c>
      <c r="F506" t="s">
        <v>26</v>
      </c>
      <c r="G506" t="s">
        <v>45</v>
      </c>
      <c r="H506" t="s">
        <v>68</v>
      </c>
      <c r="I506" t="s">
        <v>69</v>
      </c>
      <c r="J506" t="s">
        <v>70</v>
      </c>
      <c r="K506" t="s">
        <v>71</v>
      </c>
      <c r="L506" t="s">
        <v>72</v>
      </c>
      <c r="M506" t="s">
        <v>73</v>
      </c>
      <c r="N506" t="s">
        <v>61</v>
      </c>
      <c r="O506" t="s">
        <v>655</v>
      </c>
      <c r="P506" t="s">
        <v>34</v>
      </c>
      <c r="Q506" t="s">
        <v>136</v>
      </c>
      <c r="R506" t="s">
        <v>656</v>
      </c>
      <c r="S506" t="s">
        <v>657</v>
      </c>
      <c r="T506" t="s">
        <v>658</v>
      </c>
      <c r="U506" s="10" t="s">
        <v>1061</v>
      </c>
      <c r="V506" s="10" t="s">
        <v>1065</v>
      </c>
      <c r="W506" s="10" t="s">
        <v>1065</v>
      </c>
      <c r="X506" s="10" t="s">
        <v>1068</v>
      </c>
      <c r="Y506" t="s">
        <v>39</v>
      </c>
      <c r="Z506" t="s">
        <v>40</v>
      </c>
      <c r="AA506" t="s">
        <v>63</v>
      </c>
    </row>
    <row r="507" spans="1:28" x14ac:dyDescent="0.8">
      <c r="A507">
        <v>778</v>
      </c>
      <c r="B507">
        <v>1307</v>
      </c>
      <c r="C507" s="2">
        <v>44387</v>
      </c>
      <c r="D507" t="s">
        <v>149</v>
      </c>
      <c r="E507" t="s">
        <v>25</v>
      </c>
      <c r="F507" t="s">
        <v>26</v>
      </c>
      <c r="G507" t="s">
        <v>45</v>
      </c>
      <c r="H507" t="s">
        <v>68</v>
      </c>
      <c r="I507" t="s">
        <v>69</v>
      </c>
      <c r="J507" t="s">
        <v>70</v>
      </c>
      <c r="K507" t="s">
        <v>71</v>
      </c>
      <c r="L507" t="s">
        <v>72</v>
      </c>
      <c r="M507" t="s">
        <v>73</v>
      </c>
      <c r="N507" t="s">
        <v>61</v>
      </c>
      <c r="O507" t="s">
        <v>655</v>
      </c>
      <c r="P507" t="s">
        <v>34</v>
      </c>
      <c r="Q507" t="s">
        <v>136</v>
      </c>
      <c r="R507" t="s">
        <v>656</v>
      </c>
      <c r="S507" t="s">
        <v>657</v>
      </c>
      <c r="T507" t="s">
        <v>658</v>
      </c>
      <c r="U507" s="10" t="s">
        <v>1061</v>
      </c>
      <c r="V507" s="10" t="s">
        <v>1065</v>
      </c>
      <c r="W507" s="10" t="s">
        <v>1065</v>
      </c>
      <c r="X507" s="10" t="s">
        <v>1068</v>
      </c>
      <c r="Y507" t="s">
        <v>140</v>
      </c>
      <c r="Z507" t="s">
        <v>40</v>
      </c>
      <c r="AA507" t="s">
        <v>63</v>
      </c>
    </row>
    <row r="508" spans="1:28" x14ac:dyDescent="0.8">
      <c r="A508">
        <v>841</v>
      </c>
      <c r="B508">
        <v>1418</v>
      </c>
      <c r="C508" s="2">
        <v>44387</v>
      </c>
      <c r="D508" t="s">
        <v>149</v>
      </c>
      <c r="E508" t="s">
        <v>63</v>
      </c>
      <c r="F508" t="s">
        <v>26</v>
      </c>
      <c r="G508" t="s">
        <v>94</v>
      </c>
      <c r="H508" t="s">
        <v>95</v>
      </c>
      <c r="I508" t="s">
        <v>660</v>
      </c>
      <c r="J508" t="s">
        <v>661</v>
      </c>
      <c r="K508" t="s">
        <v>662</v>
      </c>
      <c r="L508" t="s">
        <v>663</v>
      </c>
      <c r="M508" t="s">
        <v>664</v>
      </c>
      <c r="N508" t="s">
        <v>101</v>
      </c>
      <c r="O508" t="s">
        <v>655</v>
      </c>
      <c r="P508" t="s">
        <v>34</v>
      </c>
      <c r="Q508" t="s">
        <v>136</v>
      </c>
      <c r="R508" t="s">
        <v>656</v>
      </c>
      <c r="S508" t="s">
        <v>657</v>
      </c>
      <c r="T508" t="s">
        <v>658</v>
      </c>
      <c r="U508" s="10" t="s">
        <v>1061</v>
      </c>
      <c r="V508" s="10" t="s">
        <v>1065</v>
      </c>
      <c r="W508" s="10" t="s">
        <v>1065</v>
      </c>
      <c r="X508" s="10" t="s">
        <v>1068</v>
      </c>
      <c r="Y508" t="s">
        <v>39</v>
      </c>
      <c r="Z508" t="s">
        <v>40</v>
      </c>
      <c r="AA508" t="s">
        <v>63</v>
      </c>
    </row>
    <row r="509" spans="1:28" x14ac:dyDescent="0.8">
      <c r="A509">
        <v>1785</v>
      </c>
      <c r="B509">
        <v>1503</v>
      </c>
      <c r="C509" s="2">
        <v>44388</v>
      </c>
      <c r="D509" t="s">
        <v>134</v>
      </c>
      <c r="E509" t="s">
        <v>25</v>
      </c>
      <c r="F509" t="s">
        <v>26</v>
      </c>
      <c r="G509" t="s">
        <v>45</v>
      </c>
      <c r="H509" t="s">
        <v>155</v>
      </c>
      <c r="I509" t="s">
        <v>69</v>
      </c>
      <c r="J509" t="s">
        <v>156</v>
      </c>
      <c r="K509" t="s">
        <v>157</v>
      </c>
      <c r="L509" t="s">
        <v>158</v>
      </c>
      <c r="M509" t="s">
        <v>159</v>
      </c>
      <c r="N509" t="s">
        <v>52</v>
      </c>
      <c r="O509" t="s">
        <v>686</v>
      </c>
      <c r="P509" t="s">
        <v>34</v>
      </c>
      <c r="Q509" t="s">
        <v>359</v>
      </c>
      <c r="R509" t="s">
        <v>678</v>
      </c>
      <c r="S509" t="s">
        <v>687</v>
      </c>
      <c r="T509" t="s">
        <v>688</v>
      </c>
      <c r="U509" s="10" t="s">
        <v>1061</v>
      </c>
      <c r="V509" s="10" t="s">
        <v>1065</v>
      </c>
      <c r="W509" s="10" t="s">
        <v>1065</v>
      </c>
      <c r="X509" s="10" t="s">
        <v>1068</v>
      </c>
      <c r="Y509" t="s">
        <v>39</v>
      </c>
      <c r="Z509" t="s">
        <v>40</v>
      </c>
      <c r="AA509" t="s">
        <v>41</v>
      </c>
      <c r="AB509" t="s">
        <v>689</v>
      </c>
    </row>
    <row r="510" spans="1:28" x14ac:dyDescent="0.8">
      <c r="A510">
        <v>1735</v>
      </c>
      <c r="B510">
        <v>822</v>
      </c>
      <c r="C510" s="2">
        <v>44384</v>
      </c>
      <c r="D510" t="s">
        <v>24</v>
      </c>
      <c r="E510" t="s">
        <v>150</v>
      </c>
      <c r="F510" t="s">
        <v>26</v>
      </c>
      <c r="G510" t="s">
        <v>45</v>
      </c>
      <c r="H510" t="s">
        <v>155</v>
      </c>
      <c r="I510" t="s">
        <v>69</v>
      </c>
      <c r="J510" t="s">
        <v>156</v>
      </c>
      <c r="K510" t="s">
        <v>157</v>
      </c>
      <c r="L510" t="s">
        <v>158</v>
      </c>
      <c r="M510" t="s">
        <v>159</v>
      </c>
      <c r="N510" t="s">
        <v>61</v>
      </c>
      <c r="O510" t="s">
        <v>778</v>
      </c>
      <c r="P510" t="s">
        <v>85</v>
      </c>
      <c r="Q510" t="s">
        <v>359</v>
      </c>
      <c r="R510" t="s">
        <v>779</v>
      </c>
      <c r="S510" t="s">
        <v>780</v>
      </c>
      <c r="T510" t="s">
        <v>781</v>
      </c>
      <c r="U510" s="10" t="s">
        <v>1061</v>
      </c>
      <c r="V510" s="10" t="s">
        <v>1065</v>
      </c>
      <c r="W510" s="10" t="s">
        <v>1065</v>
      </c>
      <c r="X510" s="10" t="s">
        <v>1068</v>
      </c>
      <c r="Y510" t="s">
        <v>39</v>
      </c>
      <c r="Z510" t="s">
        <v>40</v>
      </c>
      <c r="AA510" t="s">
        <v>41</v>
      </c>
      <c r="AB510" t="s">
        <v>160</v>
      </c>
    </row>
    <row r="511" spans="1:28" x14ac:dyDescent="0.8">
      <c r="A511">
        <v>277</v>
      </c>
      <c r="B511">
        <v>891</v>
      </c>
      <c r="C511" s="2">
        <v>44386</v>
      </c>
      <c r="D511" t="s">
        <v>43</v>
      </c>
      <c r="E511" t="s">
        <v>53</v>
      </c>
      <c r="F511" t="s">
        <v>26</v>
      </c>
      <c r="G511" t="s">
        <v>45</v>
      </c>
      <c r="H511" t="s">
        <v>155</v>
      </c>
      <c r="I511" t="s">
        <v>69</v>
      </c>
      <c r="J511" t="s">
        <v>156</v>
      </c>
      <c r="K511" t="s">
        <v>157</v>
      </c>
      <c r="L511" t="s">
        <v>158</v>
      </c>
      <c r="M511" t="s">
        <v>159</v>
      </c>
      <c r="N511" t="s">
        <v>61</v>
      </c>
      <c r="O511" t="s">
        <v>729</v>
      </c>
      <c r="P511" t="s">
        <v>34</v>
      </c>
      <c r="Q511" t="s">
        <v>299</v>
      </c>
      <c r="R511" t="s">
        <v>730</v>
      </c>
      <c r="S511" t="s">
        <v>731</v>
      </c>
      <c r="T511" t="s">
        <v>732</v>
      </c>
      <c r="U511" s="10" t="s">
        <v>1061</v>
      </c>
      <c r="V511" s="10" t="s">
        <v>1065</v>
      </c>
      <c r="W511" s="10" t="s">
        <v>1065</v>
      </c>
      <c r="X511" s="10" t="s">
        <v>1068</v>
      </c>
      <c r="Y511" t="s">
        <v>39</v>
      </c>
      <c r="Z511" t="s">
        <v>40</v>
      </c>
      <c r="AA511" t="s">
        <v>53</v>
      </c>
    </row>
    <row r="512" spans="1:28" x14ac:dyDescent="0.8">
      <c r="A512">
        <v>600</v>
      </c>
      <c r="B512">
        <v>699</v>
      </c>
      <c r="C512" s="2">
        <v>44384</v>
      </c>
      <c r="D512" t="s">
        <v>24</v>
      </c>
      <c r="E512" t="s">
        <v>25</v>
      </c>
      <c r="F512" t="s">
        <v>26</v>
      </c>
      <c r="G512" t="s">
        <v>45</v>
      </c>
      <c r="H512" t="s">
        <v>68</v>
      </c>
      <c r="I512" t="s">
        <v>69</v>
      </c>
      <c r="J512" t="s">
        <v>70</v>
      </c>
      <c r="K512" t="s">
        <v>71</v>
      </c>
      <c r="L512" t="s">
        <v>72</v>
      </c>
      <c r="M512" t="s">
        <v>73</v>
      </c>
      <c r="N512" t="s">
        <v>61</v>
      </c>
      <c r="O512" t="s">
        <v>126</v>
      </c>
      <c r="P512" t="s">
        <v>85</v>
      </c>
      <c r="Q512" t="s">
        <v>86</v>
      </c>
      <c r="R512" t="s">
        <v>87</v>
      </c>
      <c r="S512" t="s">
        <v>127</v>
      </c>
      <c r="T512" t="s">
        <v>128</v>
      </c>
      <c r="U512" s="10" t="s">
        <v>1064</v>
      </c>
      <c r="V512" s="10" t="s">
        <v>1065</v>
      </c>
      <c r="W512" s="10" t="s">
        <v>1065</v>
      </c>
      <c r="X512" s="10" t="s">
        <v>1068</v>
      </c>
      <c r="Y512" t="s">
        <v>39</v>
      </c>
      <c r="Z512" t="s">
        <v>40</v>
      </c>
      <c r="AA512" t="s">
        <v>63</v>
      </c>
    </row>
    <row r="513" spans="1:28" x14ac:dyDescent="0.8">
      <c r="A513">
        <v>1331</v>
      </c>
      <c r="B513">
        <v>2414</v>
      </c>
      <c r="C513" s="2">
        <v>44385</v>
      </c>
      <c r="D513" t="s">
        <v>104</v>
      </c>
      <c r="E513" t="s">
        <v>63</v>
      </c>
      <c r="F513" t="s">
        <v>26</v>
      </c>
      <c r="G513" t="s">
        <v>45</v>
      </c>
      <c r="H513" t="s">
        <v>46</v>
      </c>
      <c r="I513" t="s">
        <v>47</v>
      </c>
      <c r="J513" t="s">
        <v>48</v>
      </c>
      <c r="K513" t="s">
        <v>49</v>
      </c>
      <c r="L513" t="s">
        <v>91</v>
      </c>
      <c r="M513" t="s">
        <v>92</v>
      </c>
      <c r="N513" t="s">
        <v>61</v>
      </c>
      <c r="O513" t="s">
        <v>126</v>
      </c>
      <c r="P513" t="s">
        <v>85</v>
      </c>
      <c r="Q513" t="s">
        <v>86</v>
      </c>
      <c r="R513" t="s">
        <v>87</v>
      </c>
      <c r="S513" t="s">
        <v>127</v>
      </c>
      <c r="T513" t="s">
        <v>128</v>
      </c>
      <c r="U513" s="10" t="s">
        <v>1064</v>
      </c>
      <c r="V513" s="10" t="s">
        <v>1065</v>
      </c>
      <c r="W513" s="10" t="s">
        <v>1065</v>
      </c>
      <c r="X513" s="10" t="s">
        <v>1068</v>
      </c>
      <c r="Y513" t="s">
        <v>39</v>
      </c>
      <c r="Z513" t="s">
        <v>40</v>
      </c>
      <c r="AA513" t="s">
        <v>63</v>
      </c>
    </row>
    <row r="514" spans="1:28" x14ac:dyDescent="0.8">
      <c r="A514">
        <v>1207</v>
      </c>
      <c r="B514">
        <v>1754</v>
      </c>
      <c r="C514" s="2">
        <v>44386</v>
      </c>
      <c r="D514" t="s">
        <v>129</v>
      </c>
      <c r="E514" t="s">
        <v>53</v>
      </c>
      <c r="F514" t="s">
        <v>26</v>
      </c>
      <c r="G514" t="s">
        <v>45</v>
      </c>
      <c r="H514" t="s">
        <v>46</v>
      </c>
      <c r="I514" t="s">
        <v>47</v>
      </c>
      <c r="J514" t="s">
        <v>48</v>
      </c>
      <c r="K514" t="s">
        <v>49</v>
      </c>
      <c r="L514" t="s">
        <v>91</v>
      </c>
      <c r="M514" t="s">
        <v>92</v>
      </c>
      <c r="N514" t="s">
        <v>61</v>
      </c>
      <c r="O514" t="s">
        <v>126</v>
      </c>
      <c r="P514" t="s">
        <v>85</v>
      </c>
      <c r="Q514" t="s">
        <v>86</v>
      </c>
      <c r="R514" t="s">
        <v>87</v>
      </c>
      <c r="S514" t="s">
        <v>127</v>
      </c>
      <c r="T514" t="s">
        <v>128</v>
      </c>
      <c r="U514" s="10" t="s">
        <v>1064</v>
      </c>
      <c r="V514" s="10" t="s">
        <v>1065</v>
      </c>
      <c r="W514" s="10" t="s">
        <v>1065</v>
      </c>
      <c r="X514" s="10" t="s">
        <v>1068</v>
      </c>
      <c r="Y514" t="s">
        <v>39</v>
      </c>
      <c r="Z514" t="s">
        <v>40</v>
      </c>
      <c r="AA514" t="s">
        <v>63</v>
      </c>
    </row>
    <row r="515" spans="1:28" x14ac:dyDescent="0.8">
      <c r="A515">
        <v>821</v>
      </c>
      <c r="B515">
        <v>1398</v>
      </c>
      <c r="C515" s="2">
        <v>44387</v>
      </c>
      <c r="D515" t="s">
        <v>149</v>
      </c>
      <c r="E515" t="s">
        <v>25</v>
      </c>
      <c r="F515" t="s">
        <v>26</v>
      </c>
      <c r="G515" t="s">
        <v>45</v>
      </c>
      <c r="H515" t="s">
        <v>155</v>
      </c>
      <c r="I515" t="s">
        <v>69</v>
      </c>
      <c r="J515" t="s">
        <v>156</v>
      </c>
      <c r="K515" t="s">
        <v>157</v>
      </c>
      <c r="L515" t="s">
        <v>500</v>
      </c>
      <c r="M515" t="s">
        <v>501</v>
      </c>
      <c r="N515" t="s">
        <v>61</v>
      </c>
      <c r="O515" t="s">
        <v>769</v>
      </c>
      <c r="P515" t="s">
        <v>34</v>
      </c>
      <c r="Q515" t="s">
        <v>770</v>
      </c>
      <c r="R515" t="s">
        <v>769</v>
      </c>
      <c r="S515" t="s">
        <v>771</v>
      </c>
      <c r="T515" t="s">
        <v>772</v>
      </c>
      <c r="U515" s="10" t="s">
        <v>1061</v>
      </c>
      <c r="V515" s="10" t="s">
        <v>1102</v>
      </c>
      <c r="W515" s="10" t="s">
        <v>1087</v>
      </c>
      <c r="X515" s="10" t="s">
        <v>1059</v>
      </c>
      <c r="Y515" t="s">
        <v>39</v>
      </c>
      <c r="Z515" t="s">
        <v>40</v>
      </c>
      <c r="AA515" t="s">
        <v>63</v>
      </c>
    </row>
    <row r="516" spans="1:28" x14ac:dyDescent="0.8">
      <c r="A516">
        <v>1675</v>
      </c>
      <c r="B516">
        <v>448</v>
      </c>
      <c r="C516" s="2">
        <v>44388</v>
      </c>
      <c r="D516" t="s">
        <v>124</v>
      </c>
      <c r="E516" t="s">
        <v>25</v>
      </c>
      <c r="F516" t="s">
        <v>26</v>
      </c>
      <c r="G516" t="s">
        <v>45</v>
      </c>
      <c r="H516" t="s">
        <v>68</v>
      </c>
      <c r="I516" t="s">
        <v>69</v>
      </c>
      <c r="J516" t="s">
        <v>70</v>
      </c>
      <c r="K516" t="s">
        <v>71</v>
      </c>
      <c r="L516" t="s">
        <v>72</v>
      </c>
      <c r="M516" t="s">
        <v>73</v>
      </c>
      <c r="N516" t="s">
        <v>61</v>
      </c>
      <c r="O516" t="s">
        <v>773</v>
      </c>
      <c r="P516" t="s">
        <v>34</v>
      </c>
      <c r="Q516" t="s">
        <v>770</v>
      </c>
      <c r="R516" t="s">
        <v>769</v>
      </c>
      <c r="S516" t="s">
        <v>771</v>
      </c>
      <c r="T516" t="s">
        <v>772</v>
      </c>
      <c r="U516" s="10" t="s">
        <v>1061</v>
      </c>
      <c r="V516" s="10" t="s">
        <v>1102</v>
      </c>
      <c r="W516" s="10" t="s">
        <v>1087</v>
      </c>
      <c r="X516" s="10" t="s">
        <v>1059</v>
      </c>
      <c r="Y516" t="s">
        <v>39</v>
      </c>
      <c r="Z516" t="s">
        <v>40</v>
      </c>
      <c r="AA516" t="s">
        <v>41</v>
      </c>
    </row>
    <row r="517" spans="1:28" x14ac:dyDescent="0.8">
      <c r="A517">
        <v>870</v>
      </c>
      <c r="B517">
        <v>950</v>
      </c>
      <c r="C517" s="2">
        <v>44388</v>
      </c>
      <c r="D517" t="s">
        <v>189</v>
      </c>
      <c r="E517" t="s">
        <v>63</v>
      </c>
      <c r="F517" t="s">
        <v>26</v>
      </c>
      <c r="G517" t="s">
        <v>45</v>
      </c>
      <c r="H517" t="s">
        <v>68</v>
      </c>
      <c r="I517" t="s">
        <v>69</v>
      </c>
      <c r="J517" t="s">
        <v>70</v>
      </c>
      <c r="K517" t="s">
        <v>71</v>
      </c>
      <c r="L517" t="s">
        <v>72</v>
      </c>
      <c r="M517" t="s">
        <v>73</v>
      </c>
      <c r="N517" t="s">
        <v>61</v>
      </c>
      <c r="O517" t="s">
        <v>976</v>
      </c>
      <c r="P517" t="s">
        <v>85</v>
      </c>
      <c r="Q517" t="s">
        <v>228</v>
      </c>
      <c r="R517" t="s">
        <v>977</v>
      </c>
      <c r="S517" t="s">
        <v>131</v>
      </c>
      <c r="T517" t="s">
        <v>978</v>
      </c>
      <c r="U517" s="10" t="s">
        <v>1061</v>
      </c>
      <c r="V517" s="10" t="s">
        <v>1102</v>
      </c>
      <c r="W517" s="10" t="s">
        <v>1064</v>
      </c>
      <c r="X517" s="10" t="s">
        <v>1068</v>
      </c>
      <c r="Y517" t="s">
        <v>39</v>
      </c>
      <c r="Z517" t="s">
        <v>40</v>
      </c>
      <c r="AA517" t="s">
        <v>63</v>
      </c>
    </row>
    <row r="518" spans="1:28" x14ac:dyDescent="0.8">
      <c r="A518">
        <v>887</v>
      </c>
      <c r="B518">
        <v>1015</v>
      </c>
      <c r="C518" s="2">
        <v>44388</v>
      </c>
      <c r="D518" t="s">
        <v>189</v>
      </c>
      <c r="E518" t="s">
        <v>53</v>
      </c>
      <c r="F518" t="s">
        <v>26</v>
      </c>
      <c r="G518" t="s">
        <v>45</v>
      </c>
      <c r="H518" t="s">
        <v>155</v>
      </c>
      <c r="I518" t="s">
        <v>69</v>
      </c>
      <c r="J518" t="s">
        <v>156</v>
      </c>
      <c r="K518" t="s">
        <v>157</v>
      </c>
      <c r="L518" t="s">
        <v>500</v>
      </c>
      <c r="M518" t="s">
        <v>501</v>
      </c>
      <c r="N518" t="s">
        <v>61</v>
      </c>
      <c r="O518" t="s">
        <v>976</v>
      </c>
      <c r="P518" t="s">
        <v>85</v>
      </c>
      <c r="Q518" t="s">
        <v>228</v>
      </c>
      <c r="R518" t="s">
        <v>977</v>
      </c>
      <c r="S518" t="s">
        <v>131</v>
      </c>
      <c r="T518" t="s">
        <v>978</v>
      </c>
      <c r="U518" s="10" t="s">
        <v>1061</v>
      </c>
      <c r="V518" s="10" t="s">
        <v>1102</v>
      </c>
      <c r="W518" s="10" t="s">
        <v>1064</v>
      </c>
      <c r="X518" s="10" t="s">
        <v>1068</v>
      </c>
      <c r="Y518" t="s">
        <v>39</v>
      </c>
      <c r="Z518" t="s">
        <v>40</v>
      </c>
      <c r="AA518" t="s">
        <v>63</v>
      </c>
    </row>
    <row r="519" spans="1:28" x14ac:dyDescent="0.8">
      <c r="A519">
        <v>878</v>
      </c>
      <c r="B519">
        <v>206</v>
      </c>
      <c r="C519" s="2">
        <v>44388</v>
      </c>
      <c r="D519" t="s">
        <v>189</v>
      </c>
      <c r="E519" t="s">
        <v>25</v>
      </c>
      <c r="F519" t="s">
        <v>26</v>
      </c>
      <c r="G519" t="s">
        <v>45</v>
      </c>
      <c r="H519" t="s">
        <v>155</v>
      </c>
      <c r="I519" t="s">
        <v>69</v>
      </c>
      <c r="J519" t="s">
        <v>156</v>
      </c>
      <c r="K519" t="s">
        <v>157</v>
      </c>
      <c r="L519" t="s">
        <v>232</v>
      </c>
      <c r="M519" t="s">
        <v>233</v>
      </c>
      <c r="N519" t="s">
        <v>61</v>
      </c>
      <c r="O519" t="s">
        <v>976</v>
      </c>
      <c r="P519" t="s">
        <v>85</v>
      </c>
      <c r="Q519" t="s">
        <v>228</v>
      </c>
      <c r="R519" t="s">
        <v>977</v>
      </c>
      <c r="S519" t="s">
        <v>131</v>
      </c>
      <c r="T519" t="s">
        <v>978</v>
      </c>
      <c r="U519" s="10" t="s">
        <v>1061</v>
      </c>
      <c r="V519" s="10" t="s">
        <v>1102</v>
      </c>
      <c r="W519" s="10" t="s">
        <v>1064</v>
      </c>
      <c r="X519" s="10" t="s">
        <v>1068</v>
      </c>
      <c r="Y519" t="s">
        <v>39</v>
      </c>
      <c r="Z519" t="s">
        <v>202</v>
      </c>
      <c r="AA519" t="s">
        <v>63</v>
      </c>
    </row>
    <row r="520" spans="1:28" x14ac:dyDescent="0.8">
      <c r="A520">
        <v>859</v>
      </c>
      <c r="B520">
        <v>939</v>
      </c>
      <c r="C520" s="2">
        <v>44388</v>
      </c>
      <c r="D520" t="s">
        <v>189</v>
      </c>
      <c r="E520" t="s">
        <v>25</v>
      </c>
      <c r="F520" t="s">
        <v>26</v>
      </c>
      <c r="G520" t="s">
        <v>45</v>
      </c>
      <c r="H520" t="s">
        <v>155</v>
      </c>
      <c r="I520" t="s">
        <v>69</v>
      </c>
      <c r="J520" t="s">
        <v>156</v>
      </c>
      <c r="K520" t="s">
        <v>157</v>
      </c>
      <c r="L520" t="s">
        <v>158</v>
      </c>
      <c r="M520" t="s">
        <v>159</v>
      </c>
      <c r="N520" t="s">
        <v>52</v>
      </c>
      <c r="O520" t="s">
        <v>976</v>
      </c>
      <c r="P520" t="s">
        <v>85</v>
      </c>
      <c r="Q520" t="s">
        <v>228</v>
      </c>
      <c r="R520" t="s">
        <v>977</v>
      </c>
      <c r="S520" t="s">
        <v>131</v>
      </c>
      <c r="T520" t="s">
        <v>978</v>
      </c>
      <c r="U520" s="10" t="s">
        <v>1061</v>
      </c>
      <c r="V520" s="10" t="s">
        <v>1102</v>
      </c>
      <c r="W520" s="10" t="s">
        <v>1064</v>
      </c>
      <c r="X520" s="10" t="s">
        <v>1068</v>
      </c>
      <c r="Y520" t="s">
        <v>39</v>
      </c>
      <c r="Z520" t="s">
        <v>40</v>
      </c>
      <c r="AA520" t="s">
        <v>63</v>
      </c>
      <c r="AB520" t="s">
        <v>979</v>
      </c>
    </row>
    <row r="521" spans="1:28" x14ac:dyDescent="0.8">
      <c r="A521">
        <v>858</v>
      </c>
      <c r="B521">
        <v>938</v>
      </c>
      <c r="C521" s="2">
        <v>44388</v>
      </c>
      <c r="D521" t="s">
        <v>189</v>
      </c>
      <c r="E521" t="s">
        <v>25</v>
      </c>
      <c r="F521" t="s">
        <v>26</v>
      </c>
      <c r="G521" t="s">
        <v>45</v>
      </c>
      <c r="H521" t="s">
        <v>155</v>
      </c>
      <c r="I521" t="s">
        <v>69</v>
      </c>
      <c r="J521" t="s">
        <v>156</v>
      </c>
      <c r="K521" t="s">
        <v>157</v>
      </c>
      <c r="L521" t="s">
        <v>158</v>
      </c>
      <c r="M521" t="s">
        <v>159</v>
      </c>
      <c r="N521" t="s">
        <v>52</v>
      </c>
      <c r="O521" t="s">
        <v>976</v>
      </c>
      <c r="P521" t="s">
        <v>85</v>
      </c>
      <c r="Q521" t="s">
        <v>228</v>
      </c>
      <c r="R521" t="s">
        <v>977</v>
      </c>
      <c r="S521" t="s">
        <v>131</v>
      </c>
      <c r="T521" t="s">
        <v>978</v>
      </c>
      <c r="U521" s="10" t="s">
        <v>1061</v>
      </c>
      <c r="V521" s="10" t="s">
        <v>1102</v>
      </c>
      <c r="W521" s="10" t="s">
        <v>1064</v>
      </c>
      <c r="X521" s="10" t="s">
        <v>1068</v>
      </c>
      <c r="Y521" t="s">
        <v>39</v>
      </c>
      <c r="Z521" t="s">
        <v>40</v>
      </c>
      <c r="AA521" t="s">
        <v>63</v>
      </c>
      <c r="AB521" t="s">
        <v>979</v>
      </c>
    </row>
    <row r="522" spans="1:28" x14ac:dyDescent="0.8">
      <c r="A522">
        <v>901</v>
      </c>
      <c r="B522">
        <v>1029</v>
      </c>
      <c r="C522" s="2">
        <v>44388</v>
      </c>
      <c r="D522" t="s">
        <v>189</v>
      </c>
      <c r="E522" t="s">
        <v>25</v>
      </c>
      <c r="F522" t="s">
        <v>26</v>
      </c>
      <c r="G522" t="s">
        <v>45</v>
      </c>
      <c r="H522" t="s">
        <v>155</v>
      </c>
      <c r="I522" t="s">
        <v>69</v>
      </c>
      <c r="J522" t="s">
        <v>156</v>
      </c>
      <c r="K522" t="s">
        <v>157</v>
      </c>
      <c r="L522" t="s">
        <v>158</v>
      </c>
      <c r="M522" t="s">
        <v>159</v>
      </c>
      <c r="N522" t="s">
        <v>52</v>
      </c>
      <c r="O522" t="s">
        <v>976</v>
      </c>
      <c r="P522" t="s">
        <v>85</v>
      </c>
      <c r="Q522" t="s">
        <v>228</v>
      </c>
      <c r="R522" t="s">
        <v>977</v>
      </c>
      <c r="S522" t="s">
        <v>131</v>
      </c>
      <c r="T522" t="s">
        <v>978</v>
      </c>
      <c r="U522" s="10" t="s">
        <v>1061</v>
      </c>
      <c r="V522" s="10" t="s">
        <v>1102</v>
      </c>
      <c r="W522" s="10" t="s">
        <v>1064</v>
      </c>
      <c r="X522" s="10" t="s">
        <v>1068</v>
      </c>
      <c r="Y522" t="s">
        <v>39</v>
      </c>
      <c r="Z522" t="s">
        <v>40</v>
      </c>
      <c r="AA522" t="s">
        <v>63</v>
      </c>
    </row>
    <row r="523" spans="1:28" x14ac:dyDescent="0.8">
      <c r="A523">
        <v>233</v>
      </c>
      <c r="B523">
        <v>1133</v>
      </c>
      <c r="C523" s="2">
        <v>44384</v>
      </c>
      <c r="D523" t="s">
        <v>151</v>
      </c>
      <c r="E523" t="s">
        <v>63</v>
      </c>
      <c r="F523" t="s">
        <v>26</v>
      </c>
      <c r="G523" t="s">
        <v>45</v>
      </c>
      <c r="H523" t="s">
        <v>68</v>
      </c>
      <c r="I523" t="s">
        <v>69</v>
      </c>
      <c r="J523" t="s">
        <v>70</v>
      </c>
      <c r="K523" t="s">
        <v>71</v>
      </c>
      <c r="L523" t="s">
        <v>72</v>
      </c>
      <c r="M523" t="s">
        <v>73</v>
      </c>
      <c r="N523" t="s">
        <v>61</v>
      </c>
      <c r="O523" t="s">
        <v>573</v>
      </c>
      <c r="P523" t="s">
        <v>34</v>
      </c>
      <c r="Q523" t="s">
        <v>574</v>
      </c>
      <c r="R523" t="s">
        <v>575</v>
      </c>
      <c r="S523" t="s">
        <v>576</v>
      </c>
      <c r="T523" t="s">
        <v>577</v>
      </c>
      <c r="U523" s="10" t="s">
        <v>1061</v>
      </c>
      <c r="V523" s="10" t="s">
        <v>1091</v>
      </c>
      <c r="W523" s="10" t="s">
        <v>1110</v>
      </c>
      <c r="X523" s="10" t="s">
        <v>1059</v>
      </c>
      <c r="Y523" t="s">
        <v>39</v>
      </c>
      <c r="Z523" t="s">
        <v>40</v>
      </c>
      <c r="AA523" t="s">
        <v>53</v>
      </c>
    </row>
    <row r="524" spans="1:28" x14ac:dyDescent="0.8">
      <c r="A524">
        <v>593</v>
      </c>
      <c r="B524">
        <v>692</v>
      </c>
      <c r="C524" s="2">
        <v>44384</v>
      </c>
      <c r="D524" t="s">
        <v>24</v>
      </c>
      <c r="E524" t="s">
        <v>25</v>
      </c>
      <c r="F524" t="s">
        <v>26</v>
      </c>
      <c r="G524" t="s">
        <v>45</v>
      </c>
      <c r="H524" t="s">
        <v>68</v>
      </c>
      <c r="I524" t="s">
        <v>69</v>
      </c>
      <c r="J524" t="s">
        <v>70</v>
      </c>
      <c r="K524" t="s">
        <v>71</v>
      </c>
      <c r="L524" t="s">
        <v>72</v>
      </c>
      <c r="M524" t="s">
        <v>73</v>
      </c>
      <c r="N524" t="s">
        <v>61</v>
      </c>
      <c r="O524" t="s">
        <v>969</v>
      </c>
      <c r="P524" t="s">
        <v>34</v>
      </c>
      <c r="Q524" t="s">
        <v>359</v>
      </c>
      <c r="R524" t="s">
        <v>970</v>
      </c>
      <c r="S524" t="s">
        <v>971</v>
      </c>
      <c r="T524" t="s">
        <v>972</v>
      </c>
      <c r="U524" s="10" t="s">
        <v>1061</v>
      </c>
      <c r="V524" s="10" t="s">
        <v>1091</v>
      </c>
      <c r="W524" s="10" t="s">
        <v>1065</v>
      </c>
      <c r="X524" s="10" t="s">
        <v>1080</v>
      </c>
      <c r="Y524" t="s">
        <v>39</v>
      </c>
      <c r="Z524" t="s">
        <v>40</v>
      </c>
      <c r="AA524" t="s">
        <v>63</v>
      </c>
    </row>
    <row r="525" spans="1:28" x14ac:dyDescent="0.8">
      <c r="A525">
        <v>836</v>
      </c>
      <c r="B525">
        <v>1413</v>
      </c>
      <c r="C525" s="2">
        <v>44387</v>
      </c>
      <c r="D525" t="s">
        <v>149</v>
      </c>
      <c r="E525" t="s">
        <v>150</v>
      </c>
      <c r="F525" t="s">
        <v>26</v>
      </c>
      <c r="G525" t="s">
        <v>45</v>
      </c>
      <c r="H525" t="s">
        <v>68</v>
      </c>
      <c r="I525" t="s">
        <v>69</v>
      </c>
      <c r="J525" t="s">
        <v>70</v>
      </c>
      <c r="K525" t="s">
        <v>71</v>
      </c>
      <c r="L525" t="s">
        <v>72</v>
      </c>
      <c r="M525" t="s">
        <v>73</v>
      </c>
      <c r="N525" t="s">
        <v>61</v>
      </c>
      <c r="O525" t="s">
        <v>969</v>
      </c>
      <c r="P525" t="s">
        <v>34</v>
      </c>
      <c r="Q525" t="s">
        <v>359</v>
      </c>
      <c r="R525" t="s">
        <v>970</v>
      </c>
      <c r="S525" t="s">
        <v>971</v>
      </c>
      <c r="T525" t="s">
        <v>972</v>
      </c>
      <c r="U525" s="10" t="s">
        <v>1061</v>
      </c>
      <c r="V525" s="10" t="s">
        <v>1091</v>
      </c>
      <c r="W525" s="10" t="s">
        <v>1065</v>
      </c>
      <c r="X525" s="10" t="s">
        <v>1080</v>
      </c>
      <c r="Y525" t="s">
        <v>39</v>
      </c>
      <c r="Z525" t="s">
        <v>40</v>
      </c>
      <c r="AA525" t="s">
        <v>63</v>
      </c>
    </row>
    <row r="526" spans="1:28" x14ac:dyDescent="0.8">
      <c r="A526">
        <v>1012</v>
      </c>
      <c r="B526">
        <v>1368</v>
      </c>
      <c r="C526" s="2">
        <v>44385</v>
      </c>
      <c r="D526" t="s">
        <v>203</v>
      </c>
      <c r="E526" t="s">
        <v>25</v>
      </c>
      <c r="F526" t="s">
        <v>26</v>
      </c>
      <c r="G526" t="s">
        <v>45</v>
      </c>
      <c r="H526" t="s">
        <v>155</v>
      </c>
      <c r="I526" t="s">
        <v>69</v>
      </c>
      <c r="J526" t="s">
        <v>156</v>
      </c>
      <c r="K526" t="s">
        <v>157</v>
      </c>
      <c r="L526" t="s">
        <v>158</v>
      </c>
      <c r="M526" t="s">
        <v>159</v>
      </c>
      <c r="N526" t="s">
        <v>52</v>
      </c>
      <c r="O526" t="s">
        <v>969</v>
      </c>
      <c r="P526" t="s">
        <v>34</v>
      </c>
      <c r="Q526" t="s">
        <v>359</v>
      </c>
      <c r="R526" t="s">
        <v>970</v>
      </c>
      <c r="S526" t="s">
        <v>971</v>
      </c>
      <c r="T526" t="s">
        <v>972</v>
      </c>
      <c r="U526" s="10" t="s">
        <v>1061</v>
      </c>
      <c r="V526" s="10" t="s">
        <v>1091</v>
      </c>
      <c r="W526" s="10" t="s">
        <v>1065</v>
      </c>
      <c r="X526" s="10" t="s">
        <v>1080</v>
      </c>
      <c r="Y526" t="s">
        <v>39</v>
      </c>
      <c r="Z526" t="s">
        <v>40</v>
      </c>
      <c r="AA526" t="s">
        <v>63</v>
      </c>
    </row>
    <row r="527" spans="1:28" x14ac:dyDescent="0.8">
      <c r="A527">
        <v>975</v>
      </c>
      <c r="B527">
        <v>1283</v>
      </c>
      <c r="C527" s="2">
        <v>44385</v>
      </c>
      <c r="D527" t="s">
        <v>203</v>
      </c>
      <c r="E527" t="s">
        <v>25</v>
      </c>
      <c r="F527" t="s">
        <v>26</v>
      </c>
      <c r="G527" t="s">
        <v>45</v>
      </c>
      <c r="H527" t="s">
        <v>155</v>
      </c>
      <c r="I527" t="s">
        <v>69</v>
      </c>
      <c r="J527" t="s">
        <v>156</v>
      </c>
      <c r="K527" t="s">
        <v>157</v>
      </c>
      <c r="L527" t="s">
        <v>158</v>
      </c>
      <c r="M527" t="s">
        <v>159</v>
      </c>
      <c r="N527" t="s">
        <v>52</v>
      </c>
      <c r="O527" t="s">
        <v>969</v>
      </c>
      <c r="P527" t="s">
        <v>34</v>
      </c>
      <c r="Q527" t="s">
        <v>359</v>
      </c>
      <c r="R527" t="s">
        <v>970</v>
      </c>
      <c r="S527" t="s">
        <v>971</v>
      </c>
      <c r="T527" t="s">
        <v>972</v>
      </c>
      <c r="U527" s="10" t="s">
        <v>1061</v>
      </c>
      <c r="V527" s="10" t="s">
        <v>1091</v>
      </c>
      <c r="W527" s="10" t="s">
        <v>1065</v>
      </c>
      <c r="X527" s="10" t="s">
        <v>1080</v>
      </c>
      <c r="Y527" t="s">
        <v>140</v>
      </c>
      <c r="Z527" t="s">
        <v>202</v>
      </c>
      <c r="AA527" t="s">
        <v>63</v>
      </c>
    </row>
    <row r="528" spans="1:28" x14ac:dyDescent="0.8">
      <c r="A528">
        <v>971</v>
      </c>
      <c r="B528">
        <v>1279</v>
      </c>
      <c r="C528" s="2">
        <v>44385</v>
      </c>
      <c r="D528" t="s">
        <v>203</v>
      </c>
      <c r="E528" t="s">
        <v>25</v>
      </c>
      <c r="F528" t="s">
        <v>26</v>
      </c>
      <c r="G528" t="s">
        <v>45</v>
      </c>
      <c r="H528" t="s">
        <v>155</v>
      </c>
      <c r="I528" t="s">
        <v>69</v>
      </c>
      <c r="J528" t="s">
        <v>156</v>
      </c>
      <c r="K528" t="s">
        <v>157</v>
      </c>
      <c r="L528" t="s">
        <v>158</v>
      </c>
      <c r="M528" t="s">
        <v>159</v>
      </c>
      <c r="N528" t="s">
        <v>52</v>
      </c>
      <c r="O528" t="s">
        <v>969</v>
      </c>
      <c r="P528" t="s">
        <v>34</v>
      </c>
      <c r="Q528" t="s">
        <v>359</v>
      </c>
      <c r="R528" t="s">
        <v>970</v>
      </c>
      <c r="S528" t="s">
        <v>971</v>
      </c>
      <c r="T528" t="s">
        <v>972</v>
      </c>
      <c r="U528" s="10" t="s">
        <v>1061</v>
      </c>
      <c r="V528" s="10" t="s">
        <v>1091</v>
      </c>
      <c r="W528" s="10" t="s">
        <v>1065</v>
      </c>
      <c r="X528" s="10" t="s">
        <v>1080</v>
      </c>
      <c r="Y528" t="s">
        <v>140</v>
      </c>
      <c r="Z528" t="s">
        <v>40</v>
      </c>
      <c r="AA528" t="s">
        <v>63</v>
      </c>
    </row>
    <row r="529" spans="1:28" x14ac:dyDescent="0.8">
      <c r="A529">
        <v>316</v>
      </c>
      <c r="B529">
        <v>232</v>
      </c>
      <c r="C529" s="2">
        <v>44385</v>
      </c>
      <c r="D529" t="s">
        <v>213</v>
      </c>
      <c r="E529" t="s">
        <v>25</v>
      </c>
      <c r="F529" t="s">
        <v>26</v>
      </c>
      <c r="G529" t="s">
        <v>45</v>
      </c>
      <c r="H529" t="s">
        <v>68</v>
      </c>
      <c r="I529" t="s">
        <v>69</v>
      </c>
      <c r="J529" t="s">
        <v>70</v>
      </c>
      <c r="K529" t="s">
        <v>71</v>
      </c>
      <c r="L529" t="s">
        <v>72</v>
      </c>
      <c r="M529" t="s">
        <v>73</v>
      </c>
      <c r="N529" t="s">
        <v>61</v>
      </c>
      <c r="O529" t="s">
        <v>969</v>
      </c>
      <c r="P529" t="s">
        <v>34</v>
      </c>
      <c r="Q529" t="s">
        <v>359</v>
      </c>
      <c r="R529" t="s">
        <v>970</v>
      </c>
      <c r="S529" t="s">
        <v>971</v>
      </c>
      <c r="T529" t="s">
        <v>972</v>
      </c>
      <c r="U529" s="10" t="s">
        <v>1061</v>
      </c>
      <c r="V529" s="10" t="s">
        <v>1091</v>
      </c>
      <c r="W529" s="10" t="s">
        <v>1065</v>
      </c>
      <c r="X529" s="10" t="s">
        <v>1080</v>
      </c>
      <c r="Y529" t="s">
        <v>39</v>
      </c>
      <c r="Z529" t="s">
        <v>40</v>
      </c>
      <c r="AA529" t="s">
        <v>53</v>
      </c>
    </row>
    <row r="530" spans="1:28" x14ac:dyDescent="0.8">
      <c r="A530">
        <v>311</v>
      </c>
      <c r="B530">
        <v>227</v>
      </c>
      <c r="C530" s="2">
        <v>44385</v>
      </c>
      <c r="D530" t="s">
        <v>213</v>
      </c>
      <c r="E530" t="s">
        <v>25</v>
      </c>
      <c r="F530" t="s">
        <v>26</v>
      </c>
      <c r="G530" t="s">
        <v>45</v>
      </c>
      <c r="H530" t="s">
        <v>68</v>
      </c>
      <c r="I530" t="s">
        <v>69</v>
      </c>
      <c r="J530" t="s">
        <v>70</v>
      </c>
      <c r="K530" t="s">
        <v>71</v>
      </c>
      <c r="L530" t="s">
        <v>72</v>
      </c>
      <c r="M530" t="s">
        <v>73</v>
      </c>
      <c r="N530" t="s">
        <v>61</v>
      </c>
      <c r="O530" t="s">
        <v>969</v>
      </c>
      <c r="P530" t="s">
        <v>34</v>
      </c>
      <c r="Q530" t="s">
        <v>359</v>
      </c>
      <c r="R530" t="s">
        <v>970</v>
      </c>
      <c r="S530" t="s">
        <v>971</v>
      </c>
      <c r="T530" t="s">
        <v>972</v>
      </c>
      <c r="U530" s="10" t="s">
        <v>1061</v>
      </c>
      <c r="V530" s="10" t="s">
        <v>1091</v>
      </c>
      <c r="W530" s="10" t="s">
        <v>1065</v>
      </c>
      <c r="X530" s="10" t="s">
        <v>1080</v>
      </c>
      <c r="Y530" t="s">
        <v>39</v>
      </c>
      <c r="Z530" t="s">
        <v>40</v>
      </c>
      <c r="AA530" t="s">
        <v>53</v>
      </c>
    </row>
    <row r="531" spans="1:28" x14ac:dyDescent="0.8">
      <c r="A531">
        <v>1738</v>
      </c>
      <c r="B531">
        <v>825</v>
      </c>
      <c r="C531" s="2">
        <v>44384</v>
      </c>
      <c r="D531" t="s">
        <v>24</v>
      </c>
      <c r="E531" t="s">
        <v>150</v>
      </c>
      <c r="F531" t="s">
        <v>26</v>
      </c>
      <c r="G531" t="s">
        <v>45</v>
      </c>
      <c r="H531" t="s">
        <v>68</v>
      </c>
      <c r="I531" t="s">
        <v>69</v>
      </c>
      <c r="J531" t="s">
        <v>70</v>
      </c>
      <c r="K531" t="s">
        <v>71</v>
      </c>
      <c r="L531" t="s">
        <v>72</v>
      </c>
      <c r="M531" t="s">
        <v>73</v>
      </c>
      <c r="N531" t="s">
        <v>61</v>
      </c>
      <c r="O531" t="s">
        <v>677</v>
      </c>
      <c r="P531" t="s">
        <v>34</v>
      </c>
      <c r="Q531" t="s">
        <v>359</v>
      </c>
      <c r="R531" t="s">
        <v>678</v>
      </c>
      <c r="S531" t="s">
        <v>131</v>
      </c>
      <c r="T531" t="s">
        <v>679</v>
      </c>
      <c r="U531" s="10" t="s">
        <v>1061</v>
      </c>
      <c r="V531" s="10" t="s">
        <v>1091</v>
      </c>
      <c r="W531" s="10" t="s">
        <v>1065</v>
      </c>
      <c r="X531" s="10" t="s">
        <v>1068</v>
      </c>
      <c r="Y531" t="s">
        <v>39</v>
      </c>
      <c r="Z531" t="s">
        <v>40</v>
      </c>
      <c r="AA531" t="s">
        <v>41</v>
      </c>
      <c r="AB531" t="s">
        <v>154</v>
      </c>
    </row>
    <row r="532" spans="1:28" x14ac:dyDescent="0.8">
      <c r="A532">
        <v>1514</v>
      </c>
      <c r="B532">
        <v>26</v>
      </c>
      <c r="C532" s="2">
        <v>44384</v>
      </c>
      <c r="D532" t="s">
        <v>24</v>
      </c>
      <c r="E532" t="s">
        <v>25</v>
      </c>
      <c r="F532" t="s">
        <v>26</v>
      </c>
      <c r="G532" t="s">
        <v>45</v>
      </c>
      <c r="H532" t="s">
        <v>68</v>
      </c>
      <c r="I532" t="s">
        <v>69</v>
      </c>
      <c r="J532" t="s">
        <v>70</v>
      </c>
      <c r="K532" t="s">
        <v>71</v>
      </c>
      <c r="L532" t="s">
        <v>72</v>
      </c>
      <c r="M532" t="s">
        <v>73</v>
      </c>
      <c r="N532" t="s">
        <v>61</v>
      </c>
      <c r="O532" t="s">
        <v>677</v>
      </c>
      <c r="P532" t="s">
        <v>34</v>
      </c>
      <c r="Q532" t="s">
        <v>359</v>
      </c>
      <c r="R532" t="s">
        <v>678</v>
      </c>
      <c r="S532" t="s">
        <v>131</v>
      </c>
      <c r="T532" t="s">
        <v>679</v>
      </c>
      <c r="U532" s="10" t="s">
        <v>1061</v>
      </c>
      <c r="V532" s="10" t="s">
        <v>1091</v>
      </c>
      <c r="W532" s="10" t="s">
        <v>1065</v>
      </c>
      <c r="X532" s="10" t="s">
        <v>1068</v>
      </c>
      <c r="Y532" t="s">
        <v>140</v>
      </c>
      <c r="Z532" t="s">
        <v>202</v>
      </c>
      <c r="AA532" t="s">
        <v>125</v>
      </c>
    </row>
    <row r="533" spans="1:28" x14ac:dyDescent="0.8">
      <c r="A533">
        <v>1513</v>
      </c>
      <c r="B533">
        <v>16</v>
      </c>
      <c r="C533" s="2">
        <v>44384</v>
      </c>
      <c r="D533" t="s">
        <v>24</v>
      </c>
      <c r="E533" t="s">
        <v>25</v>
      </c>
      <c r="F533" t="s">
        <v>26</v>
      </c>
      <c r="G533" t="s">
        <v>45</v>
      </c>
      <c r="H533" t="s">
        <v>155</v>
      </c>
      <c r="I533" t="s">
        <v>69</v>
      </c>
      <c r="J533" t="s">
        <v>156</v>
      </c>
      <c r="K533" t="s">
        <v>157</v>
      </c>
      <c r="L533" t="s">
        <v>232</v>
      </c>
      <c r="M533" t="s">
        <v>233</v>
      </c>
      <c r="N533" t="s">
        <v>61</v>
      </c>
      <c r="O533" t="s">
        <v>677</v>
      </c>
      <c r="P533" t="s">
        <v>34</v>
      </c>
      <c r="Q533" t="s">
        <v>359</v>
      </c>
      <c r="R533" t="s">
        <v>678</v>
      </c>
      <c r="S533" t="s">
        <v>131</v>
      </c>
      <c r="T533" t="s">
        <v>679</v>
      </c>
      <c r="U533" s="10" t="s">
        <v>1061</v>
      </c>
      <c r="V533" s="10" t="s">
        <v>1091</v>
      </c>
      <c r="W533" s="10" t="s">
        <v>1065</v>
      </c>
      <c r="X533" s="10" t="s">
        <v>1068</v>
      </c>
      <c r="Y533" t="s">
        <v>140</v>
      </c>
      <c r="Z533" t="s">
        <v>202</v>
      </c>
      <c r="AA533" t="s">
        <v>125</v>
      </c>
    </row>
    <row r="534" spans="1:28" x14ac:dyDescent="0.8">
      <c r="A534">
        <v>1742</v>
      </c>
      <c r="B534">
        <v>829</v>
      </c>
      <c r="C534" s="2">
        <v>44384</v>
      </c>
      <c r="D534" t="s">
        <v>24</v>
      </c>
      <c r="E534" t="s">
        <v>150</v>
      </c>
      <c r="F534" t="s">
        <v>26</v>
      </c>
      <c r="G534" t="s">
        <v>45</v>
      </c>
      <c r="H534" t="s">
        <v>155</v>
      </c>
      <c r="I534" t="s">
        <v>69</v>
      </c>
      <c r="J534" t="s">
        <v>156</v>
      </c>
      <c r="K534" t="s">
        <v>157</v>
      </c>
      <c r="L534" t="s">
        <v>158</v>
      </c>
      <c r="M534" t="s">
        <v>159</v>
      </c>
      <c r="N534" t="s">
        <v>52</v>
      </c>
      <c r="O534" t="s">
        <v>677</v>
      </c>
      <c r="P534" t="s">
        <v>34</v>
      </c>
      <c r="Q534" t="s">
        <v>359</v>
      </c>
      <c r="R534" t="s">
        <v>678</v>
      </c>
      <c r="S534" t="s">
        <v>131</v>
      </c>
      <c r="T534" t="s">
        <v>679</v>
      </c>
      <c r="U534" s="10" t="s">
        <v>1061</v>
      </c>
      <c r="V534" s="10" t="s">
        <v>1091</v>
      </c>
      <c r="W534" s="10" t="s">
        <v>1065</v>
      </c>
      <c r="X534" s="10" t="s">
        <v>1068</v>
      </c>
      <c r="Y534" t="s">
        <v>39</v>
      </c>
      <c r="Z534" t="s">
        <v>40</v>
      </c>
      <c r="AA534" t="s">
        <v>41</v>
      </c>
      <c r="AB534" t="s">
        <v>160</v>
      </c>
    </row>
    <row r="535" spans="1:28" x14ac:dyDescent="0.8">
      <c r="A535">
        <v>1737</v>
      </c>
      <c r="B535">
        <v>824</v>
      </c>
      <c r="C535" s="2">
        <v>44384</v>
      </c>
      <c r="D535" t="s">
        <v>24</v>
      </c>
      <c r="E535" t="s">
        <v>150</v>
      </c>
      <c r="F535" t="s">
        <v>26</v>
      </c>
      <c r="G535" t="s">
        <v>45</v>
      </c>
      <c r="H535" t="s">
        <v>155</v>
      </c>
      <c r="I535" t="s">
        <v>69</v>
      </c>
      <c r="J535" t="s">
        <v>156</v>
      </c>
      <c r="K535" t="s">
        <v>157</v>
      </c>
      <c r="L535" t="s">
        <v>158</v>
      </c>
      <c r="M535" t="s">
        <v>159</v>
      </c>
      <c r="N535" t="s">
        <v>52</v>
      </c>
      <c r="O535" t="s">
        <v>677</v>
      </c>
      <c r="P535" t="s">
        <v>34</v>
      </c>
      <c r="Q535" t="s">
        <v>359</v>
      </c>
      <c r="R535" t="s">
        <v>678</v>
      </c>
      <c r="S535" t="s">
        <v>131</v>
      </c>
      <c r="T535" t="s">
        <v>679</v>
      </c>
      <c r="U535" s="10" t="s">
        <v>1061</v>
      </c>
      <c r="V535" s="10" t="s">
        <v>1091</v>
      </c>
      <c r="W535" s="10" t="s">
        <v>1065</v>
      </c>
      <c r="X535" s="10" t="s">
        <v>1068</v>
      </c>
      <c r="Y535" t="s">
        <v>39</v>
      </c>
      <c r="Z535" t="s">
        <v>40</v>
      </c>
      <c r="AA535" t="s">
        <v>41</v>
      </c>
      <c r="AB535" t="s">
        <v>160</v>
      </c>
    </row>
    <row r="536" spans="1:28" x14ac:dyDescent="0.8">
      <c r="A536">
        <v>599</v>
      </c>
      <c r="B536">
        <v>698</v>
      </c>
      <c r="C536" s="2">
        <v>44384</v>
      </c>
      <c r="D536" t="s">
        <v>24</v>
      </c>
      <c r="E536" t="s">
        <v>125</v>
      </c>
      <c r="F536" t="s">
        <v>26</v>
      </c>
      <c r="G536" t="s">
        <v>45</v>
      </c>
      <c r="H536" t="s">
        <v>155</v>
      </c>
      <c r="I536" t="s">
        <v>69</v>
      </c>
      <c r="J536" t="s">
        <v>156</v>
      </c>
      <c r="K536" t="s">
        <v>157</v>
      </c>
      <c r="L536" t="s">
        <v>158</v>
      </c>
      <c r="M536" t="s">
        <v>159</v>
      </c>
      <c r="N536" t="s">
        <v>52</v>
      </c>
      <c r="O536" t="s">
        <v>677</v>
      </c>
      <c r="P536" t="s">
        <v>34</v>
      </c>
      <c r="Q536" t="s">
        <v>359</v>
      </c>
      <c r="R536" t="s">
        <v>678</v>
      </c>
      <c r="S536" t="s">
        <v>131</v>
      </c>
      <c r="T536" t="s">
        <v>679</v>
      </c>
      <c r="U536" s="10" t="s">
        <v>1061</v>
      </c>
      <c r="V536" s="10" t="s">
        <v>1091</v>
      </c>
      <c r="W536" s="10" t="s">
        <v>1065</v>
      </c>
      <c r="X536" s="10" t="s">
        <v>1068</v>
      </c>
      <c r="Y536" t="s">
        <v>39</v>
      </c>
      <c r="Z536" t="s">
        <v>40</v>
      </c>
      <c r="AA536" t="s">
        <v>63</v>
      </c>
    </row>
    <row r="537" spans="1:28" x14ac:dyDescent="0.8">
      <c r="A537">
        <v>246</v>
      </c>
      <c r="B537">
        <v>1297</v>
      </c>
      <c r="C537" s="2">
        <v>44384</v>
      </c>
      <c r="D537" t="s">
        <v>24</v>
      </c>
      <c r="E537" t="s">
        <v>150</v>
      </c>
      <c r="F537" t="s">
        <v>26</v>
      </c>
      <c r="G537" t="s">
        <v>45</v>
      </c>
      <c r="H537" t="s">
        <v>155</v>
      </c>
      <c r="I537" t="s">
        <v>69</v>
      </c>
      <c r="J537" t="s">
        <v>156</v>
      </c>
      <c r="K537" t="s">
        <v>157</v>
      </c>
      <c r="L537" t="s">
        <v>158</v>
      </c>
      <c r="M537" t="s">
        <v>159</v>
      </c>
      <c r="N537" t="s">
        <v>61</v>
      </c>
      <c r="O537" t="s">
        <v>677</v>
      </c>
      <c r="P537" t="s">
        <v>34</v>
      </c>
      <c r="Q537" t="s">
        <v>359</v>
      </c>
      <c r="R537" t="s">
        <v>678</v>
      </c>
      <c r="S537" t="s">
        <v>131</v>
      </c>
      <c r="T537" t="s">
        <v>679</v>
      </c>
      <c r="U537" s="10" t="s">
        <v>1061</v>
      </c>
      <c r="V537" s="10" t="s">
        <v>1091</v>
      </c>
      <c r="W537" s="10" t="s">
        <v>1065</v>
      </c>
      <c r="X537" s="10" t="s">
        <v>1068</v>
      </c>
      <c r="Y537" t="s">
        <v>39</v>
      </c>
      <c r="Z537" t="s">
        <v>40</v>
      </c>
      <c r="AA537" t="s">
        <v>53</v>
      </c>
    </row>
    <row r="538" spans="1:28" x14ac:dyDescent="0.8">
      <c r="A538">
        <v>903</v>
      </c>
      <c r="B538">
        <v>1031</v>
      </c>
      <c r="C538" s="2">
        <v>44388</v>
      </c>
      <c r="D538" t="s">
        <v>189</v>
      </c>
      <c r="E538" t="s">
        <v>125</v>
      </c>
      <c r="F538" t="s">
        <v>26</v>
      </c>
      <c r="G538" t="s">
        <v>45</v>
      </c>
      <c r="H538" t="s">
        <v>155</v>
      </c>
      <c r="I538" t="s">
        <v>69</v>
      </c>
      <c r="J538" t="s">
        <v>156</v>
      </c>
      <c r="K538" t="s">
        <v>157</v>
      </c>
      <c r="L538" t="s">
        <v>158</v>
      </c>
      <c r="M538" t="s">
        <v>159</v>
      </c>
      <c r="N538" t="s">
        <v>52</v>
      </c>
      <c r="O538" t="s">
        <v>677</v>
      </c>
      <c r="P538" t="s">
        <v>34</v>
      </c>
      <c r="Q538" t="s">
        <v>359</v>
      </c>
      <c r="R538" t="s">
        <v>678</v>
      </c>
      <c r="S538" t="s">
        <v>131</v>
      </c>
      <c r="T538" t="s">
        <v>679</v>
      </c>
      <c r="U538" s="10" t="s">
        <v>1061</v>
      </c>
      <c r="V538" s="10" t="s">
        <v>1091</v>
      </c>
      <c r="W538" s="10" t="s">
        <v>1065</v>
      </c>
      <c r="X538" s="10" t="s">
        <v>1068</v>
      </c>
      <c r="Y538" t="s">
        <v>39</v>
      </c>
      <c r="Z538" t="s">
        <v>40</v>
      </c>
      <c r="AA538" t="s">
        <v>63</v>
      </c>
    </row>
    <row r="539" spans="1:28" x14ac:dyDescent="0.8">
      <c r="A539">
        <v>886</v>
      </c>
      <c r="B539">
        <v>1014</v>
      </c>
      <c r="C539" s="2">
        <v>44388</v>
      </c>
      <c r="D539" t="s">
        <v>189</v>
      </c>
      <c r="E539" t="s">
        <v>53</v>
      </c>
      <c r="F539" t="s">
        <v>26</v>
      </c>
      <c r="G539" t="s">
        <v>45</v>
      </c>
      <c r="H539" t="s">
        <v>155</v>
      </c>
      <c r="I539" t="s">
        <v>69</v>
      </c>
      <c r="J539" t="s">
        <v>156</v>
      </c>
      <c r="K539" t="s">
        <v>157</v>
      </c>
      <c r="L539" t="s">
        <v>158</v>
      </c>
      <c r="M539" t="s">
        <v>159</v>
      </c>
      <c r="N539" t="s">
        <v>52</v>
      </c>
      <c r="O539" t="s">
        <v>677</v>
      </c>
      <c r="P539" t="s">
        <v>34</v>
      </c>
      <c r="Q539" t="s">
        <v>359</v>
      </c>
      <c r="R539" t="s">
        <v>678</v>
      </c>
      <c r="S539" t="s">
        <v>131</v>
      </c>
      <c r="T539" t="s">
        <v>679</v>
      </c>
      <c r="U539" s="10" t="s">
        <v>1061</v>
      </c>
      <c r="V539" s="10" t="s">
        <v>1091</v>
      </c>
      <c r="W539" s="10" t="s">
        <v>1065</v>
      </c>
      <c r="X539" s="10" t="s">
        <v>1068</v>
      </c>
      <c r="Y539" t="s">
        <v>39</v>
      </c>
      <c r="Z539" t="s">
        <v>40</v>
      </c>
      <c r="AA539" t="s">
        <v>63</v>
      </c>
    </row>
    <row r="540" spans="1:28" x14ac:dyDescent="0.8">
      <c r="A540">
        <v>883</v>
      </c>
      <c r="B540">
        <v>211</v>
      </c>
      <c r="C540" s="2">
        <v>44388</v>
      </c>
      <c r="D540" t="s">
        <v>189</v>
      </c>
      <c r="E540" t="s">
        <v>53</v>
      </c>
      <c r="F540" t="s">
        <v>26</v>
      </c>
      <c r="G540" t="s">
        <v>45</v>
      </c>
      <c r="H540" t="s">
        <v>155</v>
      </c>
      <c r="I540" t="s">
        <v>69</v>
      </c>
      <c r="J540" t="s">
        <v>156</v>
      </c>
      <c r="K540" t="s">
        <v>157</v>
      </c>
      <c r="L540" t="s">
        <v>158</v>
      </c>
      <c r="M540" t="s">
        <v>159</v>
      </c>
      <c r="N540" t="s">
        <v>52</v>
      </c>
      <c r="O540" t="s">
        <v>677</v>
      </c>
      <c r="P540" t="s">
        <v>34</v>
      </c>
      <c r="Q540" t="s">
        <v>359</v>
      </c>
      <c r="R540" t="s">
        <v>678</v>
      </c>
      <c r="S540" t="s">
        <v>131</v>
      </c>
      <c r="T540" t="s">
        <v>679</v>
      </c>
      <c r="U540" s="10" t="s">
        <v>1061</v>
      </c>
      <c r="V540" s="10" t="s">
        <v>1091</v>
      </c>
      <c r="W540" s="10" t="s">
        <v>1065</v>
      </c>
      <c r="X540" s="10" t="s">
        <v>1068</v>
      </c>
      <c r="Y540" t="s">
        <v>39</v>
      </c>
      <c r="Z540" t="s">
        <v>40</v>
      </c>
      <c r="AA540" t="s">
        <v>63</v>
      </c>
    </row>
    <row r="541" spans="1:28" x14ac:dyDescent="0.8">
      <c r="A541">
        <v>882</v>
      </c>
      <c r="B541">
        <v>210</v>
      </c>
      <c r="C541" s="2">
        <v>44388</v>
      </c>
      <c r="D541" t="s">
        <v>189</v>
      </c>
      <c r="E541" t="s">
        <v>53</v>
      </c>
      <c r="F541" t="s">
        <v>26</v>
      </c>
      <c r="G541" t="s">
        <v>45</v>
      </c>
      <c r="H541" t="s">
        <v>155</v>
      </c>
      <c r="I541" t="s">
        <v>69</v>
      </c>
      <c r="J541" t="s">
        <v>156</v>
      </c>
      <c r="K541" t="s">
        <v>157</v>
      </c>
      <c r="L541" t="s">
        <v>158</v>
      </c>
      <c r="M541" t="s">
        <v>159</v>
      </c>
      <c r="N541" t="s">
        <v>52</v>
      </c>
      <c r="O541" t="s">
        <v>677</v>
      </c>
      <c r="P541" t="s">
        <v>34</v>
      </c>
      <c r="Q541" t="s">
        <v>359</v>
      </c>
      <c r="R541" t="s">
        <v>678</v>
      </c>
      <c r="S541" t="s">
        <v>131</v>
      </c>
      <c r="T541" t="s">
        <v>679</v>
      </c>
      <c r="U541" s="10" t="s">
        <v>1061</v>
      </c>
      <c r="V541" s="10" t="s">
        <v>1091</v>
      </c>
      <c r="W541" s="10" t="s">
        <v>1065</v>
      </c>
      <c r="X541" s="10" t="s">
        <v>1068</v>
      </c>
      <c r="Y541" t="s">
        <v>39</v>
      </c>
      <c r="Z541" t="s">
        <v>40</v>
      </c>
      <c r="AA541" t="s">
        <v>63</v>
      </c>
    </row>
    <row r="542" spans="1:28" x14ac:dyDescent="0.8">
      <c r="A542">
        <v>868</v>
      </c>
      <c r="B542">
        <v>948</v>
      </c>
      <c r="C542" s="2">
        <v>44388</v>
      </c>
      <c r="D542" t="s">
        <v>189</v>
      </c>
      <c r="E542" t="s">
        <v>25</v>
      </c>
      <c r="F542" t="s">
        <v>26</v>
      </c>
      <c r="G542" t="s">
        <v>45</v>
      </c>
      <c r="H542" t="s">
        <v>155</v>
      </c>
      <c r="I542" t="s">
        <v>69</v>
      </c>
      <c r="J542" t="s">
        <v>156</v>
      </c>
      <c r="K542" t="s">
        <v>157</v>
      </c>
      <c r="L542" t="s">
        <v>158</v>
      </c>
      <c r="M542" t="s">
        <v>159</v>
      </c>
      <c r="N542" t="s">
        <v>52</v>
      </c>
      <c r="O542" t="s">
        <v>677</v>
      </c>
      <c r="P542" t="s">
        <v>34</v>
      </c>
      <c r="Q542" t="s">
        <v>359</v>
      </c>
      <c r="R542" t="s">
        <v>678</v>
      </c>
      <c r="S542" t="s">
        <v>131</v>
      </c>
      <c r="T542" t="s">
        <v>679</v>
      </c>
      <c r="U542" s="10" t="s">
        <v>1061</v>
      </c>
      <c r="V542" s="10" t="s">
        <v>1091</v>
      </c>
      <c r="W542" s="10" t="s">
        <v>1065</v>
      </c>
      <c r="X542" s="10" t="s">
        <v>1068</v>
      </c>
      <c r="Y542" t="s">
        <v>39</v>
      </c>
      <c r="Z542" t="s">
        <v>40</v>
      </c>
      <c r="AA542" t="s">
        <v>63</v>
      </c>
    </row>
    <row r="543" spans="1:28" x14ac:dyDescent="0.8">
      <c r="A543">
        <v>853</v>
      </c>
      <c r="B543">
        <v>933</v>
      </c>
      <c r="C543" s="2">
        <v>44388</v>
      </c>
      <c r="D543" t="s">
        <v>189</v>
      </c>
      <c r="E543" t="s">
        <v>63</v>
      </c>
      <c r="F543" t="s">
        <v>26</v>
      </c>
      <c r="G543" t="s">
        <v>45</v>
      </c>
      <c r="H543" t="s">
        <v>155</v>
      </c>
      <c r="I543" t="s">
        <v>69</v>
      </c>
      <c r="J543" t="s">
        <v>156</v>
      </c>
      <c r="K543" t="s">
        <v>157</v>
      </c>
      <c r="L543" t="s">
        <v>158</v>
      </c>
      <c r="M543" t="s">
        <v>159</v>
      </c>
      <c r="N543" t="s">
        <v>52</v>
      </c>
      <c r="O543" t="s">
        <v>677</v>
      </c>
      <c r="P543" t="s">
        <v>34</v>
      </c>
      <c r="Q543" t="s">
        <v>359</v>
      </c>
      <c r="R543" t="s">
        <v>678</v>
      </c>
      <c r="S543" t="s">
        <v>131</v>
      </c>
      <c r="T543" t="s">
        <v>679</v>
      </c>
      <c r="U543" s="10" t="s">
        <v>1061</v>
      </c>
      <c r="V543" s="10" t="s">
        <v>1091</v>
      </c>
      <c r="W543" s="10" t="s">
        <v>1065</v>
      </c>
      <c r="X543" s="10" t="s">
        <v>1068</v>
      </c>
      <c r="Y543" t="s">
        <v>140</v>
      </c>
      <c r="Z543" t="s">
        <v>40</v>
      </c>
      <c r="AA543" t="s">
        <v>63</v>
      </c>
    </row>
    <row r="544" spans="1:28" x14ac:dyDescent="0.8">
      <c r="A544">
        <v>851</v>
      </c>
      <c r="B544">
        <v>931</v>
      </c>
      <c r="C544" s="2">
        <v>44388</v>
      </c>
      <c r="D544" t="s">
        <v>189</v>
      </c>
      <c r="E544" t="s">
        <v>53</v>
      </c>
      <c r="F544" t="s">
        <v>26</v>
      </c>
      <c r="G544" t="s">
        <v>45</v>
      </c>
      <c r="H544" t="s">
        <v>155</v>
      </c>
      <c r="I544" t="s">
        <v>69</v>
      </c>
      <c r="J544" t="s">
        <v>156</v>
      </c>
      <c r="K544" t="s">
        <v>157</v>
      </c>
      <c r="L544" t="s">
        <v>158</v>
      </c>
      <c r="M544" t="s">
        <v>159</v>
      </c>
      <c r="N544" t="s">
        <v>52</v>
      </c>
      <c r="O544" t="s">
        <v>677</v>
      </c>
      <c r="P544" t="s">
        <v>34</v>
      </c>
      <c r="Q544" t="s">
        <v>359</v>
      </c>
      <c r="R544" t="s">
        <v>678</v>
      </c>
      <c r="S544" t="s">
        <v>131</v>
      </c>
      <c r="T544" t="s">
        <v>679</v>
      </c>
      <c r="U544" s="10" t="s">
        <v>1061</v>
      </c>
      <c r="V544" s="10" t="s">
        <v>1091</v>
      </c>
      <c r="W544" s="10" t="s">
        <v>1065</v>
      </c>
      <c r="X544" s="10" t="s">
        <v>1068</v>
      </c>
      <c r="Y544" t="s">
        <v>140</v>
      </c>
      <c r="Z544" t="s">
        <v>40</v>
      </c>
      <c r="AA544" t="s">
        <v>63</v>
      </c>
    </row>
    <row r="545" spans="1:27" x14ac:dyDescent="0.8">
      <c r="A545">
        <v>850</v>
      </c>
      <c r="B545">
        <v>930</v>
      </c>
      <c r="C545" s="2">
        <v>44388</v>
      </c>
      <c r="D545" t="s">
        <v>189</v>
      </c>
      <c r="E545" t="s">
        <v>63</v>
      </c>
      <c r="F545" t="s">
        <v>26</v>
      </c>
      <c r="G545" t="s">
        <v>45</v>
      </c>
      <c r="H545" t="s">
        <v>155</v>
      </c>
      <c r="I545" t="s">
        <v>69</v>
      </c>
      <c r="J545" t="s">
        <v>156</v>
      </c>
      <c r="K545" t="s">
        <v>157</v>
      </c>
      <c r="L545" t="s">
        <v>158</v>
      </c>
      <c r="M545" t="s">
        <v>159</v>
      </c>
      <c r="N545" t="s">
        <v>52</v>
      </c>
      <c r="O545" t="s">
        <v>677</v>
      </c>
      <c r="P545" t="s">
        <v>34</v>
      </c>
      <c r="Q545" t="s">
        <v>359</v>
      </c>
      <c r="R545" t="s">
        <v>678</v>
      </c>
      <c r="S545" t="s">
        <v>131</v>
      </c>
      <c r="T545" t="s">
        <v>679</v>
      </c>
      <c r="U545" s="10" t="s">
        <v>1061</v>
      </c>
      <c r="V545" s="10" t="s">
        <v>1091</v>
      </c>
      <c r="W545" s="10" t="s">
        <v>1065</v>
      </c>
      <c r="X545" s="10" t="s">
        <v>1068</v>
      </c>
      <c r="Y545" t="s">
        <v>140</v>
      </c>
      <c r="Z545" t="s">
        <v>40</v>
      </c>
      <c r="AA545" t="s">
        <v>63</v>
      </c>
    </row>
    <row r="546" spans="1:27" x14ac:dyDescent="0.8">
      <c r="A546">
        <v>1776</v>
      </c>
      <c r="B546">
        <v>1494</v>
      </c>
      <c r="C546" s="2">
        <v>44387</v>
      </c>
      <c r="D546" t="s">
        <v>173</v>
      </c>
      <c r="E546" t="s">
        <v>103</v>
      </c>
      <c r="F546" t="s">
        <v>26</v>
      </c>
      <c r="G546" t="s">
        <v>45</v>
      </c>
      <c r="H546" t="s">
        <v>55</v>
      </c>
      <c r="I546" t="s">
        <v>69</v>
      </c>
      <c r="J546" t="s">
        <v>680</v>
      </c>
      <c r="K546" t="s">
        <v>681</v>
      </c>
      <c r="L546" t="s">
        <v>112</v>
      </c>
      <c r="M546" t="s">
        <v>682</v>
      </c>
      <c r="N546" t="s">
        <v>61</v>
      </c>
      <c r="O546" t="s">
        <v>677</v>
      </c>
      <c r="P546" t="s">
        <v>34</v>
      </c>
      <c r="Q546" t="s">
        <v>359</v>
      </c>
      <c r="R546" t="s">
        <v>678</v>
      </c>
      <c r="S546" t="s">
        <v>131</v>
      </c>
      <c r="T546" t="s">
        <v>679</v>
      </c>
      <c r="U546" s="10" t="s">
        <v>1061</v>
      </c>
      <c r="V546" s="10" t="s">
        <v>1091</v>
      </c>
      <c r="W546" s="10" t="s">
        <v>1065</v>
      </c>
      <c r="X546" s="10" t="s">
        <v>1068</v>
      </c>
      <c r="Y546" t="s">
        <v>39</v>
      </c>
      <c r="Z546" t="s">
        <v>40</v>
      </c>
      <c r="AA546" t="s">
        <v>41</v>
      </c>
    </row>
    <row r="547" spans="1:27" x14ac:dyDescent="0.8">
      <c r="A547">
        <v>1774</v>
      </c>
      <c r="B547">
        <v>1492</v>
      </c>
      <c r="C547" s="2">
        <v>44387</v>
      </c>
      <c r="D547" t="s">
        <v>173</v>
      </c>
      <c r="E547" t="s">
        <v>103</v>
      </c>
      <c r="F547" t="s">
        <v>26</v>
      </c>
      <c r="G547" t="s">
        <v>45</v>
      </c>
      <c r="H547" t="s">
        <v>55</v>
      </c>
      <c r="I547" t="s">
        <v>69</v>
      </c>
      <c r="J547" t="s">
        <v>680</v>
      </c>
      <c r="K547" t="s">
        <v>681</v>
      </c>
      <c r="L547" t="s">
        <v>112</v>
      </c>
      <c r="M547" t="s">
        <v>682</v>
      </c>
      <c r="N547" t="s">
        <v>61</v>
      </c>
      <c r="O547" t="s">
        <v>677</v>
      </c>
      <c r="P547" t="s">
        <v>34</v>
      </c>
      <c r="Q547" t="s">
        <v>359</v>
      </c>
      <c r="R547" t="s">
        <v>678</v>
      </c>
      <c r="S547" t="s">
        <v>131</v>
      </c>
      <c r="T547" t="s">
        <v>679</v>
      </c>
      <c r="U547" s="10" t="s">
        <v>1061</v>
      </c>
      <c r="V547" s="10" t="s">
        <v>1091</v>
      </c>
      <c r="W547" s="10" t="s">
        <v>1065</v>
      </c>
      <c r="X547" s="10" t="s">
        <v>1068</v>
      </c>
      <c r="Y547" t="s">
        <v>39</v>
      </c>
      <c r="Z547" t="s">
        <v>40</v>
      </c>
      <c r="AA547" t="s">
        <v>41</v>
      </c>
    </row>
    <row r="548" spans="1:27" x14ac:dyDescent="0.8">
      <c r="A548">
        <v>1438</v>
      </c>
      <c r="B548">
        <v>2235</v>
      </c>
      <c r="C548" s="2">
        <v>44387</v>
      </c>
      <c r="D548" t="s">
        <v>173</v>
      </c>
      <c r="E548" t="s">
        <v>25</v>
      </c>
      <c r="F548" t="s">
        <v>26</v>
      </c>
      <c r="G548" t="s">
        <v>45</v>
      </c>
      <c r="H548" t="s">
        <v>55</v>
      </c>
      <c r="I548" t="s">
        <v>69</v>
      </c>
      <c r="J548" t="s">
        <v>680</v>
      </c>
      <c r="K548" t="s">
        <v>681</v>
      </c>
      <c r="L548" t="s">
        <v>112</v>
      </c>
      <c r="M548" t="s">
        <v>682</v>
      </c>
      <c r="N548" t="s">
        <v>61</v>
      </c>
      <c r="O548" t="s">
        <v>677</v>
      </c>
      <c r="P548" t="s">
        <v>34</v>
      </c>
      <c r="Q548" t="s">
        <v>359</v>
      </c>
      <c r="R548" t="s">
        <v>678</v>
      </c>
      <c r="S548" t="s">
        <v>131</v>
      </c>
      <c r="T548" t="s">
        <v>679</v>
      </c>
      <c r="U548" s="10" t="s">
        <v>1061</v>
      </c>
      <c r="V548" s="10" t="s">
        <v>1091</v>
      </c>
      <c r="W548" s="10" t="s">
        <v>1065</v>
      </c>
      <c r="X548" s="10" t="s">
        <v>1068</v>
      </c>
      <c r="Y548" t="s">
        <v>39</v>
      </c>
      <c r="Z548" t="s">
        <v>62</v>
      </c>
      <c r="AA548" t="s">
        <v>63</v>
      </c>
    </row>
    <row r="549" spans="1:27" x14ac:dyDescent="0.8">
      <c r="A549">
        <v>1433</v>
      </c>
      <c r="B549">
        <v>2180</v>
      </c>
      <c r="C549" s="2">
        <v>44387</v>
      </c>
      <c r="D549" t="s">
        <v>173</v>
      </c>
      <c r="E549" t="s">
        <v>63</v>
      </c>
      <c r="F549" t="s">
        <v>26</v>
      </c>
      <c r="G549" t="s">
        <v>45</v>
      </c>
      <c r="H549" t="s">
        <v>55</v>
      </c>
      <c r="I549" t="s">
        <v>69</v>
      </c>
      <c r="J549" t="s">
        <v>680</v>
      </c>
      <c r="K549" t="s">
        <v>681</v>
      </c>
      <c r="L549" t="s">
        <v>112</v>
      </c>
      <c r="M549" t="s">
        <v>682</v>
      </c>
      <c r="N549" t="s">
        <v>61</v>
      </c>
      <c r="O549" t="s">
        <v>677</v>
      </c>
      <c r="P549" t="s">
        <v>34</v>
      </c>
      <c r="Q549" t="s">
        <v>359</v>
      </c>
      <c r="R549" t="s">
        <v>678</v>
      </c>
      <c r="S549" t="s">
        <v>131</v>
      </c>
      <c r="T549" t="s">
        <v>679</v>
      </c>
      <c r="U549" s="10" t="s">
        <v>1061</v>
      </c>
      <c r="V549" s="10" t="s">
        <v>1091</v>
      </c>
      <c r="W549" s="10" t="s">
        <v>1065</v>
      </c>
      <c r="X549" s="10" t="s">
        <v>1068</v>
      </c>
      <c r="Y549" t="s">
        <v>39</v>
      </c>
      <c r="Z549" t="s">
        <v>40</v>
      </c>
      <c r="AA549" t="s">
        <v>63</v>
      </c>
    </row>
    <row r="550" spans="1:27" x14ac:dyDescent="0.8">
      <c r="A550">
        <v>1439</v>
      </c>
      <c r="B550">
        <v>2236</v>
      </c>
      <c r="C550" s="2">
        <v>44387</v>
      </c>
      <c r="D550" t="s">
        <v>173</v>
      </c>
      <c r="E550" t="s">
        <v>25</v>
      </c>
      <c r="F550" t="s">
        <v>26</v>
      </c>
      <c r="G550" t="s">
        <v>45</v>
      </c>
      <c r="H550" t="s">
        <v>68</v>
      </c>
      <c r="I550" t="s">
        <v>69</v>
      </c>
      <c r="J550" t="s">
        <v>70</v>
      </c>
      <c r="K550" t="s">
        <v>71</v>
      </c>
      <c r="L550" t="s">
        <v>72</v>
      </c>
      <c r="M550" t="s">
        <v>73</v>
      </c>
      <c r="N550" t="s">
        <v>61</v>
      </c>
      <c r="O550" t="s">
        <v>677</v>
      </c>
      <c r="P550" t="s">
        <v>34</v>
      </c>
      <c r="Q550" t="s">
        <v>359</v>
      </c>
      <c r="R550" t="s">
        <v>678</v>
      </c>
      <c r="S550" t="s">
        <v>131</v>
      </c>
      <c r="T550" t="s">
        <v>679</v>
      </c>
      <c r="U550" s="10" t="s">
        <v>1061</v>
      </c>
      <c r="V550" s="10" t="s">
        <v>1091</v>
      </c>
      <c r="W550" s="10" t="s">
        <v>1065</v>
      </c>
      <c r="X550" s="10" t="s">
        <v>1068</v>
      </c>
      <c r="Y550" t="s">
        <v>39</v>
      </c>
      <c r="Z550" t="s">
        <v>40</v>
      </c>
      <c r="AA550" t="s">
        <v>63</v>
      </c>
    </row>
    <row r="551" spans="1:27" x14ac:dyDescent="0.8">
      <c r="A551">
        <v>1415</v>
      </c>
      <c r="B551">
        <v>2162</v>
      </c>
      <c r="C551" s="2">
        <v>44387</v>
      </c>
      <c r="D551" t="s">
        <v>173</v>
      </c>
      <c r="E551" t="s">
        <v>150</v>
      </c>
      <c r="F551" t="s">
        <v>26</v>
      </c>
      <c r="G551" t="s">
        <v>45</v>
      </c>
      <c r="H551" t="s">
        <v>68</v>
      </c>
      <c r="I551" t="s">
        <v>69</v>
      </c>
      <c r="J551" t="s">
        <v>70</v>
      </c>
      <c r="K551" t="s">
        <v>71</v>
      </c>
      <c r="L551" t="s">
        <v>72</v>
      </c>
      <c r="M551" t="s">
        <v>73</v>
      </c>
      <c r="N551" t="s">
        <v>61</v>
      </c>
      <c r="O551" t="s">
        <v>677</v>
      </c>
      <c r="P551" t="s">
        <v>34</v>
      </c>
      <c r="Q551" t="s">
        <v>359</v>
      </c>
      <c r="R551" t="s">
        <v>678</v>
      </c>
      <c r="S551" t="s">
        <v>131</v>
      </c>
      <c r="T551" t="s">
        <v>679</v>
      </c>
      <c r="U551" s="10" t="s">
        <v>1061</v>
      </c>
      <c r="V551" s="10" t="s">
        <v>1091</v>
      </c>
      <c r="W551" s="10" t="s">
        <v>1065</v>
      </c>
      <c r="X551" s="10" t="s">
        <v>1068</v>
      </c>
      <c r="Y551" t="s">
        <v>39</v>
      </c>
      <c r="Z551" t="s">
        <v>40</v>
      </c>
      <c r="AA551" t="s">
        <v>63</v>
      </c>
    </row>
    <row r="552" spans="1:27" x14ac:dyDescent="0.8">
      <c r="A552">
        <v>1412</v>
      </c>
      <c r="B552">
        <v>2159</v>
      </c>
      <c r="C552" s="2">
        <v>44387</v>
      </c>
      <c r="D552" t="s">
        <v>173</v>
      </c>
      <c r="E552" t="s">
        <v>150</v>
      </c>
      <c r="F552" t="s">
        <v>26</v>
      </c>
      <c r="G552" t="s">
        <v>45</v>
      </c>
      <c r="H552" t="s">
        <v>68</v>
      </c>
      <c r="I552" t="s">
        <v>69</v>
      </c>
      <c r="J552" t="s">
        <v>70</v>
      </c>
      <c r="K552" t="s">
        <v>71</v>
      </c>
      <c r="L552" t="s">
        <v>72</v>
      </c>
      <c r="M552" t="s">
        <v>73</v>
      </c>
      <c r="N552" t="s">
        <v>61</v>
      </c>
      <c r="O552" t="s">
        <v>677</v>
      </c>
      <c r="P552" t="s">
        <v>34</v>
      </c>
      <c r="Q552" t="s">
        <v>359</v>
      </c>
      <c r="R552" t="s">
        <v>678</v>
      </c>
      <c r="S552" t="s">
        <v>131</v>
      </c>
      <c r="T552" t="s">
        <v>679</v>
      </c>
      <c r="U552" s="10" t="s">
        <v>1061</v>
      </c>
      <c r="V552" s="10" t="s">
        <v>1091</v>
      </c>
      <c r="W552" s="10" t="s">
        <v>1065</v>
      </c>
      <c r="X552" s="10" t="s">
        <v>1068</v>
      </c>
      <c r="Y552" t="s">
        <v>39</v>
      </c>
      <c r="Z552" t="s">
        <v>40</v>
      </c>
      <c r="AA552" t="s">
        <v>63</v>
      </c>
    </row>
    <row r="553" spans="1:27" x14ac:dyDescent="0.8">
      <c r="A553">
        <v>1406</v>
      </c>
      <c r="B553">
        <v>2153</v>
      </c>
      <c r="C553" s="2">
        <v>44387</v>
      </c>
      <c r="D553" t="s">
        <v>173</v>
      </c>
      <c r="E553" t="s">
        <v>63</v>
      </c>
      <c r="F553" t="s">
        <v>26</v>
      </c>
      <c r="G553" t="s">
        <v>45</v>
      </c>
      <c r="H553" t="s">
        <v>155</v>
      </c>
      <c r="I553" t="s">
        <v>69</v>
      </c>
      <c r="J553" t="s">
        <v>156</v>
      </c>
      <c r="K553" t="s">
        <v>157</v>
      </c>
      <c r="L553" t="s">
        <v>500</v>
      </c>
      <c r="M553" t="s">
        <v>501</v>
      </c>
      <c r="N553" t="s">
        <v>52</v>
      </c>
      <c r="O553" t="s">
        <v>677</v>
      </c>
      <c r="P553" t="s">
        <v>34</v>
      </c>
      <c r="Q553" t="s">
        <v>359</v>
      </c>
      <c r="R553" t="s">
        <v>678</v>
      </c>
      <c r="S553" t="s">
        <v>131</v>
      </c>
      <c r="T553" t="s">
        <v>679</v>
      </c>
      <c r="U553" s="10" t="s">
        <v>1061</v>
      </c>
      <c r="V553" s="10" t="s">
        <v>1091</v>
      </c>
      <c r="W553" s="10" t="s">
        <v>1065</v>
      </c>
      <c r="X553" s="10" t="s">
        <v>1068</v>
      </c>
      <c r="Y553" t="s">
        <v>39</v>
      </c>
      <c r="Z553" t="s">
        <v>40</v>
      </c>
      <c r="AA553" t="s">
        <v>63</v>
      </c>
    </row>
    <row r="554" spans="1:27" x14ac:dyDescent="0.8">
      <c r="A554">
        <v>1766</v>
      </c>
      <c r="B554">
        <v>1484</v>
      </c>
      <c r="C554" s="2">
        <v>44387</v>
      </c>
      <c r="D554" t="s">
        <v>173</v>
      </c>
      <c r="E554" t="s">
        <v>63</v>
      </c>
      <c r="F554" t="s">
        <v>26</v>
      </c>
      <c r="G554" t="s">
        <v>45</v>
      </c>
      <c r="H554" t="s">
        <v>79</v>
      </c>
      <c r="I554" t="s">
        <v>69</v>
      </c>
      <c r="J554" t="s">
        <v>80</v>
      </c>
      <c r="K554" t="s">
        <v>81</v>
      </c>
      <c r="L554" t="s">
        <v>82</v>
      </c>
      <c r="M554" t="s">
        <v>83</v>
      </c>
      <c r="N554" t="s">
        <v>61</v>
      </c>
      <c r="O554" t="s">
        <v>677</v>
      </c>
      <c r="P554" t="s">
        <v>34</v>
      </c>
      <c r="Q554" t="s">
        <v>359</v>
      </c>
      <c r="R554" t="s">
        <v>678</v>
      </c>
      <c r="S554" t="s">
        <v>131</v>
      </c>
      <c r="T554" t="s">
        <v>679</v>
      </c>
      <c r="U554" s="10" t="s">
        <v>1061</v>
      </c>
      <c r="V554" s="10" t="s">
        <v>1091</v>
      </c>
      <c r="W554" s="10" t="s">
        <v>1065</v>
      </c>
      <c r="X554" s="10" t="s">
        <v>1068</v>
      </c>
      <c r="Y554" t="s">
        <v>39</v>
      </c>
      <c r="Z554" t="s">
        <v>40</v>
      </c>
      <c r="AA554" t="s">
        <v>41</v>
      </c>
    </row>
    <row r="555" spans="1:27" x14ac:dyDescent="0.8">
      <c r="A555">
        <v>1430</v>
      </c>
      <c r="B555">
        <v>2177</v>
      </c>
      <c r="C555" s="2">
        <v>44387</v>
      </c>
      <c r="D555" t="s">
        <v>173</v>
      </c>
      <c r="E555" t="s">
        <v>103</v>
      </c>
      <c r="F555" t="s">
        <v>26</v>
      </c>
      <c r="G555" t="s">
        <v>94</v>
      </c>
      <c r="H555" t="s">
        <v>95</v>
      </c>
      <c r="I555" t="s">
        <v>96</v>
      </c>
      <c r="J555" t="s">
        <v>97</v>
      </c>
      <c r="K555" t="s">
        <v>98</v>
      </c>
      <c r="L555" t="s">
        <v>99</v>
      </c>
      <c r="M555" t="s">
        <v>100</v>
      </c>
      <c r="N555" t="s">
        <v>101</v>
      </c>
      <c r="O555" t="s">
        <v>677</v>
      </c>
      <c r="P555" t="s">
        <v>34</v>
      </c>
      <c r="Q555" t="s">
        <v>359</v>
      </c>
      <c r="R555" t="s">
        <v>678</v>
      </c>
      <c r="S555" t="s">
        <v>131</v>
      </c>
      <c r="T555" t="s">
        <v>679</v>
      </c>
      <c r="U555" s="10" t="s">
        <v>1061</v>
      </c>
      <c r="V555" s="10" t="s">
        <v>1091</v>
      </c>
      <c r="W555" s="10" t="s">
        <v>1065</v>
      </c>
      <c r="X555" s="10" t="s">
        <v>1068</v>
      </c>
      <c r="Y555" t="s">
        <v>39</v>
      </c>
      <c r="Z555" t="s">
        <v>40</v>
      </c>
      <c r="AA555" t="s">
        <v>63</v>
      </c>
    </row>
    <row r="556" spans="1:27" x14ac:dyDescent="0.8">
      <c r="A556">
        <v>1424</v>
      </c>
      <c r="B556">
        <v>2171</v>
      </c>
      <c r="C556" s="2">
        <v>44387</v>
      </c>
      <c r="D556" t="s">
        <v>173</v>
      </c>
      <c r="E556" t="s">
        <v>25</v>
      </c>
      <c r="F556" t="s">
        <v>26</v>
      </c>
      <c r="G556" t="s">
        <v>94</v>
      </c>
      <c r="H556" t="s">
        <v>95</v>
      </c>
      <c r="I556" t="s">
        <v>96</v>
      </c>
      <c r="J556" t="s">
        <v>97</v>
      </c>
      <c r="K556" t="s">
        <v>98</v>
      </c>
      <c r="L556" t="s">
        <v>99</v>
      </c>
      <c r="M556" t="s">
        <v>100</v>
      </c>
      <c r="N556" t="s">
        <v>101</v>
      </c>
      <c r="O556" t="s">
        <v>677</v>
      </c>
      <c r="P556" t="s">
        <v>34</v>
      </c>
      <c r="Q556" t="s">
        <v>359</v>
      </c>
      <c r="R556" t="s">
        <v>678</v>
      </c>
      <c r="S556" t="s">
        <v>131</v>
      </c>
      <c r="T556" t="s">
        <v>679</v>
      </c>
      <c r="U556" s="10" t="s">
        <v>1061</v>
      </c>
      <c r="V556" s="10" t="s">
        <v>1091</v>
      </c>
      <c r="W556" s="10" t="s">
        <v>1065</v>
      </c>
      <c r="X556" s="10" t="s">
        <v>1068</v>
      </c>
      <c r="Y556" t="s">
        <v>39</v>
      </c>
      <c r="Z556" t="s">
        <v>40</v>
      </c>
      <c r="AA556" t="s">
        <v>63</v>
      </c>
    </row>
    <row r="557" spans="1:27" x14ac:dyDescent="0.8">
      <c r="A557">
        <v>1505</v>
      </c>
      <c r="B557">
        <v>2352</v>
      </c>
      <c r="C557" s="2">
        <v>44388</v>
      </c>
      <c r="D557" t="s">
        <v>134</v>
      </c>
      <c r="E557" t="s">
        <v>53</v>
      </c>
      <c r="F557" t="s">
        <v>26</v>
      </c>
      <c r="G557" t="s">
        <v>45</v>
      </c>
      <c r="H557" t="s">
        <v>68</v>
      </c>
      <c r="I557" t="s">
        <v>69</v>
      </c>
      <c r="J557" t="s">
        <v>70</v>
      </c>
      <c r="K557" t="s">
        <v>71</v>
      </c>
      <c r="L557" t="s">
        <v>72</v>
      </c>
      <c r="M557" t="s">
        <v>73</v>
      </c>
      <c r="N557" t="s">
        <v>61</v>
      </c>
      <c r="O557" t="s">
        <v>677</v>
      </c>
      <c r="P557" t="s">
        <v>34</v>
      </c>
      <c r="Q557" t="s">
        <v>359</v>
      </c>
      <c r="R557" t="s">
        <v>678</v>
      </c>
      <c r="S557" t="s">
        <v>131</v>
      </c>
      <c r="T557" t="s">
        <v>679</v>
      </c>
      <c r="U557" s="10" t="s">
        <v>1061</v>
      </c>
      <c r="V557" s="10" t="s">
        <v>1091</v>
      </c>
      <c r="W557" s="10" t="s">
        <v>1065</v>
      </c>
      <c r="X557" s="10" t="s">
        <v>1068</v>
      </c>
      <c r="Y557" t="s">
        <v>39</v>
      </c>
      <c r="Z557" t="s">
        <v>40</v>
      </c>
      <c r="AA557" t="s">
        <v>63</v>
      </c>
    </row>
    <row r="558" spans="1:27" x14ac:dyDescent="0.8">
      <c r="A558">
        <v>1788</v>
      </c>
      <c r="B558">
        <v>1506</v>
      </c>
      <c r="C558" s="2">
        <v>44388</v>
      </c>
      <c r="D558" t="s">
        <v>134</v>
      </c>
      <c r="E558" t="s">
        <v>25</v>
      </c>
      <c r="F558" t="s">
        <v>26</v>
      </c>
      <c r="G558" t="s">
        <v>45</v>
      </c>
      <c r="H558" t="s">
        <v>155</v>
      </c>
      <c r="I558" t="s">
        <v>69</v>
      </c>
      <c r="J558" t="s">
        <v>156</v>
      </c>
      <c r="K558" t="s">
        <v>157</v>
      </c>
      <c r="L558" t="s">
        <v>158</v>
      </c>
      <c r="M558" t="s">
        <v>159</v>
      </c>
      <c r="N558" t="s">
        <v>52</v>
      </c>
      <c r="O558" t="s">
        <v>677</v>
      </c>
      <c r="P558" t="s">
        <v>34</v>
      </c>
      <c r="Q558" t="s">
        <v>359</v>
      </c>
      <c r="R558" t="s">
        <v>678</v>
      </c>
      <c r="S558" t="s">
        <v>131</v>
      </c>
      <c r="T558" t="s">
        <v>679</v>
      </c>
      <c r="U558" s="10" t="s">
        <v>1061</v>
      </c>
      <c r="V558" s="10" t="s">
        <v>1091</v>
      </c>
      <c r="W558" s="10" t="s">
        <v>1065</v>
      </c>
      <c r="X558" s="10" t="s">
        <v>1068</v>
      </c>
      <c r="Y558" t="s">
        <v>39</v>
      </c>
      <c r="Z558" t="s">
        <v>40</v>
      </c>
      <c r="AA558" t="s">
        <v>41</v>
      </c>
    </row>
    <row r="559" spans="1:27" x14ac:dyDescent="0.8">
      <c r="A559">
        <v>1499</v>
      </c>
      <c r="B559">
        <v>2346</v>
      </c>
      <c r="C559" s="2">
        <v>44388</v>
      </c>
      <c r="D559" t="s">
        <v>134</v>
      </c>
      <c r="E559" t="s">
        <v>53</v>
      </c>
      <c r="F559" t="s">
        <v>26</v>
      </c>
      <c r="G559" t="s">
        <v>45</v>
      </c>
      <c r="H559" t="s">
        <v>155</v>
      </c>
      <c r="I559" t="s">
        <v>69</v>
      </c>
      <c r="J559" t="s">
        <v>156</v>
      </c>
      <c r="K559" t="s">
        <v>157</v>
      </c>
      <c r="L559" t="s">
        <v>158</v>
      </c>
      <c r="M559" t="s">
        <v>159</v>
      </c>
      <c r="N559" t="s">
        <v>52</v>
      </c>
      <c r="O559" t="s">
        <v>677</v>
      </c>
      <c r="P559" t="s">
        <v>34</v>
      </c>
      <c r="Q559" t="s">
        <v>359</v>
      </c>
      <c r="R559" t="s">
        <v>678</v>
      </c>
      <c r="S559" t="s">
        <v>131</v>
      </c>
      <c r="T559" t="s">
        <v>679</v>
      </c>
      <c r="U559" s="10" t="s">
        <v>1061</v>
      </c>
      <c r="V559" s="10" t="s">
        <v>1091</v>
      </c>
      <c r="W559" s="10" t="s">
        <v>1065</v>
      </c>
      <c r="X559" s="10" t="s">
        <v>1068</v>
      </c>
      <c r="Y559" t="s">
        <v>39</v>
      </c>
      <c r="Z559" t="s">
        <v>40</v>
      </c>
      <c r="AA559" t="s">
        <v>63</v>
      </c>
    </row>
    <row r="560" spans="1:27" x14ac:dyDescent="0.8">
      <c r="A560">
        <v>1497</v>
      </c>
      <c r="B560">
        <v>2344</v>
      </c>
      <c r="C560" s="2">
        <v>44388</v>
      </c>
      <c r="D560" t="s">
        <v>134</v>
      </c>
      <c r="E560" t="s">
        <v>63</v>
      </c>
      <c r="F560" t="s">
        <v>26</v>
      </c>
      <c r="G560" t="s">
        <v>45</v>
      </c>
      <c r="H560" t="s">
        <v>155</v>
      </c>
      <c r="I560" t="s">
        <v>69</v>
      </c>
      <c r="J560" t="s">
        <v>156</v>
      </c>
      <c r="K560" t="s">
        <v>157</v>
      </c>
      <c r="L560" t="s">
        <v>158</v>
      </c>
      <c r="M560" t="s">
        <v>159</v>
      </c>
      <c r="N560" t="s">
        <v>52</v>
      </c>
      <c r="O560" t="s">
        <v>677</v>
      </c>
      <c r="P560" t="s">
        <v>34</v>
      </c>
      <c r="Q560" t="s">
        <v>359</v>
      </c>
      <c r="R560" t="s">
        <v>678</v>
      </c>
      <c r="S560" t="s">
        <v>131</v>
      </c>
      <c r="T560" t="s">
        <v>679</v>
      </c>
      <c r="U560" s="10" t="s">
        <v>1061</v>
      </c>
      <c r="V560" s="10" t="s">
        <v>1091</v>
      </c>
      <c r="W560" s="10" t="s">
        <v>1065</v>
      </c>
      <c r="X560" s="10" t="s">
        <v>1068</v>
      </c>
      <c r="Y560" t="s">
        <v>39</v>
      </c>
      <c r="Z560" t="s">
        <v>40</v>
      </c>
      <c r="AA560" t="s">
        <v>63</v>
      </c>
    </row>
    <row r="561" spans="1:27" x14ac:dyDescent="0.8">
      <c r="A561">
        <v>1491</v>
      </c>
      <c r="B561">
        <v>2338</v>
      </c>
      <c r="C561" s="2">
        <v>44388</v>
      </c>
      <c r="D561" t="s">
        <v>134</v>
      </c>
      <c r="E561" t="s">
        <v>63</v>
      </c>
      <c r="F561" t="s">
        <v>26</v>
      </c>
      <c r="G561" t="s">
        <v>45</v>
      </c>
      <c r="H561" t="s">
        <v>155</v>
      </c>
      <c r="I561" t="s">
        <v>69</v>
      </c>
      <c r="J561" t="s">
        <v>156</v>
      </c>
      <c r="K561" t="s">
        <v>157</v>
      </c>
      <c r="L561" t="s">
        <v>158</v>
      </c>
      <c r="M561" t="s">
        <v>159</v>
      </c>
      <c r="N561" t="s">
        <v>52</v>
      </c>
      <c r="O561" t="s">
        <v>677</v>
      </c>
      <c r="P561" t="s">
        <v>34</v>
      </c>
      <c r="Q561" t="s">
        <v>359</v>
      </c>
      <c r="R561" t="s">
        <v>678</v>
      </c>
      <c r="S561" t="s">
        <v>131</v>
      </c>
      <c r="T561" t="s">
        <v>679</v>
      </c>
      <c r="U561" s="10" t="s">
        <v>1061</v>
      </c>
      <c r="V561" s="10" t="s">
        <v>1091</v>
      </c>
      <c r="W561" s="10" t="s">
        <v>1065</v>
      </c>
      <c r="X561" s="10" t="s">
        <v>1068</v>
      </c>
      <c r="Y561" t="s">
        <v>39</v>
      </c>
      <c r="Z561" t="s">
        <v>40</v>
      </c>
      <c r="AA561" t="s">
        <v>63</v>
      </c>
    </row>
    <row r="562" spans="1:27" x14ac:dyDescent="0.8">
      <c r="A562">
        <v>1490</v>
      </c>
      <c r="B562">
        <v>2337</v>
      </c>
      <c r="C562" s="2">
        <v>44388</v>
      </c>
      <c r="D562" t="s">
        <v>134</v>
      </c>
      <c r="E562" t="s">
        <v>53</v>
      </c>
      <c r="F562" t="s">
        <v>26</v>
      </c>
      <c r="G562" t="s">
        <v>45</v>
      </c>
      <c r="H562" t="s">
        <v>155</v>
      </c>
      <c r="I562" t="s">
        <v>69</v>
      </c>
      <c r="J562" t="s">
        <v>156</v>
      </c>
      <c r="K562" t="s">
        <v>157</v>
      </c>
      <c r="L562" t="s">
        <v>158</v>
      </c>
      <c r="M562" t="s">
        <v>159</v>
      </c>
      <c r="N562" t="s">
        <v>52</v>
      </c>
      <c r="O562" t="s">
        <v>677</v>
      </c>
      <c r="P562" t="s">
        <v>34</v>
      </c>
      <c r="Q562" t="s">
        <v>359</v>
      </c>
      <c r="R562" t="s">
        <v>678</v>
      </c>
      <c r="S562" t="s">
        <v>131</v>
      </c>
      <c r="T562" t="s">
        <v>679</v>
      </c>
      <c r="U562" s="10" t="s">
        <v>1061</v>
      </c>
      <c r="V562" s="10" t="s">
        <v>1091</v>
      </c>
      <c r="W562" s="10" t="s">
        <v>1065</v>
      </c>
      <c r="X562" s="10" t="s">
        <v>1068</v>
      </c>
      <c r="Y562" t="s">
        <v>39</v>
      </c>
      <c r="Z562" t="s">
        <v>40</v>
      </c>
      <c r="AA562" t="s">
        <v>63</v>
      </c>
    </row>
    <row r="563" spans="1:27" x14ac:dyDescent="0.8">
      <c r="A563">
        <v>1468</v>
      </c>
      <c r="B563">
        <v>2265</v>
      </c>
      <c r="C563" s="2">
        <v>44388</v>
      </c>
      <c r="D563" t="s">
        <v>134</v>
      </c>
      <c r="E563" t="s">
        <v>25</v>
      </c>
      <c r="F563" t="s">
        <v>26</v>
      </c>
      <c r="G563" t="s">
        <v>45</v>
      </c>
      <c r="H563" t="s">
        <v>155</v>
      </c>
      <c r="I563" t="s">
        <v>69</v>
      </c>
      <c r="J563" t="s">
        <v>156</v>
      </c>
      <c r="K563" t="s">
        <v>157</v>
      </c>
      <c r="L563" t="s">
        <v>158</v>
      </c>
      <c r="M563" t="s">
        <v>159</v>
      </c>
      <c r="N563" t="s">
        <v>52</v>
      </c>
      <c r="O563" t="s">
        <v>677</v>
      </c>
      <c r="P563" t="s">
        <v>34</v>
      </c>
      <c r="Q563" t="s">
        <v>359</v>
      </c>
      <c r="R563" t="s">
        <v>678</v>
      </c>
      <c r="S563" t="s">
        <v>131</v>
      </c>
      <c r="T563" t="s">
        <v>679</v>
      </c>
      <c r="U563" s="10" t="s">
        <v>1061</v>
      </c>
      <c r="V563" s="10" t="s">
        <v>1091</v>
      </c>
      <c r="W563" s="10" t="s">
        <v>1065</v>
      </c>
      <c r="X563" s="10" t="s">
        <v>1068</v>
      </c>
      <c r="Y563" t="s">
        <v>39</v>
      </c>
      <c r="Z563" t="s">
        <v>40</v>
      </c>
      <c r="AA563" t="s">
        <v>63</v>
      </c>
    </row>
    <row r="564" spans="1:27" x14ac:dyDescent="0.8">
      <c r="A564">
        <v>1461</v>
      </c>
      <c r="B564">
        <v>2258</v>
      </c>
      <c r="C564" s="2">
        <v>44388</v>
      </c>
      <c r="D564" t="s">
        <v>134</v>
      </c>
      <c r="E564" t="s">
        <v>63</v>
      </c>
      <c r="F564" t="s">
        <v>26</v>
      </c>
      <c r="G564" t="s">
        <v>45</v>
      </c>
      <c r="H564" t="s">
        <v>155</v>
      </c>
      <c r="I564" t="s">
        <v>69</v>
      </c>
      <c r="J564" t="s">
        <v>156</v>
      </c>
      <c r="K564" t="s">
        <v>157</v>
      </c>
      <c r="L564" t="s">
        <v>158</v>
      </c>
      <c r="M564" t="s">
        <v>159</v>
      </c>
      <c r="N564" t="s">
        <v>52</v>
      </c>
      <c r="O564" t="s">
        <v>677</v>
      </c>
      <c r="P564" t="s">
        <v>34</v>
      </c>
      <c r="Q564" t="s">
        <v>359</v>
      </c>
      <c r="R564" t="s">
        <v>678</v>
      </c>
      <c r="S564" t="s">
        <v>131</v>
      </c>
      <c r="T564" t="s">
        <v>679</v>
      </c>
      <c r="U564" s="10" t="s">
        <v>1061</v>
      </c>
      <c r="V564" s="10" t="s">
        <v>1091</v>
      </c>
      <c r="W564" s="10" t="s">
        <v>1065</v>
      </c>
      <c r="X564" s="10" t="s">
        <v>1068</v>
      </c>
      <c r="Y564" t="s">
        <v>39</v>
      </c>
      <c r="Z564" t="s">
        <v>40</v>
      </c>
      <c r="AA564" t="s">
        <v>63</v>
      </c>
    </row>
    <row r="565" spans="1:27" x14ac:dyDescent="0.8">
      <c r="A565">
        <v>1460</v>
      </c>
      <c r="B565">
        <v>2257</v>
      </c>
      <c r="C565" s="2">
        <v>44388</v>
      </c>
      <c r="D565" t="s">
        <v>134</v>
      </c>
      <c r="E565" t="s">
        <v>125</v>
      </c>
      <c r="F565" t="s">
        <v>26</v>
      </c>
      <c r="G565" t="s">
        <v>45</v>
      </c>
      <c r="H565" t="s">
        <v>155</v>
      </c>
      <c r="I565" t="s">
        <v>69</v>
      </c>
      <c r="J565" t="s">
        <v>156</v>
      </c>
      <c r="K565" t="s">
        <v>157</v>
      </c>
      <c r="L565" t="s">
        <v>158</v>
      </c>
      <c r="M565" t="s">
        <v>159</v>
      </c>
      <c r="N565" t="s">
        <v>52</v>
      </c>
      <c r="O565" t="s">
        <v>677</v>
      </c>
      <c r="P565" t="s">
        <v>34</v>
      </c>
      <c r="Q565" t="s">
        <v>359</v>
      </c>
      <c r="R565" t="s">
        <v>678</v>
      </c>
      <c r="S565" t="s">
        <v>131</v>
      </c>
      <c r="T565" t="s">
        <v>679</v>
      </c>
      <c r="U565" s="10" t="s">
        <v>1061</v>
      </c>
      <c r="V565" s="10" t="s">
        <v>1091</v>
      </c>
      <c r="W565" s="10" t="s">
        <v>1065</v>
      </c>
      <c r="X565" s="10" t="s">
        <v>1068</v>
      </c>
      <c r="Y565" t="s">
        <v>39</v>
      </c>
      <c r="Z565" t="s">
        <v>40</v>
      </c>
      <c r="AA565" t="s">
        <v>63</v>
      </c>
    </row>
    <row r="566" spans="1:27" x14ac:dyDescent="0.8">
      <c r="A566">
        <v>1455</v>
      </c>
      <c r="B566">
        <v>2252</v>
      </c>
      <c r="C566" s="2">
        <v>44388</v>
      </c>
      <c r="D566" t="s">
        <v>134</v>
      </c>
      <c r="E566" t="s">
        <v>53</v>
      </c>
      <c r="F566" t="s">
        <v>26</v>
      </c>
      <c r="G566" t="s">
        <v>45</v>
      </c>
      <c r="H566" t="s">
        <v>155</v>
      </c>
      <c r="I566" t="s">
        <v>69</v>
      </c>
      <c r="J566" t="s">
        <v>156</v>
      </c>
      <c r="K566" t="s">
        <v>157</v>
      </c>
      <c r="L566" t="s">
        <v>158</v>
      </c>
      <c r="M566" t="s">
        <v>159</v>
      </c>
      <c r="N566" t="s">
        <v>52</v>
      </c>
      <c r="O566" t="s">
        <v>677</v>
      </c>
      <c r="P566" t="s">
        <v>34</v>
      </c>
      <c r="Q566" t="s">
        <v>359</v>
      </c>
      <c r="R566" t="s">
        <v>678</v>
      </c>
      <c r="S566" t="s">
        <v>131</v>
      </c>
      <c r="T566" t="s">
        <v>679</v>
      </c>
      <c r="U566" s="10" t="s">
        <v>1061</v>
      </c>
      <c r="V566" s="10" t="s">
        <v>1091</v>
      </c>
      <c r="W566" s="10" t="s">
        <v>1065</v>
      </c>
      <c r="X566" s="10" t="s">
        <v>1068</v>
      </c>
      <c r="Y566" t="s">
        <v>140</v>
      </c>
      <c r="Z566" t="s">
        <v>40</v>
      </c>
      <c r="AA566" t="s">
        <v>63</v>
      </c>
    </row>
    <row r="567" spans="1:27" x14ac:dyDescent="0.8">
      <c r="A567">
        <v>1446</v>
      </c>
      <c r="B567">
        <v>2243</v>
      </c>
      <c r="C567" s="2">
        <v>44388</v>
      </c>
      <c r="D567" t="s">
        <v>134</v>
      </c>
      <c r="E567" t="s">
        <v>25</v>
      </c>
      <c r="F567" t="s">
        <v>26</v>
      </c>
      <c r="G567" t="s">
        <v>45</v>
      </c>
      <c r="H567" t="s">
        <v>155</v>
      </c>
      <c r="I567" t="s">
        <v>69</v>
      </c>
      <c r="J567" t="s">
        <v>156</v>
      </c>
      <c r="K567" t="s">
        <v>157</v>
      </c>
      <c r="L567" t="s">
        <v>158</v>
      </c>
      <c r="M567" t="s">
        <v>159</v>
      </c>
      <c r="N567" t="s">
        <v>52</v>
      </c>
      <c r="O567" t="s">
        <v>677</v>
      </c>
      <c r="P567" t="s">
        <v>34</v>
      </c>
      <c r="Q567" t="s">
        <v>359</v>
      </c>
      <c r="R567" t="s">
        <v>678</v>
      </c>
      <c r="S567" t="s">
        <v>131</v>
      </c>
      <c r="T567" t="s">
        <v>679</v>
      </c>
      <c r="U567" s="10" t="s">
        <v>1061</v>
      </c>
      <c r="V567" s="10" t="s">
        <v>1091</v>
      </c>
      <c r="W567" s="10" t="s">
        <v>1065</v>
      </c>
      <c r="X567" s="10" t="s">
        <v>1068</v>
      </c>
      <c r="Y567" t="s">
        <v>140</v>
      </c>
      <c r="Z567" t="s">
        <v>40</v>
      </c>
      <c r="AA567" t="s">
        <v>63</v>
      </c>
    </row>
    <row r="568" spans="1:27" x14ac:dyDescent="0.8">
      <c r="A568">
        <v>1445</v>
      </c>
      <c r="B568">
        <v>2242</v>
      </c>
      <c r="C568" s="2">
        <v>44388</v>
      </c>
      <c r="D568" t="s">
        <v>134</v>
      </c>
      <c r="E568" t="s">
        <v>25</v>
      </c>
      <c r="F568" t="s">
        <v>26</v>
      </c>
      <c r="G568" t="s">
        <v>45</v>
      </c>
      <c r="H568" t="s">
        <v>155</v>
      </c>
      <c r="I568" t="s">
        <v>69</v>
      </c>
      <c r="J568" t="s">
        <v>156</v>
      </c>
      <c r="K568" t="s">
        <v>157</v>
      </c>
      <c r="L568" t="s">
        <v>158</v>
      </c>
      <c r="M568" t="s">
        <v>159</v>
      </c>
      <c r="N568" t="s">
        <v>52</v>
      </c>
      <c r="O568" t="s">
        <v>677</v>
      </c>
      <c r="P568" t="s">
        <v>34</v>
      </c>
      <c r="Q568" t="s">
        <v>359</v>
      </c>
      <c r="R568" t="s">
        <v>678</v>
      </c>
      <c r="S568" t="s">
        <v>131</v>
      </c>
      <c r="T568" t="s">
        <v>679</v>
      </c>
      <c r="U568" s="10" t="s">
        <v>1061</v>
      </c>
      <c r="V568" s="10" t="s">
        <v>1091</v>
      </c>
      <c r="W568" s="10" t="s">
        <v>1065</v>
      </c>
      <c r="X568" s="10" t="s">
        <v>1068</v>
      </c>
      <c r="Y568" t="s">
        <v>140</v>
      </c>
      <c r="Z568" t="s">
        <v>62</v>
      </c>
      <c r="AA568" t="s">
        <v>63</v>
      </c>
    </row>
    <row r="569" spans="1:27" x14ac:dyDescent="0.8">
      <c r="A569">
        <v>535</v>
      </c>
      <c r="B569">
        <v>76</v>
      </c>
      <c r="C569" s="2">
        <v>44388</v>
      </c>
      <c r="D569" t="s">
        <v>235</v>
      </c>
      <c r="E569" t="s">
        <v>63</v>
      </c>
      <c r="F569" t="s">
        <v>26</v>
      </c>
      <c r="G569" t="s">
        <v>45</v>
      </c>
      <c r="H569" t="s">
        <v>68</v>
      </c>
      <c r="I569" t="s">
        <v>69</v>
      </c>
      <c r="J569" t="s">
        <v>70</v>
      </c>
      <c r="K569" t="s">
        <v>71</v>
      </c>
      <c r="L569" t="s">
        <v>72</v>
      </c>
      <c r="M569" t="s">
        <v>73</v>
      </c>
      <c r="N569" t="s">
        <v>61</v>
      </c>
      <c r="O569" t="s">
        <v>677</v>
      </c>
      <c r="P569" t="s">
        <v>34</v>
      </c>
      <c r="Q569" t="s">
        <v>359</v>
      </c>
      <c r="R569" t="s">
        <v>678</v>
      </c>
      <c r="S569" t="s">
        <v>131</v>
      </c>
      <c r="T569" t="s">
        <v>679</v>
      </c>
      <c r="U569" s="10" t="s">
        <v>1061</v>
      </c>
      <c r="V569" s="10" t="s">
        <v>1091</v>
      </c>
      <c r="W569" s="10" t="s">
        <v>1065</v>
      </c>
      <c r="X569" s="10" t="s">
        <v>1068</v>
      </c>
      <c r="Y569" t="s">
        <v>39</v>
      </c>
      <c r="Z569" t="s">
        <v>40</v>
      </c>
      <c r="AA569" t="s">
        <v>63</v>
      </c>
    </row>
    <row r="570" spans="1:27" x14ac:dyDescent="0.8">
      <c r="A570">
        <v>166</v>
      </c>
      <c r="B570">
        <v>1252</v>
      </c>
      <c r="C570" s="2">
        <v>44388</v>
      </c>
      <c r="D570" t="s">
        <v>235</v>
      </c>
      <c r="E570" t="s">
        <v>25</v>
      </c>
      <c r="F570" t="s">
        <v>26</v>
      </c>
      <c r="G570" t="s">
        <v>45</v>
      </c>
      <c r="H570" t="s">
        <v>68</v>
      </c>
      <c r="I570" t="s">
        <v>69</v>
      </c>
      <c r="J570" t="s">
        <v>70</v>
      </c>
      <c r="K570" t="s">
        <v>71</v>
      </c>
      <c r="L570" t="s">
        <v>72</v>
      </c>
      <c r="M570" t="s">
        <v>73</v>
      </c>
      <c r="N570" t="s">
        <v>61</v>
      </c>
      <c r="O570" t="s">
        <v>677</v>
      </c>
      <c r="P570" t="s">
        <v>34</v>
      </c>
      <c r="Q570" t="s">
        <v>359</v>
      </c>
      <c r="R570" t="s">
        <v>678</v>
      </c>
      <c r="S570" t="s">
        <v>131</v>
      </c>
      <c r="T570" t="s">
        <v>679</v>
      </c>
      <c r="U570" s="10" t="s">
        <v>1061</v>
      </c>
      <c r="V570" s="10" t="s">
        <v>1091</v>
      </c>
      <c r="W570" s="10" t="s">
        <v>1065</v>
      </c>
      <c r="X570" s="10" t="s">
        <v>1068</v>
      </c>
      <c r="Y570" t="s">
        <v>39</v>
      </c>
      <c r="Z570" t="s">
        <v>40</v>
      </c>
      <c r="AA570" t="s">
        <v>53</v>
      </c>
    </row>
    <row r="571" spans="1:27" x14ac:dyDescent="0.8">
      <c r="A571">
        <v>164</v>
      </c>
      <c r="B571">
        <v>1180</v>
      </c>
      <c r="C571" s="2">
        <v>44388</v>
      </c>
      <c r="D571" t="s">
        <v>235</v>
      </c>
      <c r="E571" t="s">
        <v>63</v>
      </c>
      <c r="F571" t="s">
        <v>26</v>
      </c>
      <c r="G571" t="s">
        <v>45</v>
      </c>
      <c r="H571" t="s">
        <v>68</v>
      </c>
      <c r="I571" t="s">
        <v>69</v>
      </c>
      <c r="J571" t="s">
        <v>70</v>
      </c>
      <c r="K571" t="s">
        <v>71</v>
      </c>
      <c r="L571" t="s">
        <v>72</v>
      </c>
      <c r="M571" t="s">
        <v>73</v>
      </c>
      <c r="N571" t="s">
        <v>61</v>
      </c>
      <c r="O571" t="s">
        <v>677</v>
      </c>
      <c r="P571" t="s">
        <v>34</v>
      </c>
      <c r="Q571" t="s">
        <v>359</v>
      </c>
      <c r="R571" t="s">
        <v>678</v>
      </c>
      <c r="S571" t="s">
        <v>131</v>
      </c>
      <c r="T571" t="s">
        <v>679</v>
      </c>
      <c r="U571" s="10" t="s">
        <v>1061</v>
      </c>
      <c r="V571" s="10" t="s">
        <v>1091</v>
      </c>
      <c r="W571" s="10" t="s">
        <v>1065</v>
      </c>
      <c r="X571" s="10" t="s">
        <v>1068</v>
      </c>
      <c r="Y571" t="s">
        <v>39</v>
      </c>
      <c r="Z571" t="s">
        <v>40</v>
      </c>
      <c r="AA571" t="s">
        <v>53</v>
      </c>
    </row>
    <row r="572" spans="1:27" x14ac:dyDescent="0.8">
      <c r="A572">
        <v>154</v>
      </c>
      <c r="B572">
        <v>1170</v>
      </c>
      <c r="C572" s="2">
        <v>44388</v>
      </c>
      <c r="D572" t="s">
        <v>235</v>
      </c>
      <c r="E572" t="s">
        <v>63</v>
      </c>
      <c r="F572" t="s">
        <v>26</v>
      </c>
      <c r="G572" t="s">
        <v>45</v>
      </c>
      <c r="H572" t="s">
        <v>55</v>
      </c>
      <c r="I572" t="s">
        <v>249</v>
      </c>
      <c r="J572" t="s">
        <v>250</v>
      </c>
      <c r="K572" t="s">
        <v>251</v>
      </c>
      <c r="L572" t="s">
        <v>323</v>
      </c>
      <c r="M572" t="s">
        <v>324</v>
      </c>
      <c r="N572" t="s">
        <v>52</v>
      </c>
      <c r="O572" t="s">
        <v>677</v>
      </c>
      <c r="P572" t="s">
        <v>34</v>
      </c>
      <c r="Q572" t="s">
        <v>359</v>
      </c>
      <c r="R572" t="s">
        <v>678</v>
      </c>
      <c r="S572" t="s">
        <v>131</v>
      </c>
      <c r="T572" t="s">
        <v>679</v>
      </c>
      <c r="U572" s="10" t="s">
        <v>1061</v>
      </c>
      <c r="V572" s="10" t="s">
        <v>1091</v>
      </c>
      <c r="W572" s="10" t="s">
        <v>1065</v>
      </c>
      <c r="X572" s="10" t="s">
        <v>1068</v>
      </c>
      <c r="Y572" t="s">
        <v>140</v>
      </c>
      <c r="Z572" t="s">
        <v>40</v>
      </c>
      <c r="AA572" t="s">
        <v>53</v>
      </c>
    </row>
    <row r="573" spans="1:27" x14ac:dyDescent="0.8">
      <c r="A573">
        <v>615</v>
      </c>
      <c r="B573">
        <v>1386</v>
      </c>
      <c r="C573" s="2">
        <v>44386</v>
      </c>
      <c r="D573" t="s">
        <v>43</v>
      </c>
      <c r="E573" t="s">
        <v>25</v>
      </c>
      <c r="F573" t="s">
        <v>26</v>
      </c>
      <c r="G573" t="s">
        <v>45</v>
      </c>
      <c r="H573" t="s">
        <v>68</v>
      </c>
      <c r="I573" t="s">
        <v>69</v>
      </c>
      <c r="J573" t="s">
        <v>70</v>
      </c>
      <c r="K573" t="s">
        <v>71</v>
      </c>
      <c r="L573" t="s">
        <v>72</v>
      </c>
      <c r="M573" t="s">
        <v>73</v>
      </c>
      <c r="N573" t="s">
        <v>61</v>
      </c>
      <c r="O573" t="s">
        <v>677</v>
      </c>
      <c r="P573" t="s">
        <v>34</v>
      </c>
      <c r="Q573" t="s">
        <v>359</v>
      </c>
      <c r="R573" t="s">
        <v>678</v>
      </c>
      <c r="S573" t="s">
        <v>131</v>
      </c>
      <c r="T573" t="s">
        <v>679</v>
      </c>
      <c r="U573" s="10" t="s">
        <v>1061</v>
      </c>
      <c r="V573" s="10" t="s">
        <v>1091</v>
      </c>
      <c r="W573" s="10" t="s">
        <v>1065</v>
      </c>
      <c r="X573" s="10" t="s">
        <v>1068</v>
      </c>
      <c r="Y573" t="s">
        <v>140</v>
      </c>
      <c r="Z573" t="s">
        <v>40</v>
      </c>
      <c r="AA573" t="s">
        <v>63</v>
      </c>
    </row>
    <row r="574" spans="1:27" x14ac:dyDescent="0.8">
      <c r="A574">
        <v>280</v>
      </c>
      <c r="B574">
        <v>894</v>
      </c>
      <c r="C574" s="2">
        <v>44386</v>
      </c>
      <c r="D574" t="s">
        <v>43</v>
      </c>
      <c r="E574" t="s">
        <v>25</v>
      </c>
      <c r="F574" t="s">
        <v>26</v>
      </c>
      <c r="G574" t="s">
        <v>45</v>
      </c>
      <c r="H574" t="s">
        <v>68</v>
      </c>
      <c r="I574" t="s">
        <v>69</v>
      </c>
      <c r="J574" t="s">
        <v>70</v>
      </c>
      <c r="K574" t="s">
        <v>71</v>
      </c>
      <c r="L574" t="s">
        <v>72</v>
      </c>
      <c r="M574" t="s">
        <v>73</v>
      </c>
      <c r="N574" t="s">
        <v>61</v>
      </c>
      <c r="O574" t="s">
        <v>677</v>
      </c>
      <c r="P574" t="s">
        <v>34</v>
      </c>
      <c r="Q574" t="s">
        <v>359</v>
      </c>
      <c r="R574" t="s">
        <v>678</v>
      </c>
      <c r="S574" t="s">
        <v>131</v>
      </c>
      <c r="T574" t="s">
        <v>679</v>
      </c>
      <c r="U574" s="10" t="s">
        <v>1061</v>
      </c>
      <c r="V574" s="10" t="s">
        <v>1091</v>
      </c>
      <c r="W574" s="10" t="s">
        <v>1065</v>
      </c>
      <c r="X574" s="10" t="s">
        <v>1068</v>
      </c>
      <c r="Y574" t="s">
        <v>39</v>
      </c>
      <c r="Z574" t="s">
        <v>40</v>
      </c>
      <c r="AA574" t="s">
        <v>53</v>
      </c>
    </row>
    <row r="575" spans="1:27" x14ac:dyDescent="0.8">
      <c r="A575">
        <v>625</v>
      </c>
      <c r="B575">
        <v>222</v>
      </c>
      <c r="C575" s="2">
        <v>44386</v>
      </c>
      <c r="D575" t="s">
        <v>43</v>
      </c>
      <c r="E575" t="s">
        <v>25</v>
      </c>
      <c r="F575" t="s">
        <v>26</v>
      </c>
      <c r="G575" t="s">
        <v>45</v>
      </c>
      <c r="H575" t="s">
        <v>55</v>
      </c>
      <c r="I575" t="s">
        <v>56</v>
      </c>
      <c r="J575" t="s">
        <v>57</v>
      </c>
      <c r="K575" t="s">
        <v>58</v>
      </c>
      <c r="L575" t="s">
        <v>521</v>
      </c>
      <c r="M575" t="s">
        <v>522</v>
      </c>
      <c r="O575" t="s">
        <v>677</v>
      </c>
      <c r="P575" t="s">
        <v>34</v>
      </c>
      <c r="Q575" t="s">
        <v>359</v>
      </c>
      <c r="R575" t="s">
        <v>678</v>
      </c>
      <c r="S575" t="s">
        <v>131</v>
      </c>
      <c r="T575" t="s">
        <v>679</v>
      </c>
      <c r="U575" s="10" t="s">
        <v>1061</v>
      </c>
      <c r="V575" s="10" t="s">
        <v>1091</v>
      </c>
      <c r="W575" s="10" t="s">
        <v>1065</v>
      </c>
      <c r="X575" s="10" t="s">
        <v>1068</v>
      </c>
      <c r="Y575" t="s">
        <v>140</v>
      </c>
      <c r="Z575" t="s">
        <v>40</v>
      </c>
      <c r="AA575" t="s">
        <v>63</v>
      </c>
    </row>
    <row r="576" spans="1:27" x14ac:dyDescent="0.8">
      <c r="A576">
        <v>609</v>
      </c>
      <c r="B576">
        <v>708</v>
      </c>
      <c r="C576" s="2">
        <v>44386</v>
      </c>
      <c r="D576" t="s">
        <v>43</v>
      </c>
      <c r="E576" t="s">
        <v>25</v>
      </c>
      <c r="F576" t="s">
        <v>26</v>
      </c>
      <c r="G576" t="s">
        <v>45</v>
      </c>
      <c r="H576" t="s">
        <v>55</v>
      </c>
      <c r="I576" t="s">
        <v>249</v>
      </c>
      <c r="J576" t="s">
        <v>250</v>
      </c>
      <c r="K576" t="s">
        <v>251</v>
      </c>
      <c r="L576" t="s">
        <v>683</v>
      </c>
      <c r="M576" t="s">
        <v>684</v>
      </c>
      <c r="N576" t="s">
        <v>52</v>
      </c>
      <c r="O576" t="s">
        <v>677</v>
      </c>
      <c r="P576" t="s">
        <v>34</v>
      </c>
      <c r="Q576" t="s">
        <v>359</v>
      </c>
      <c r="R576" t="s">
        <v>678</v>
      </c>
      <c r="S576" t="s">
        <v>131</v>
      </c>
      <c r="T576" t="s">
        <v>679</v>
      </c>
      <c r="U576" s="10" t="s">
        <v>1061</v>
      </c>
      <c r="V576" s="10" t="s">
        <v>1091</v>
      </c>
      <c r="W576" s="10" t="s">
        <v>1065</v>
      </c>
      <c r="X576" s="10" t="s">
        <v>1068</v>
      </c>
      <c r="Y576" t="s">
        <v>140</v>
      </c>
      <c r="Z576" t="s">
        <v>40</v>
      </c>
      <c r="AA576" t="s">
        <v>63</v>
      </c>
    </row>
    <row r="577" spans="1:28" x14ac:dyDescent="0.8">
      <c r="A577">
        <v>779</v>
      </c>
      <c r="B577">
        <v>1308</v>
      </c>
      <c r="C577" s="2">
        <v>44387</v>
      </c>
      <c r="D577" t="s">
        <v>149</v>
      </c>
      <c r="E577" t="s">
        <v>150</v>
      </c>
      <c r="F577" t="s">
        <v>26</v>
      </c>
      <c r="G577" t="s">
        <v>45</v>
      </c>
      <c r="H577" t="s">
        <v>68</v>
      </c>
      <c r="I577" t="s">
        <v>69</v>
      </c>
      <c r="J577" t="s">
        <v>70</v>
      </c>
      <c r="K577" t="s">
        <v>71</v>
      </c>
      <c r="L577" t="s">
        <v>72</v>
      </c>
      <c r="M577" t="s">
        <v>73</v>
      </c>
      <c r="N577" t="s">
        <v>61</v>
      </c>
      <c r="O577" t="s">
        <v>677</v>
      </c>
      <c r="P577" t="s">
        <v>34</v>
      </c>
      <c r="Q577" t="s">
        <v>359</v>
      </c>
      <c r="R577" t="s">
        <v>678</v>
      </c>
      <c r="S577" t="s">
        <v>131</v>
      </c>
      <c r="T577" t="s">
        <v>679</v>
      </c>
      <c r="U577" s="10" t="s">
        <v>1061</v>
      </c>
      <c r="V577" s="10" t="s">
        <v>1091</v>
      </c>
      <c r="W577" s="10" t="s">
        <v>1065</v>
      </c>
      <c r="X577" s="10" t="s">
        <v>1068</v>
      </c>
      <c r="Y577" t="s">
        <v>140</v>
      </c>
      <c r="Z577" t="s">
        <v>40</v>
      </c>
      <c r="AA577" t="s">
        <v>63</v>
      </c>
    </row>
    <row r="578" spans="1:28" x14ac:dyDescent="0.8">
      <c r="A578">
        <v>998</v>
      </c>
      <c r="B578">
        <v>1354</v>
      </c>
      <c r="C578" s="2">
        <v>44385</v>
      </c>
      <c r="D578" t="s">
        <v>203</v>
      </c>
      <c r="E578" t="s">
        <v>44</v>
      </c>
      <c r="F578" t="s">
        <v>26</v>
      </c>
      <c r="G578" t="s">
        <v>45</v>
      </c>
      <c r="H578" t="s">
        <v>155</v>
      </c>
      <c r="I578" t="s">
        <v>69</v>
      </c>
      <c r="J578" t="s">
        <v>156</v>
      </c>
      <c r="K578" t="s">
        <v>157</v>
      </c>
      <c r="L578" t="s">
        <v>158</v>
      </c>
      <c r="M578" t="s">
        <v>159</v>
      </c>
      <c r="N578" t="s">
        <v>52</v>
      </c>
      <c r="O578" t="s">
        <v>677</v>
      </c>
      <c r="P578" t="s">
        <v>34</v>
      </c>
      <c r="Q578" t="s">
        <v>359</v>
      </c>
      <c r="R578" t="s">
        <v>678</v>
      </c>
      <c r="S578" t="s">
        <v>131</v>
      </c>
      <c r="T578" t="s">
        <v>679</v>
      </c>
      <c r="U578" s="10" t="s">
        <v>1061</v>
      </c>
      <c r="V578" s="10" t="s">
        <v>1091</v>
      </c>
      <c r="W578" s="10" t="s">
        <v>1065</v>
      </c>
      <c r="X578" s="10" t="s">
        <v>1068</v>
      </c>
      <c r="Y578" t="s">
        <v>39</v>
      </c>
      <c r="Z578" t="s">
        <v>40</v>
      </c>
      <c r="AA578" t="s">
        <v>63</v>
      </c>
    </row>
    <row r="579" spans="1:28" x14ac:dyDescent="0.8">
      <c r="A579">
        <v>1334</v>
      </c>
      <c r="B579">
        <v>2417</v>
      </c>
      <c r="C579" s="2">
        <v>44385</v>
      </c>
      <c r="D579" t="s">
        <v>104</v>
      </c>
      <c r="E579" t="s">
        <v>63</v>
      </c>
      <c r="F579" t="s">
        <v>26</v>
      </c>
      <c r="G579" t="s">
        <v>45</v>
      </c>
      <c r="H579" t="s">
        <v>68</v>
      </c>
      <c r="I579" t="s">
        <v>69</v>
      </c>
      <c r="J579" t="s">
        <v>70</v>
      </c>
      <c r="K579" t="s">
        <v>71</v>
      </c>
      <c r="L579" t="s">
        <v>72</v>
      </c>
      <c r="M579" t="s">
        <v>73</v>
      </c>
      <c r="N579" t="s">
        <v>61</v>
      </c>
      <c r="O579" t="s">
        <v>677</v>
      </c>
      <c r="P579" t="s">
        <v>34</v>
      </c>
      <c r="Q579" t="s">
        <v>359</v>
      </c>
      <c r="R579" t="s">
        <v>678</v>
      </c>
      <c r="S579" t="s">
        <v>131</v>
      </c>
      <c r="T579" t="s">
        <v>679</v>
      </c>
      <c r="U579" s="10" t="s">
        <v>1061</v>
      </c>
      <c r="V579" s="10" t="s">
        <v>1091</v>
      </c>
      <c r="W579" s="10" t="s">
        <v>1065</v>
      </c>
      <c r="X579" s="10" t="s">
        <v>1068</v>
      </c>
      <c r="Y579" t="s">
        <v>39</v>
      </c>
      <c r="Z579" t="s">
        <v>40</v>
      </c>
      <c r="AA579" t="s">
        <v>63</v>
      </c>
    </row>
    <row r="580" spans="1:28" x14ac:dyDescent="0.8">
      <c r="A580">
        <v>1318</v>
      </c>
      <c r="B580">
        <v>2015</v>
      </c>
      <c r="C580" s="2">
        <v>44385</v>
      </c>
      <c r="D580" t="s">
        <v>104</v>
      </c>
      <c r="E580" t="s">
        <v>25</v>
      </c>
      <c r="F580" t="s">
        <v>26</v>
      </c>
      <c r="G580" t="s">
        <v>45</v>
      </c>
      <c r="H580" t="s">
        <v>68</v>
      </c>
      <c r="I580" t="s">
        <v>69</v>
      </c>
      <c r="J580" t="s">
        <v>70</v>
      </c>
      <c r="K580" t="s">
        <v>71</v>
      </c>
      <c r="L580" t="s">
        <v>72</v>
      </c>
      <c r="M580" t="s">
        <v>73</v>
      </c>
      <c r="N580" t="s">
        <v>61</v>
      </c>
      <c r="O580" t="s">
        <v>677</v>
      </c>
      <c r="P580" t="s">
        <v>34</v>
      </c>
      <c r="Q580" t="s">
        <v>359</v>
      </c>
      <c r="R580" t="s">
        <v>678</v>
      </c>
      <c r="S580" t="s">
        <v>131</v>
      </c>
      <c r="T580" t="s">
        <v>679</v>
      </c>
      <c r="U580" s="10" t="s">
        <v>1061</v>
      </c>
      <c r="V580" s="10" t="s">
        <v>1091</v>
      </c>
      <c r="W580" s="10" t="s">
        <v>1065</v>
      </c>
      <c r="X580" s="10" t="s">
        <v>1068</v>
      </c>
      <c r="Y580" t="s">
        <v>39</v>
      </c>
      <c r="Z580" t="s">
        <v>40</v>
      </c>
      <c r="AA580" t="s">
        <v>63</v>
      </c>
    </row>
    <row r="581" spans="1:28" x14ac:dyDescent="0.8">
      <c r="A581">
        <v>1287</v>
      </c>
      <c r="B581">
        <v>1934</v>
      </c>
      <c r="C581" s="2">
        <v>44385</v>
      </c>
      <c r="D581" t="s">
        <v>104</v>
      </c>
      <c r="E581" t="s">
        <v>63</v>
      </c>
      <c r="F581" t="s">
        <v>26</v>
      </c>
      <c r="G581" t="s">
        <v>45</v>
      </c>
      <c r="H581" t="s">
        <v>68</v>
      </c>
      <c r="I581" t="s">
        <v>69</v>
      </c>
      <c r="J581" t="s">
        <v>70</v>
      </c>
      <c r="K581" t="s">
        <v>71</v>
      </c>
      <c r="L581" t="s">
        <v>72</v>
      </c>
      <c r="M581" t="s">
        <v>73</v>
      </c>
      <c r="N581" t="s">
        <v>61</v>
      </c>
      <c r="O581" t="s">
        <v>677</v>
      </c>
      <c r="P581" t="s">
        <v>34</v>
      </c>
      <c r="Q581" t="s">
        <v>359</v>
      </c>
      <c r="R581" t="s">
        <v>678</v>
      </c>
      <c r="S581" t="s">
        <v>131</v>
      </c>
      <c r="T581" t="s">
        <v>679</v>
      </c>
      <c r="U581" s="10" t="s">
        <v>1061</v>
      </c>
      <c r="V581" s="10" t="s">
        <v>1091</v>
      </c>
      <c r="W581" s="10" t="s">
        <v>1065</v>
      </c>
      <c r="X581" s="10" t="s">
        <v>1068</v>
      </c>
      <c r="Y581" t="s">
        <v>140</v>
      </c>
      <c r="Z581" t="s">
        <v>40</v>
      </c>
      <c r="AA581" t="s">
        <v>63</v>
      </c>
    </row>
    <row r="582" spans="1:28" x14ac:dyDescent="0.8">
      <c r="A582">
        <v>1282</v>
      </c>
      <c r="B582">
        <v>1929</v>
      </c>
      <c r="C582" s="2">
        <v>44385</v>
      </c>
      <c r="D582" t="s">
        <v>104</v>
      </c>
      <c r="E582" t="s">
        <v>103</v>
      </c>
      <c r="F582" t="s">
        <v>26</v>
      </c>
      <c r="G582" t="s">
        <v>45</v>
      </c>
      <c r="H582" t="s">
        <v>68</v>
      </c>
      <c r="I582" t="s">
        <v>69</v>
      </c>
      <c r="J582" t="s">
        <v>70</v>
      </c>
      <c r="K582" t="s">
        <v>71</v>
      </c>
      <c r="L582" t="s">
        <v>72</v>
      </c>
      <c r="M582" t="s">
        <v>73</v>
      </c>
      <c r="N582" t="s">
        <v>61</v>
      </c>
      <c r="O582" t="s">
        <v>677</v>
      </c>
      <c r="P582" t="s">
        <v>34</v>
      </c>
      <c r="Q582" t="s">
        <v>359</v>
      </c>
      <c r="R582" t="s">
        <v>678</v>
      </c>
      <c r="S582" t="s">
        <v>131</v>
      </c>
      <c r="T582" t="s">
        <v>679</v>
      </c>
      <c r="U582" s="10" t="s">
        <v>1061</v>
      </c>
      <c r="V582" s="10" t="s">
        <v>1091</v>
      </c>
      <c r="W582" s="10" t="s">
        <v>1065</v>
      </c>
      <c r="X582" s="10" t="s">
        <v>1068</v>
      </c>
      <c r="Y582" t="s">
        <v>140</v>
      </c>
      <c r="Z582" t="s">
        <v>40</v>
      </c>
      <c r="AA582" t="s">
        <v>63</v>
      </c>
    </row>
    <row r="583" spans="1:28" x14ac:dyDescent="0.8">
      <c r="A583">
        <v>1291</v>
      </c>
      <c r="B583">
        <v>1988</v>
      </c>
      <c r="C583" s="2">
        <v>44385</v>
      </c>
      <c r="D583" t="s">
        <v>104</v>
      </c>
      <c r="E583" t="s">
        <v>103</v>
      </c>
      <c r="F583" t="s">
        <v>26</v>
      </c>
      <c r="G583" t="s">
        <v>45</v>
      </c>
      <c r="H583" t="s">
        <v>155</v>
      </c>
      <c r="I583" t="s">
        <v>69</v>
      </c>
      <c r="J583" t="s">
        <v>156</v>
      </c>
      <c r="K583" t="s">
        <v>157</v>
      </c>
      <c r="L583" t="s">
        <v>158</v>
      </c>
      <c r="M583" t="s">
        <v>159</v>
      </c>
      <c r="N583" t="s">
        <v>61</v>
      </c>
      <c r="O583" t="s">
        <v>677</v>
      </c>
      <c r="P583" t="s">
        <v>34</v>
      </c>
      <c r="Q583" t="s">
        <v>359</v>
      </c>
      <c r="R583" t="s">
        <v>678</v>
      </c>
      <c r="S583" t="s">
        <v>131</v>
      </c>
      <c r="T583" t="s">
        <v>679</v>
      </c>
      <c r="U583" s="10" t="s">
        <v>1061</v>
      </c>
      <c r="V583" s="10" t="s">
        <v>1091</v>
      </c>
      <c r="W583" s="10" t="s">
        <v>1065</v>
      </c>
      <c r="X583" s="10" t="s">
        <v>1068</v>
      </c>
      <c r="Y583" t="s">
        <v>39</v>
      </c>
      <c r="Z583" t="s">
        <v>40</v>
      </c>
      <c r="AA583" t="s">
        <v>63</v>
      </c>
    </row>
    <row r="584" spans="1:28" x14ac:dyDescent="0.8">
      <c r="A584">
        <v>1285</v>
      </c>
      <c r="B584">
        <v>1932</v>
      </c>
      <c r="C584" s="2">
        <v>44385</v>
      </c>
      <c r="D584" t="s">
        <v>104</v>
      </c>
      <c r="E584" t="s">
        <v>25</v>
      </c>
      <c r="F584" t="s">
        <v>26</v>
      </c>
      <c r="G584" t="s">
        <v>45</v>
      </c>
      <c r="H584" t="s">
        <v>155</v>
      </c>
      <c r="I584" t="s">
        <v>69</v>
      </c>
      <c r="J584" t="s">
        <v>156</v>
      </c>
      <c r="K584" t="s">
        <v>157</v>
      </c>
      <c r="L584" t="s">
        <v>158</v>
      </c>
      <c r="M584" t="s">
        <v>159</v>
      </c>
      <c r="N584" t="s">
        <v>52</v>
      </c>
      <c r="O584" t="s">
        <v>677</v>
      </c>
      <c r="P584" t="s">
        <v>34</v>
      </c>
      <c r="Q584" t="s">
        <v>359</v>
      </c>
      <c r="R584" t="s">
        <v>678</v>
      </c>
      <c r="S584" t="s">
        <v>131</v>
      </c>
      <c r="T584" t="s">
        <v>679</v>
      </c>
      <c r="U584" s="10" t="s">
        <v>1061</v>
      </c>
      <c r="V584" s="10" t="s">
        <v>1091</v>
      </c>
      <c r="W584" s="10" t="s">
        <v>1065</v>
      </c>
      <c r="X584" s="10" t="s">
        <v>1068</v>
      </c>
      <c r="Y584" t="s">
        <v>140</v>
      </c>
      <c r="Z584" t="s">
        <v>62</v>
      </c>
      <c r="AA584" t="s">
        <v>63</v>
      </c>
    </row>
    <row r="585" spans="1:28" x14ac:dyDescent="0.8">
      <c r="A585">
        <v>1281</v>
      </c>
      <c r="B585">
        <v>1928</v>
      </c>
      <c r="C585" s="2">
        <v>44385</v>
      </c>
      <c r="D585" t="s">
        <v>104</v>
      </c>
      <c r="E585" t="s">
        <v>103</v>
      </c>
      <c r="F585" t="s">
        <v>26</v>
      </c>
      <c r="G585" t="s">
        <v>45</v>
      </c>
      <c r="H585" t="s">
        <v>155</v>
      </c>
      <c r="I585" t="s">
        <v>69</v>
      </c>
      <c r="J585" t="s">
        <v>156</v>
      </c>
      <c r="K585" t="s">
        <v>157</v>
      </c>
      <c r="L585" t="s">
        <v>158</v>
      </c>
      <c r="M585" t="s">
        <v>159</v>
      </c>
      <c r="N585" t="s">
        <v>52</v>
      </c>
      <c r="O585" t="s">
        <v>677</v>
      </c>
      <c r="P585" t="s">
        <v>34</v>
      </c>
      <c r="Q585" t="s">
        <v>359</v>
      </c>
      <c r="R585" t="s">
        <v>678</v>
      </c>
      <c r="S585" t="s">
        <v>131</v>
      </c>
      <c r="T585" t="s">
        <v>679</v>
      </c>
      <c r="U585" s="10" t="s">
        <v>1061</v>
      </c>
      <c r="V585" s="10" t="s">
        <v>1091</v>
      </c>
      <c r="W585" s="10" t="s">
        <v>1065</v>
      </c>
      <c r="X585" s="10" t="s">
        <v>1068</v>
      </c>
      <c r="Y585" t="s">
        <v>140</v>
      </c>
      <c r="Z585" t="s">
        <v>40</v>
      </c>
      <c r="AA585" t="s">
        <v>63</v>
      </c>
    </row>
    <row r="586" spans="1:28" x14ac:dyDescent="0.8">
      <c r="A586">
        <v>1305</v>
      </c>
      <c r="B586">
        <v>2002</v>
      </c>
      <c r="C586" s="2">
        <v>44385</v>
      </c>
      <c r="D586" t="s">
        <v>104</v>
      </c>
      <c r="E586" t="s">
        <v>25</v>
      </c>
      <c r="F586" t="s">
        <v>26</v>
      </c>
      <c r="G586" t="s">
        <v>45</v>
      </c>
      <c r="H586" t="s">
        <v>46</v>
      </c>
      <c r="I586" t="s">
        <v>47</v>
      </c>
      <c r="J586" t="s">
        <v>48</v>
      </c>
      <c r="K586" t="s">
        <v>105</v>
      </c>
      <c r="L586" t="s">
        <v>106</v>
      </c>
      <c r="M586" t="s">
        <v>107</v>
      </c>
      <c r="O586" t="s">
        <v>677</v>
      </c>
      <c r="P586" t="s">
        <v>34</v>
      </c>
      <c r="Q586" t="s">
        <v>359</v>
      </c>
      <c r="R586" t="s">
        <v>678</v>
      </c>
      <c r="S586" t="s">
        <v>131</v>
      </c>
      <c r="T586" t="s">
        <v>679</v>
      </c>
      <c r="U586" s="10" t="s">
        <v>1061</v>
      </c>
      <c r="V586" s="10" t="s">
        <v>1091</v>
      </c>
      <c r="W586" s="10" t="s">
        <v>1065</v>
      </c>
      <c r="X586" s="10" t="s">
        <v>1068</v>
      </c>
      <c r="Y586" t="s">
        <v>39</v>
      </c>
      <c r="Z586" t="s">
        <v>202</v>
      </c>
      <c r="AA586" t="s">
        <v>63</v>
      </c>
    </row>
    <row r="587" spans="1:28" x14ac:dyDescent="0.8">
      <c r="A587">
        <v>1326</v>
      </c>
      <c r="B587">
        <v>2409</v>
      </c>
      <c r="C587" s="2">
        <v>44385</v>
      </c>
      <c r="D587" t="s">
        <v>104</v>
      </c>
      <c r="E587" t="s">
        <v>44</v>
      </c>
      <c r="F587" t="s">
        <v>26</v>
      </c>
      <c r="G587" t="s">
        <v>94</v>
      </c>
      <c r="H587" t="s">
        <v>95</v>
      </c>
      <c r="I587" t="s">
        <v>236</v>
      </c>
      <c r="J587" t="s">
        <v>237</v>
      </c>
      <c r="K587" t="s">
        <v>238</v>
      </c>
      <c r="L587" t="s">
        <v>239</v>
      </c>
      <c r="M587" t="s">
        <v>240</v>
      </c>
      <c r="N587" t="s">
        <v>263</v>
      </c>
      <c r="O587" t="s">
        <v>677</v>
      </c>
      <c r="P587" t="s">
        <v>34</v>
      </c>
      <c r="Q587" t="s">
        <v>359</v>
      </c>
      <c r="R587" t="s">
        <v>678</v>
      </c>
      <c r="S587" t="s">
        <v>131</v>
      </c>
      <c r="T587" t="s">
        <v>679</v>
      </c>
      <c r="U587" s="10" t="s">
        <v>1061</v>
      </c>
      <c r="V587" s="10" t="s">
        <v>1091</v>
      </c>
      <c r="W587" s="10" t="s">
        <v>1065</v>
      </c>
      <c r="X587" s="10" t="s">
        <v>1068</v>
      </c>
      <c r="Y587" t="s">
        <v>39</v>
      </c>
      <c r="Z587" t="s">
        <v>40</v>
      </c>
      <c r="AA587" t="s">
        <v>63</v>
      </c>
    </row>
    <row r="588" spans="1:28" x14ac:dyDescent="0.8">
      <c r="A588">
        <v>732</v>
      </c>
      <c r="B588">
        <v>1165</v>
      </c>
      <c r="C588" s="2">
        <v>44385</v>
      </c>
      <c r="D588" t="s">
        <v>108</v>
      </c>
      <c r="E588" t="s">
        <v>103</v>
      </c>
      <c r="F588" t="s">
        <v>26</v>
      </c>
      <c r="G588" t="s">
        <v>45</v>
      </c>
      <c r="H588" t="s">
        <v>68</v>
      </c>
      <c r="I588" t="s">
        <v>69</v>
      </c>
      <c r="J588" t="s">
        <v>70</v>
      </c>
      <c r="K588" t="s">
        <v>71</v>
      </c>
      <c r="L588" t="s">
        <v>72</v>
      </c>
      <c r="M588" t="s">
        <v>73</v>
      </c>
      <c r="N588" t="s">
        <v>61</v>
      </c>
      <c r="O588" t="s">
        <v>677</v>
      </c>
      <c r="P588" t="s">
        <v>34</v>
      </c>
      <c r="Q588" t="s">
        <v>359</v>
      </c>
      <c r="R588" t="s">
        <v>678</v>
      </c>
      <c r="S588" t="s">
        <v>131</v>
      </c>
      <c r="T588" t="s">
        <v>679</v>
      </c>
      <c r="U588" s="10" t="s">
        <v>1061</v>
      </c>
      <c r="V588" s="10" t="s">
        <v>1091</v>
      </c>
      <c r="W588" s="10" t="s">
        <v>1065</v>
      </c>
      <c r="X588" s="10" t="s">
        <v>1068</v>
      </c>
      <c r="Y588" t="s">
        <v>39</v>
      </c>
      <c r="Z588" t="s">
        <v>40</v>
      </c>
      <c r="AA588" t="s">
        <v>63</v>
      </c>
    </row>
    <row r="589" spans="1:28" x14ac:dyDescent="0.8">
      <c r="A589">
        <v>731</v>
      </c>
      <c r="B589">
        <v>1164</v>
      </c>
      <c r="C589" s="2">
        <v>44385</v>
      </c>
      <c r="D589" t="s">
        <v>108</v>
      </c>
      <c r="E589" t="s">
        <v>103</v>
      </c>
      <c r="F589" t="s">
        <v>26</v>
      </c>
      <c r="G589" t="s">
        <v>45</v>
      </c>
      <c r="H589" t="s">
        <v>68</v>
      </c>
      <c r="I589" t="s">
        <v>69</v>
      </c>
      <c r="J589" t="s">
        <v>70</v>
      </c>
      <c r="K589" t="s">
        <v>71</v>
      </c>
      <c r="L589" t="s">
        <v>72</v>
      </c>
      <c r="M589" t="s">
        <v>73</v>
      </c>
      <c r="N589" t="s">
        <v>61</v>
      </c>
      <c r="O589" t="s">
        <v>677</v>
      </c>
      <c r="P589" t="s">
        <v>34</v>
      </c>
      <c r="Q589" t="s">
        <v>359</v>
      </c>
      <c r="R589" t="s">
        <v>678</v>
      </c>
      <c r="S589" t="s">
        <v>131</v>
      </c>
      <c r="T589" t="s">
        <v>679</v>
      </c>
      <c r="U589" s="10" t="s">
        <v>1061</v>
      </c>
      <c r="V589" s="10" t="s">
        <v>1091</v>
      </c>
      <c r="W589" s="10" t="s">
        <v>1065</v>
      </c>
      <c r="X589" s="10" t="s">
        <v>1068</v>
      </c>
      <c r="Y589" t="s">
        <v>39</v>
      </c>
      <c r="Z589" t="s">
        <v>40</v>
      </c>
      <c r="AA589" t="s">
        <v>63</v>
      </c>
    </row>
    <row r="590" spans="1:28" x14ac:dyDescent="0.8">
      <c r="A590">
        <v>417</v>
      </c>
      <c r="B590">
        <v>2408</v>
      </c>
      <c r="C590" s="2">
        <v>44384</v>
      </c>
      <c r="D590" t="s">
        <v>384</v>
      </c>
      <c r="E590" t="s">
        <v>25</v>
      </c>
      <c r="F590" t="s">
        <v>26</v>
      </c>
      <c r="G590" t="s">
        <v>45</v>
      </c>
      <c r="H590" t="s">
        <v>68</v>
      </c>
      <c r="I590" t="s">
        <v>69</v>
      </c>
      <c r="J590" t="s">
        <v>70</v>
      </c>
      <c r="K590" t="s">
        <v>71</v>
      </c>
      <c r="L590" t="s">
        <v>72</v>
      </c>
      <c r="M590" t="s">
        <v>73</v>
      </c>
      <c r="N590" t="s">
        <v>61</v>
      </c>
      <c r="O590" t="s">
        <v>677</v>
      </c>
      <c r="P590" t="s">
        <v>34</v>
      </c>
      <c r="Q590" t="s">
        <v>359</v>
      </c>
      <c r="R590" t="s">
        <v>678</v>
      </c>
      <c r="S590" t="s">
        <v>131</v>
      </c>
      <c r="T590" t="s">
        <v>679</v>
      </c>
      <c r="U590" s="10" t="s">
        <v>1061</v>
      </c>
      <c r="V590" s="10" t="s">
        <v>1091</v>
      </c>
      <c r="W590" s="10" t="s">
        <v>1065</v>
      </c>
      <c r="X590" s="10" t="s">
        <v>1068</v>
      </c>
      <c r="Y590" t="s">
        <v>39</v>
      </c>
      <c r="Z590" t="s">
        <v>202</v>
      </c>
      <c r="AA590" t="s">
        <v>53</v>
      </c>
      <c r="AB590" t="s">
        <v>685</v>
      </c>
    </row>
    <row r="591" spans="1:28" x14ac:dyDescent="0.8">
      <c r="A591">
        <v>1145</v>
      </c>
      <c r="B591">
        <v>1592</v>
      </c>
      <c r="C591" s="2">
        <v>44384</v>
      </c>
      <c r="D591" t="s">
        <v>384</v>
      </c>
      <c r="E591" t="s">
        <v>25</v>
      </c>
      <c r="F591" t="s">
        <v>26</v>
      </c>
      <c r="G591" t="s">
        <v>45</v>
      </c>
      <c r="H591" t="s">
        <v>68</v>
      </c>
      <c r="I591" t="s">
        <v>69</v>
      </c>
      <c r="J591" t="s">
        <v>70</v>
      </c>
      <c r="K591" t="s">
        <v>71</v>
      </c>
      <c r="L591" t="s">
        <v>72</v>
      </c>
      <c r="M591" t="s">
        <v>73</v>
      </c>
      <c r="N591" t="s">
        <v>61</v>
      </c>
      <c r="O591" t="s">
        <v>677</v>
      </c>
      <c r="P591" t="s">
        <v>34</v>
      </c>
      <c r="Q591" t="s">
        <v>359</v>
      </c>
      <c r="R591" t="s">
        <v>678</v>
      </c>
      <c r="S591" t="s">
        <v>131</v>
      </c>
      <c r="T591" t="s">
        <v>679</v>
      </c>
      <c r="U591" s="10" t="s">
        <v>1061</v>
      </c>
      <c r="V591" s="10" t="s">
        <v>1091</v>
      </c>
      <c r="W591" s="10" t="s">
        <v>1065</v>
      </c>
      <c r="X591" s="10" t="s">
        <v>1068</v>
      </c>
      <c r="Y591" t="s">
        <v>39</v>
      </c>
      <c r="Z591" t="s">
        <v>40</v>
      </c>
      <c r="AA591" t="s">
        <v>63</v>
      </c>
    </row>
    <row r="592" spans="1:28" x14ac:dyDescent="0.8">
      <c r="A592">
        <v>1144</v>
      </c>
      <c r="B592">
        <v>1591</v>
      </c>
      <c r="C592" s="2">
        <v>44384</v>
      </c>
      <c r="D592" t="s">
        <v>384</v>
      </c>
      <c r="E592" t="s">
        <v>25</v>
      </c>
      <c r="F592" t="s">
        <v>26</v>
      </c>
      <c r="G592" t="s">
        <v>45</v>
      </c>
      <c r="H592" t="s">
        <v>68</v>
      </c>
      <c r="I592" t="s">
        <v>69</v>
      </c>
      <c r="J592" t="s">
        <v>70</v>
      </c>
      <c r="K592" t="s">
        <v>71</v>
      </c>
      <c r="L592" t="s">
        <v>72</v>
      </c>
      <c r="M592" t="s">
        <v>73</v>
      </c>
      <c r="N592" t="s">
        <v>61</v>
      </c>
      <c r="O592" t="s">
        <v>677</v>
      </c>
      <c r="P592" t="s">
        <v>34</v>
      </c>
      <c r="Q592" t="s">
        <v>359</v>
      </c>
      <c r="R592" t="s">
        <v>678</v>
      </c>
      <c r="S592" t="s">
        <v>131</v>
      </c>
      <c r="T592" t="s">
        <v>679</v>
      </c>
      <c r="U592" s="10" t="s">
        <v>1061</v>
      </c>
      <c r="V592" s="10" t="s">
        <v>1091</v>
      </c>
      <c r="W592" s="10" t="s">
        <v>1065</v>
      </c>
      <c r="X592" s="10" t="s">
        <v>1068</v>
      </c>
      <c r="Y592" t="s">
        <v>39</v>
      </c>
      <c r="Z592" t="s">
        <v>40</v>
      </c>
      <c r="AA592" t="s">
        <v>63</v>
      </c>
    </row>
    <row r="593" spans="1:28" x14ac:dyDescent="0.8">
      <c r="A593">
        <v>1138</v>
      </c>
      <c r="B593">
        <v>1585</v>
      </c>
      <c r="C593" s="2">
        <v>44384</v>
      </c>
      <c r="D593" t="s">
        <v>384</v>
      </c>
      <c r="E593" t="s">
        <v>150</v>
      </c>
      <c r="F593" t="s">
        <v>26</v>
      </c>
      <c r="G593" t="s">
        <v>45</v>
      </c>
      <c r="H593" t="s">
        <v>68</v>
      </c>
      <c r="I593" t="s">
        <v>69</v>
      </c>
      <c r="J593" t="s">
        <v>70</v>
      </c>
      <c r="K593" t="s">
        <v>71</v>
      </c>
      <c r="L593" t="s">
        <v>72</v>
      </c>
      <c r="M593" t="s">
        <v>73</v>
      </c>
      <c r="N593" t="s">
        <v>61</v>
      </c>
      <c r="O593" t="s">
        <v>677</v>
      </c>
      <c r="P593" t="s">
        <v>34</v>
      </c>
      <c r="Q593" t="s">
        <v>359</v>
      </c>
      <c r="R593" t="s">
        <v>678</v>
      </c>
      <c r="S593" t="s">
        <v>131</v>
      </c>
      <c r="T593" t="s">
        <v>679</v>
      </c>
      <c r="U593" s="10" t="s">
        <v>1061</v>
      </c>
      <c r="V593" s="10" t="s">
        <v>1091</v>
      </c>
      <c r="W593" s="10" t="s">
        <v>1065</v>
      </c>
      <c r="X593" s="10" t="s">
        <v>1068</v>
      </c>
      <c r="Y593" t="s">
        <v>39</v>
      </c>
      <c r="Z593" t="s">
        <v>40</v>
      </c>
      <c r="AA593" t="s">
        <v>63</v>
      </c>
    </row>
    <row r="594" spans="1:28" x14ac:dyDescent="0.8">
      <c r="A594">
        <v>1123</v>
      </c>
      <c r="B594">
        <v>1570</v>
      </c>
      <c r="C594" s="2">
        <v>44384</v>
      </c>
      <c r="D594" t="s">
        <v>384</v>
      </c>
      <c r="E594" t="s">
        <v>25</v>
      </c>
      <c r="F594" t="s">
        <v>26</v>
      </c>
      <c r="G594" t="s">
        <v>45</v>
      </c>
      <c r="H594" t="s">
        <v>68</v>
      </c>
      <c r="I594" t="s">
        <v>69</v>
      </c>
      <c r="J594" t="s">
        <v>70</v>
      </c>
      <c r="K594" t="s">
        <v>71</v>
      </c>
      <c r="L594" t="s">
        <v>72</v>
      </c>
      <c r="M594" t="s">
        <v>73</v>
      </c>
      <c r="N594" t="s">
        <v>61</v>
      </c>
      <c r="O594" t="s">
        <v>677</v>
      </c>
      <c r="P594" t="s">
        <v>34</v>
      </c>
      <c r="Q594" t="s">
        <v>359</v>
      </c>
      <c r="R594" t="s">
        <v>678</v>
      </c>
      <c r="S594" t="s">
        <v>131</v>
      </c>
      <c r="T594" t="s">
        <v>679</v>
      </c>
      <c r="U594" s="10" t="s">
        <v>1061</v>
      </c>
      <c r="V594" s="10" t="s">
        <v>1091</v>
      </c>
      <c r="W594" s="10" t="s">
        <v>1065</v>
      </c>
      <c r="X594" s="10" t="s">
        <v>1068</v>
      </c>
      <c r="Y594" t="s">
        <v>39</v>
      </c>
      <c r="Z594" t="s">
        <v>202</v>
      </c>
      <c r="AA594" t="s">
        <v>63</v>
      </c>
    </row>
    <row r="595" spans="1:28" x14ac:dyDescent="0.8">
      <c r="A595">
        <v>1117</v>
      </c>
      <c r="B595">
        <v>1564</v>
      </c>
      <c r="C595" s="2">
        <v>44384</v>
      </c>
      <c r="D595" t="s">
        <v>384</v>
      </c>
      <c r="E595" t="s">
        <v>150</v>
      </c>
      <c r="F595" t="s">
        <v>26</v>
      </c>
      <c r="G595" t="s">
        <v>45</v>
      </c>
      <c r="H595" t="s">
        <v>68</v>
      </c>
      <c r="I595" t="s">
        <v>69</v>
      </c>
      <c r="J595" t="s">
        <v>70</v>
      </c>
      <c r="K595" t="s">
        <v>71</v>
      </c>
      <c r="L595" t="s">
        <v>72</v>
      </c>
      <c r="M595" t="s">
        <v>73</v>
      </c>
      <c r="N595" t="s">
        <v>61</v>
      </c>
      <c r="O595" t="s">
        <v>677</v>
      </c>
      <c r="P595" t="s">
        <v>34</v>
      </c>
      <c r="Q595" t="s">
        <v>359</v>
      </c>
      <c r="R595" t="s">
        <v>678</v>
      </c>
      <c r="S595" t="s">
        <v>131</v>
      </c>
      <c r="T595" t="s">
        <v>679</v>
      </c>
      <c r="U595" s="10" t="s">
        <v>1061</v>
      </c>
      <c r="V595" s="10" t="s">
        <v>1091</v>
      </c>
      <c r="W595" s="10" t="s">
        <v>1065</v>
      </c>
      <c r="X595" s="10" t="s">
        <v>1068</v>
      </c>
      <c r="Y595" t="s">
        <v>39</v>
      </c>
      <c r="Z595" t="s">
        <v>40</v>
      </c>
      <c r="AA595" t="s">
        <v>63</v>
      </c>
    </row>
    <row r="596" spans="1:28" x14ac:dyDescent="0.8">
      <c r="A596">
        <v>1111</v>
      </c>
      <c r="B596">
        <v>1558</v>
      </c>
      <c r="C596" s="2">
        <v>44384</v>
      </c>
      <c r="D596" t="s">
        <v>384</v>
      </c>
      <c r="E596" t="s">
        <v>150</v>
      </c>
      <c r="F596" t="s">
        <v>26</v>
      </c>
      <c r="G596" t="s">
        <v>45</v>
      </c>
      <c r="H596" t="s">
        <v>155</v>
      </c>
      <c r="I596" t="s">
        <v>69</v>
      </c>
      <c r="J596" t="s">
        <v>156</v>
      </c>
      <c r="K596" t="s">
        <v>157</v>
      </c>
      <c r="L596" t="s">
        <v>158</v>
      </c>
      <c r="M596" t="s">
        <v>159</v>
      </c>
      <c r="N596" t="s">
        <v>52</v>
      </c>
      <c r="O596" t="s">
        <v>677</v>
      </c>
      <c r="P596" t="s">
        <v>34</v>
      </c>
      <c r="Q596" t="s">
        <v>359</v>
      </c>
      <c r="R596" t="s">
        <v>678</v>
      </c>
      <c r="S596" t="s">
        <v>131</v>
      </c>
      <c r="T596" t="s">
        <v>679</v>
      </c>
      <c r="U596" s="10" t="s">
        <v>1061</v>
      </c>
      <c r="V596" s="10" t="s">
        <v>1091</v>
      </c>
      <c r="W596" s="10" t="s">
        <v>1065</v>
      </c>
      <c r="X596" s="10" t="s">
        <v>1068</v>
      </c>
      <c r="Y596" t="s">
        <v>39</v>
      </c>
      <c r="Z596" t="s">
        <v>40</v>
      </c>
      <c r="AA596" t="s">
        <v>63</v>
      </c>
    </row>
    <row r="597" spans="1:28" x14ac:dyDescent="0.8">
      <c r="A597">
        <v>314</v>
      </c>
      <c r="B597">
        <v>230</v>
      </c>
      <c r="C597" s="2">
        <v>44385</v>
      </c>
      <c r="D597" t="s">
        <v>213</v>
      </c>
      <c r="E597" t="s">
        <v>103</v>
      </c>
      <c r="F597" t="s">
        <v>26</v>
      </c>
      <c r="G597" t="s">
        <v>45</v>
      </c>
      <c r="H597" t="s">
        <v>68</v>
      </c>
      <c r="I597" t="s">
        <v>69</v>
      </c>
      <c r="J597" t="s">
        <v>70</v>
      </c>
      <c r="K597" t="s">
        <v>71</v>
      </c>
      <c r="L597" t="s">
        <v>72</v>
      </c>
      <c r="M597" t="s">
        <v>73</v>
      </c>
      <c r="N597" t="s">
        <v>61</v>
      </c>
      <c r="O597" t="s">
        <v>677</v>
      </c>
      <c r="P597" t="s">
        <v>34</v>
      </c>
      <c r="Q597" t="s">
        <v>359</v>
      </c>
      <c r="R597" t="s">
        <v>678</v>
      </c>
      <c r="S597" t="s">
        <v>131</v>
      </c>
      <c r="T597" t="s">
        <v>679</v>
      </c>
      <c r="U597" s="10" t="s">
        <v>1061</v>
      </c>
      <c r="V597" s="10" t="s">
        <v>1091</v>
      </c>
      <c r="W597" s="10" t="s">
        <v>1065</v>
      </c>
      <c r="X597" s="10" t="s">
        <v>1068</v>
      </c>
      <c r="Y597" t="s">
        <v>39</v>
      </c>
      <c r="Z597" t="s">
        <v>40</v>
      </c>
      <c r="AA597" t="s">
        <v>53</v>
      </c>
    </row>
    <row r="598" spans="1:28" x14ac:dyDescent="0.8">
      <c r="A598">
        <v>313</v>
      </c>
      <c r="B598">
        <v>229</v>
      </c>
      <c r="C598" s="2">
        <v>44385</v>
      </c>
      <c r="D598" t="s">
        <v>213</v>
      </c>
      <c r="E598" t="s">
        <v>103</v>
      </c>
      <c r="F598" t="s">
        <v>26</v>
      </c>
      <c r="G598" t="s">
        <v>45</v>
      </c>
      <c r="H598" t="s">
        <v>68</v>
      </c>
      <c r="I598" t="s">
        <v>69</v>
      </c>
      <c r="J598" t="s">
        <v>70</v>
      </c>
      <c r="K598" t="s">
        <v>71</v>
      </c>
      <c r="L598" t="s">
        <v>72</v>
      </c>
      <c r="M598" t="s">
        <v>73</v>
      </c>
      <c r="N598" t="s">
        <v>61</v>
      </c>
      <c r="O598" t="s">
        <v>677</v>
      </c>
      <c r="P598" t="s">
        <v>34</v>
      </c>
      <c r="Q598" t="s">
        <v>359</v>
      </c>
      <c r="R598" t="s">
        <v>678</v>
      </c>
      <c r="S598" t="s">
        <v>131</v>
      </c>
      <c r="T598" t="s">
        <v>679</v>
      </c>
      <c r="U598" s="10" t="s">
        <v>1061</v>
      </c>
      <c r="V598" s="10" t="s">
        <v>1091</v>
      </c>
      <c r="W598" s="10" t="s">
        <v>1065</v>
      </c>
      <c r="X598" s="10" t="s">
        <v>1068</v>
      </c>
      <c r="Y598" t="s">
        <v>39</v>
      </c>
      <c r="Z598" t="s">
        <v>40</v>
      </c>
      <c r="AA598" t="s">
        <v>53</v>
      </c>
    </row>
    <row r="599" spans="1:28" x14ac:dyDescent="0.8">
      <c r="A599">
        <v>308</v>
      </c>
      <c r="B599">
        <v>224</v>
      </c>
      <c r="C599" s="2">
        <v>44385</v>
      </c>
      <c r="D599" t="s">
        <v>213</v>
      </c>
      <c r="E599" t="s">
        <v>25</v>
      </c>
      <c r="F599" t="s">
        <v>26</v>
      </c>
      <c r="G599" t="s">
        <v>45</v>
      </c>
      <c r="H599" t="s">
        <v>155</v>
      </c>
      <c r="I599" t="s">
        <v>69</v>
      </c>
      <c r="J599" t="s">
        <v>156</v>
      </c>
      <c r="K599" t="s">
        <v>157</v>
      </c>
      <c r="L599" t="s">
        <v>158</v>
      </c>
      <c r="M599" t="s">
        <v>159</v>
      </c>
      <c r="N599" t="s">
        <v>61</v>
      </c>
      <c r="O599" t="s">
        <v>677</v>
      </c>
      <c r="P599" t="s">
        <v>34</v>
      </c>
      <c r="Q599" t="s">
        <v>359</v>
      </c>
      <c r="R599" t="s">
        <v>678</v>
      </c>
      <c r="S599" t="s">
        <v>131</v>
      </c>
      <c r="T599" t="s">
        <v>679</v>
      </c>
      <c r="U599" s="10" t="s">
        <v>1061</v>
      </c>
      <c r="V599" s="10" t="s">
        <v>1091</v>
      </c>
      <c r="W599" s="10" t="s">
        <v>1065</v>
      </c>
      <c r="X599" s="10" t="s">
        <v>1068</v>
      </c>
      <c r="Y599" t="s">
        <v>39</v>
      </c>
      <c r="Z599" t="s">
        <v>62</v>
      </c>
      <c r="AA599" t="s">
        <v>53</v>
      </c>
      <c r="AB599" t="s">
        <v>241</v>
      </c>
    </row>
    <row r="600" spans="1:28" x14ac:dyDescent="0.8">
      <c r="A600">
        <v>310</v>
      </c>
      <c r="B600">
        <v>226</v>
      </c>
      <c r="C600" s="2">
        <v>44385</v>
      </c>
      <c r="D600" t="s">
        <v>213</v>
      </c>
      <c r="E600" t="s">
        <v>63</v>
      </c>
      <c r="F600" t="s">
        <v>26</v>
      </c>
      <c r="G600" t="s">
        <v>45</v>
      </c>
      <c r="H600" t="s">
        <v>155</v>
      </c>
      <c r="I600" t="s">
        <v>69</v>
      </c>
      <c r="J600" t="s">
        <v>156</v>
      </c>
      <c r="K600" t="s">
        <v>157</v>
      </c>
      <c r="L600" t="s">
        <v>158</v>
      </c>
      <c r="M600" t="s">
        <v>159</v>
      </c>
      <c r="N600" t="s">
        <v>52</v>
      </c>
      <c r="O600" t="s">
        <v>677</v>
      </c>
      <c r="P600" t="s">
        <v>34</v>
      </c>
      <c r="Q600" t="s">
        <v>359</v>
      </c>
      <c r="R600" t="s">
        <v>678</v>
      </c>
      <c r="S600" t="s">
        <v>131</v>
      </c>
      <c r="T600" t="s">
        <v>679</v>
      </c>
      <c r="U600" s="10" t="s">
        <v>1061</v>
      </c>
      <c r="V600" s="10" t="s">
        <v>1091</v>
      </c>
      <c r="W600" s="10" t="s">
        <v>1065</v>
      </c>
      <c r="X600" s="10" t="s">
        <v>1068</v>
      </c>
      <c r="Y600" t="s">
        <v>39</v>
      </c>
      <c r="Z600" t="s">
        <v>40</v>
      </c>
      <c r="AA600" t="s">
        <v>53</v>
      </c>
    </row>
    <row r="601" spans="1:28" x14ac:dyDescent="0.8">
      <c r="A601">
        <v>309</v>
      </c>
      <c r="B601">
        <v>225</v>
      </c>
      <c r="C601" s="2">
        <v>44385</v>
      </c>
      <c r="D601" t="s">
        <v>213</v>
      </c>
      <c r="E601" t="s">
        <v>103</v>
      </c>
      <c r="F601" t="s">
        <v>26</v>
      </c>
      <c r="G601" t="s">
        <v>45</v>
      </c>
      <c r="H601" t="s">
        <v>155</v>
      </c>
      <c r="I601" t="s">
        <v>69</v>
      </c>
      <c r="J601" t="s">
        <v>156</v>
      </c>
      <c r="K601" t="s">
        <v>157</v>
      </c>
      <c r="L601" t="s">
        <v>158</v>
      </c>
      <c r="M601" t="s">
        <v>159</v>
      </c>
      <c r="N601" t="s">
        <v>52</v>
      </c>
      <c r="O601" t="s">
        <v>677</v>
      </c>
      <c r="P601" t="s">
        <v>34</v>
      </c>
      <c r="Q601" t="s">
        <v>359</v>
      </c>
      <c r="R601" t="s">
        <v>678</v>
      </c>
      <c r="S601" t="s">
        <v>131</v>
      </c>
      <c r="T601" t="s">
        <v>679</v>
      </c>
      <c r="U601" s="10" t="s">
        <v>1061</v>
      </c>
      <c r="V601" s="10" t="s">
        <v>1091</v>
      </c>
      <c r="W601" s="10" t="s">
        <v>1065</v>
      </c>
      <c r="X601" s="10" t="s">
        <v>1068</v>
      </c>
      <c r="Y601" t="s">
        <v>39</v>
      </c>
      <c r="Z601" t="s">
        <v>40</v>
      </c>
      <c r="AA601" t="s">
        <v>53</v>
      </c>
    </row>
    <row r="602" spans="1:28" x14ac:dyDescent="0.8">
      <c r="A602">
        <v>307</v>
      </c>
      <c r="B602">
        <v>223</v>
      </c>
      <c r="C602" s="2">
        <v>44385</v>
      </c>
      <c r="D602" t="s">
        <v>213</v>
      </c>
      <c r="E602" t="s">
        <v>25</v>
      </c>
      <c r="F602" t="s">
        <v>26</v>
      </c>
      <c r="G602" t="s">
        <v>45</v>
      </c>
      <c r="H602" t="s">
        <v>155</v>
      </c>
      <c r="I602" t="s">
        <v>69</v>
      </c>
      <c r="J602" t="s">
        <v>156</v>
      </c>
      <c r="K602" t="s">
        <v>157</v>
      </c>
      <c r="L602" t="s">
        <v>158</v>
      </c>
      <c r="M602" t="s">
        <v>159</v>
      </c>
      <c r="N602" t="s">
        <v>61</v>
      </c>
      <c r="O602" t="s">
        <v>677</v>
      </c>
      <c r="P602" t="s">
        <v>34</v>
      </c>
      <c r="Q602" t="s">
        <v>359</v>
      </c>
      <c r="R602" t="s">
        <v>678</v>
      </c>
      <c r="S602" t="s">
        <v>131</v>
      </c>
      <c r="T602" t="s">
        <v>679</v>
      </c>
      <c r="U602" s="10" t="s">
        <v>1061</v>
      </c>
      <c r="V602" s="10" t="s">
        <v>1091</v>
      </c>
      <c r="W602" s="10" t="s">
        <v>1065</v>
      </c>
      <c r="X602" s="10" t="s">
        <v>1068</v>
      </c>
      <c r="Y602" t="s">
        <v>39</v>
      </c>
      <c r="Z602" t="s">
        <v>40</v>
      </c>
      <c r="AA602" t="s">
        <v>53</v>
      </c>
    </row>
    <row r="603" spans="1:28" x14ac:dyDescent="0.8">
      <c r="A603">
        <v>305</v>
      </c>
      <c r="B603">
        <v>121</v>
      </c>
      <c r="C603" s="2">
        <v>44385</v>
      </c>
      <c r="D603" t="s">
        <v>213</v>
      </c>
      <c r="E603" t="s">
        <v>103</v>
      </c>
      <c r="F603" t="s">
        <v>26</v>
      </c>
      <c r="G603" t="s">
        <v>45</v>
      </c>
      <c r="H603" t="s">
        <v>155</v>
      </c>
      <c r="I603" t="s">
        <v>69</v>
      </c>
      <c r="J603" t="s">
        <v>156</v>
      </c>
      <c r="K603" t="s">
        <v>157</v>
      </c>
      <c r="L603" t="s">
        <v>158</v>
      </c>
      <c r="M603" t="s">
        <v>159</v>
      </c>
      <c r="N603" t="s">
        <v>52</v>
      </c>
      <c r="O603" t="s">
        <v>677</v>
      </c>
      <c r="P603" t="s">
        <v>34</v>
      </c>
      <c r="Q603" t="s">
        <v>359</v>
      </c>
      <c r="R603" t="s">
        <v>678</v>
      </c>
      <c r="S603" t="s">
        <v>131</v>
      </c>
      <c r="T603" t="s">
        <v>679</v>
      </c>
      <c r="U603" s="10" t="s">
        <v>1061</v>
      </c>
      <c r="V603" s="10" t="s">
        <v>1091</v>
      </c>
      <c r="W603" s="10" t="s">
        <v>1065</v>
      </c>
      <c r="X603" s="10" t="s">
        <v>1068</v>
      </c>
      <c r="Y603" t="s">
        <v>39</v>
      </c>
      <c r="Z603" t="s">
        <v>40</v>
      </c>
      <c r="AA603" t="s">
        <v>53</v>
      </c>
    </row>
    <row r="604" spans="1:28" x14ac:dyDescent="0.8">
      <c r="A604">
        <v>344</v>
      </c>
      <c r="B604">
        <v>350</v>
      </c>
      <c r="C604" s="2">
        <v>44385</v>
      </c>
      <c r="D604" t="s">
        <v>213</v>
      </c>
      <c r="E604" t="s">
        <v>63</v>
      </c>
      <c r="F604" t="s">
        <v>26</v>
      </c>
      <c r="G604" t="s">
        <v>94</v>
      </c>
      <c r="H604" t="s">
        <v>95</v>
      </c>
      <c r="I604" t="s">
        <v>96</v>
      </c>
      <c r="J604" t="s">
        <v>97</v>
      </c>
      <c r="K604" t="s">
        <v>98</v>
      </c>
      <c r="L604" t="s">
        <v>99</v>
      </c>
      <c r="M604" t="s">
        <v>100</v>
      </c>
      <c r="N604" t="s">
        <v>101</v>
      </c>
      <c r="O604" t="s">
        <v>677</v>
      </c>
      <c r="P604" t="s">
        <v>34</v>
      </c>
      <c r="Q604" t="s">
        <v>359</v>
      </c>
      <c r="R604" t="s">
        <v>678</v>
      </c>
      <c r="S604" t="s">
        <v>131</v>
      </c>
      <c r="T604" t="s">
        <v>679</v>
      </c>
      <c r="U604" s="10" t="s">
        <v>1061</v>
      </c>
      <c r="V604" s="10" t="s">
        <v>1091</v>
      </c>
      <c r="W604" s="10" t="s">
        <v>1065</v>
      </c>
      <c r="X604" s="10" t="s">
        <v>1068</v>
      </c>
      <c r="Y604" t="s">
        <v>39</v>
      </c>
      <c r="Z604" t="s">
        <v>40</v>
      </c>
      <c r="AA604" t="s">
        <v>53</v>
      </c>
    </row>
    <row r="605" spans="1:28" x14ac:dyDescent="0.8">
      <c r="A605">
        <v>345</v>
      </c>
      <c r="B605">
        <v>351</v>
      </c>
      <c r="C605" s="2">
        <v>44385</v>
      </c>
      <c r="D605" t="s">
        <v>213</v>
      </c>
      <c r="E605" t="s">
        <v>103</v>
      </c>
      <c r="F605" t="s">
        <v>26</v>
      </c>
      <c r="G605" t="s">
        <v>94</v>
      </c>
      <c r="H605" t="s">
        <v>95</v>
      </c>
      <c r="I605" t="s">
        <v>96</v>
      </c>
      <c r="J605" t="s">
        <v>97</v>
      </c>
      <c r="K605" t="s">
        <v>98</v>
      </c>
      <c r="L605" t="s">
        <v>99</v>
      </c>
      <c r="M605" t="s">
        <v>100</v>
      </c>
      <c r="N605" t="s">
        <v>101</v>
      </c>
      <c r="O605" t="s">
        <v>677</v>
      </c>
      <c r="P605" t="s">
        <v>34</v>
      </c>
      <c r="Q605" t="s">
        <v>359</v>
      </c>
      <c r="R605" t="s">
        <v>678</v>
      </c>
      <c r="S605" t="s">
        <v>131</v>
      </c>
      <c r="T605" t="s">
        <v>679</v>
      </c>
      <c r="U605" s="10" t="s">
        <v>1061</v>
      </c>
      <c r="V605" s="10" t="s">
        <v>1091</v>
      </c>
      <c r="W605" s="10" t="s">
        <v>1065</v>
      </c>
      <c r="X605" s="10" t="s">
        <v>1068</v>
      </c>
      <c r="Y605" t="s">
        <v>39</v>
      </c>
      <c r="Z605" t="s">
        <v>40</v>
      </c>
      <c r="AA605" t="s">
        <v>53</v>
      </c>
    </row>
    <row r="606" spans="1:28" x14ac:dyDescent="0.8">
      <c r="A606">
        <v>1720</v>
      </c>
      <c r="B606">
        <v>807</v>
      </c>
      <c r="C606" s="2">
        <v>44384</v>
      </c>
      <c r="D606" t="s">
        <v>151</v>
      </c>
      <c r="E606" t="s">
        <v>150</v>
      </c>
      <c r="F606" t="s">
        <v>26</v>
      </c>
      <c r="G606" t="s">
        <v>45</v>
      </c>
      <c r="H606" t="s">
        <v>68</v>
      </c>
      <c r="I606" t="s">
        <v>69</v>
      </c>
      <c r="J606" t="s">
        <v>70</v>
      </c>
      <c r="K606" t="s">
        <v>71</v>
      </c>
      <c r="L606" t="s">
        <v>72</v>
      </c>
      <c r="M606" t="s">
        <v>73</v>
      </c>
      <c r="N606" t="s">
        <v>61</v>
      </c>
      <c r="O606" t="s">
        <v>677</v>
      </c>
      <c r="P606" t="s">
        <v>34</v>
      </c>
      <c r="Q606" t="s">
        <v>359</v>
      </c>
      <c r="R606" t="s">
        <v>678</v>
      </c>
      <c r="S606" t="s">
        <v>131</v>
      </c>
      <c r="T606" t="s">
        <v>679</v>
      </c>
      <c r="U606" s="10" t="s">
        <v>1061</v>
      </c>
      <c r="V606" s="10" t="s">
        <v>1091</v>
      </c>
      <c r="W606" s="10" t="s">
        <v>1065</v>
      </c>
      <c r="X606" s="10" t="s">
        <v>1068</v>
      </c>
      <c r="Y606" t="s">
        <v>39</v>
      </c>
      <c r="Z606" t="s">
        <v>40</v>
      </c>
      <c r="AA606" t="s">
        <v>41</v>
      </c>
      <c r="AB606" t="s">
        <v>154</v>
      </c>
    </row>
    <row r="607" spans="1:28" x14ac:dyDescent="0.8">
      <c r="A607">
        <v>1714</v>
      </c>
      <c r="B607">
        <v>801</v>
      </c>
      <c r="C607" s="2">
        <v>44384</v>
      </c>
      <c r="D607" t="s">
        <v>151</v>
      </c>
      <c r="E607" t="s">
        <v>25</v>
      </c>
      <c r="F607" t="s">
        <v>26</v>
      </c>
      <c r="G607" t="s">
        <v>45</v>
      </c>
      <c r="H607" t="s">
        <v>68</v>
      </c>
      <c r="I607" t="s">
        <v>69</v>
      </c>
      <c r="J607" t="s">
        <v>70</v>
      </c>
      <c r="K607" t="s">
        <v>71</v>
      </c>
      <c r="L607" t="s">
        <v>72</v>
      </c>
      <c r="M607" t="s">
        <v>73</v>
      </c>
      <c r="N607" t="s">
        <v>61</v>
      </c>
      <c r="O607" t="s">
        <v>677</v>
      </c>
      <c r="P607" t="s">
        <v>34</v>
      </c>
      <c r="Q607" t="s">
        <v>359</v>
      </c>
      <c r="R607" t="s">
        <v>678</v>
      </c>
      <c r="S607" t="s">
        <v>131</v>
      </c>
      <c r="T607" t="s">
        <v>679</v>
      </c>
      <c r="U607" s="10" t="s">
        <v>1061</v>
      </c>
      <c r="V607" s="10" t="s">
        <v>1091</v>
      </c>
      <c r="W607" s="10" t="s">
        <v>1065</v>
      </c>
      <c r="X607" s="10" t="s">
        <v>1068</v>
      </c>
      <c r="Y607" t="s">
        <v>39</v>
      </c>
      <c r="Z607" t="s">
        <v>202</v>
      </c>
      <c r="AA607" t="s">
        <v>41</v>
      </c>
    </row>
    <row r="608" spans="1:28" x14ac:dyDescent="0.8">
      <c r="A608">
        <v>587</v>
      </c>
      <c r="B608">
        <v>686</v>
      </c>
      <c r="C608" s="2">
        <v>44384</v>
      </c>
      <c r="D608" t="s">
        <v>151</v>
      </c>
      <c r="E608" t="s">
        <v>150</v>
      </c>
      <c r="F608" t="s">
        <v>26</v>
      </c>
      <c r="G608" t="s">
        <v>45</v>
      </c>
      <c r="H608" t="s">
        <v>68</v>
      </c>
      <c r="I608" t="s">
        <v>69</v>
      </c>
      <c r="J608" t="s">
        <v>70</v>
      </c>
      <c r="K608" t="s">
        <v>71</v>
      </c>
      <c r="L608" t="s">
        <v>72</v>
      </c>
      <c r="M608" t="s">
        <v>73</v>
      </c>
      <c r="N608" t="s">
        <v>61</v>
      </c>
      <c r="O608" t="s">
        <v>677</v>
      </c>
      <c r="P608" t="s">
        <v>34</v>
      </c>
      <c r="Q608" t="s">
        <v>359</v>
      </c>
      <c r="R608" t="s">
        <v>678</v>
      </c>
      <c r="S608" t="s">
        <v>131</v>
      </c>
      <c r="T608" t="s">
        <v>679</v>
      </c>
      <c r="U608" s="10" t="s">
        <v>1061</v>
      </c>
      <c r="V608" s="10" t="s">
        <v>1091</v>
      </c>
      <c r="W608" s="10" t="s">
        <v>1065</v>
      </c>
      <c r="X608" s="10" t="s">
        <v>1068</v>
      </c>
      <c r="Y608" t="s">
        <v>140</v>
      </c>
      <c r="Z608" t="s">
        <v>40</v>
      </c>
      <c r="AA608" t="s">
        <v>63</v>
      </c>
    </row>
    <row r="609" spans="1:28" x14ac:dyDescent="0.8">
      <c r="A609">
        <v>580</v>
      </c>
      <c r="B609">
        <v>679</v>
      </c>
      <c r="C609" s="2">
        <v>44384</v>
      </c>
      <c r="D609" t="s">
        <v>151</v>
      </c>
      <c r="E609" t="s">
        <v>63</v>
      </c>
      <c r="F609" t="s">
        <v>26</v>
      </c>
      <c r="G609" t="s">
        <v>45</v>
      </c>
      <c r="H609" t="s">
        <v>68</v>
      </c>
      <c r="I609" t="s">
        <v>69</v>
      </c>
      <c r="J609" t="s">
        <v>70</v>
      </c>
      <c r="K609" t="s">
        <v>71</v>
      </c>
      <c r="L609" t="s">
        <v>72</v>
      </c>
      <c r="M609" t="s">
        <v>73</v>
      </c>
      <c r="N609" t="s">
        <v>61</v>
      </c>
      <c r="O609" t="s">
        <v>677</v>
      </c>
      <c r="P609" t="s">
        <v>34</v>
      </c>
      <c r="Q609" t="s">
        <v>359</v>
      </c>
      <c r="R609" t="s">
        <v>678</v>
      </c>
      <c r="S609" t="s">
        <v>131</v>
      </c>
      <c r="T609" t="s">
        <v>679</v>
      </c>
      <c r="U609" s="10" t="s">
        <v>1061</v>
      </c>
      <c r="V609" s="10" t="s">
        <v>1091</v>
      </c>
      <c r="W609" s="10" t="s">
        <v>1065</v>
      </c>
      <c r="X609" s="10" t="s">
        <v>1068</v>
      </c>
      <c r="Y609" t="s">
        <v>140</v>
      </c>
      <c r="Z609" t="s">
        <v>40</v>
      </c>
      <c r="AA609" t="s">
        <v>63</v>
      </c>
    </row>
    <row r="610" spans="1:28" x14ac:dyDescent="0.8">
      <c r="A610">
        <v>232</v>
      </c>
      <c r="B610">
        <v>1132</v>
      </c>
      <c r="C610" s="2">
        <v>44384</v>
      </c>
      <c r="D610" t="s">
        <v>151</v>
      </c>
      <c r="E610" t="s">
        <v>25</v>
      </c>
      <c r="F610" t="s">
        <v>26</v>
      </c>
      <c r="G610" t="s">
        <v>45</v>
      </c>
      <c r="H610" t="s">
        <v>68</v>
      </c>
      <c r="I610" t="s">
        <v>69</v>
      </c>
      <c r="J610" t="s">
        <v>70</v>
      </c>
      <c r="K610" t="s">
        <v>71</v>
      </c>
      <c r="L610" t="s">
        <v>72</v>
      </c>
      <c r="M610" t="s">
        <v>73</v>
      </c>
      <c r="N610" t="s">
        <v>61</v>
      </c>
      <c r="O610" t="s">
        <v>677</v>
      </c>
      <c r="P610" t="s">
        <v>34</v>
      </c>
      <c r="Q610" t="s">
        <v>359</v>
      </c>
      <c r="R610" t="s">
        <v>678</v>
      </c>
      <c r="S610" t="s">
        <v>131</v>
      </c>
      <c r="T610" t="s">
        <v>679</v>
      </c>
      <c r="U610" s="10" t="s">
        <v>1061</v>
      </c>
      <c r="V610" s="10" t="s">
        <v>1091</v>
      </c>
      <c r="W610" s="10" t="s">
        <v>1065</v>
      </c>
      <c r="X610" s="10" t="s">
        <v>1068</v>
      </c>
      <c r="Y610" t="s">
        <v>39</v>
      </c>
      <c r="Z610" t="s">
        <v>40</v>
      </c>
      <c r="AA610" t="s">
        <v>53</v>
      </c>
    </row>
    <row r="611" spans="1:28" x14ac:dyDescent="0.8">
      <c r="A611">
        <v>231</v>
      </c>
      <c r="B611">
        <v>1131</v>
      </c>
      <c r="C611" s="2">
        <v>44384</v>
      </c>
      <c r="D611" t="s">
        <v>151</v>
      </c>
      <c r="E611" t="s">
        <v>25</v>
      </c>
      <c r="F611" t="s">
        <v>26</v>
      </c>
      <c r="G611" t="s">
        <v>45</v>
      </c>
      <c r="H611" t="s">
        <v>68</v>
      </c>
      <c r="I611" t="s">
        <v>69</v>
      </c>
      <c r="J611" t="s">
        <v>70</v>
      </c>
      <c r="K611" t="s">
        <v>71</v>
      </c>
      <c r="L611" t="s">
        <v>72</v>
      </c>
      <c r="M611" t="s">
        <v>73</v>
      </c>
      <c r="N611" t="s">
        <v>61</v>
      </c>
      <c r="O611" t="s">
        <v>677</v>
      </c>
      <c r="P611" t="s">
        <v>34</v>
      </c>
      <c r="Q611" t="s">
        <v>359</v>
      </c>
      <c r="R611" t="s">
        <v>678</v>
      </c>
      <c r="S611" t="s">
        <v>131</v>
      </c>
      <c r="T611" t="s">
        <v>679</v>
      </c>
      <c r="U611" s="10" t="s">
        <v>1061</v>
      </c>
      <c r="V611" s="10" t="s">
        <v>1091</v>
      </c>
      <c r="W611" s="10" t="s">
        <v>1065</v>
      </c>
      <c r="X611" s="10" t="s">
        <v>1068</v>
      </c>
      <c r="Y611" t="s">
        <v>39</v>
      </c>
      <c r="Z611" t="s">
        <v>40</v>
      </c>
      <c r="AA611" t="s">
        <v>53</v>
      </c>
    </row>
    <row r="612" spans="1:28" x14ac:dyDescent="0.8">
      <c r="A612">
        <v>230</v>
      </c>
      <c r="B612">
        <v>1130</v>
      </c>
      <c r="C612" s="2">
        <v>44384</v>
      </c>
      <c r="D612" t="s">
        <v>151</v>
      </c>
      <c r="E612" t="s">
        <v>25</v>
      </c>
      <c r="F612" t="s">
        <v>26</v>
      </c>
      <c r="G612" t="s">
        <v>45</v>
      </c>
      <c r="H612" t="s">
        <v>68</v>
      </c>
      <c r="I612" t="s">
        <v>69</v>
      </c>
      <c r="J612" t="s">
        <v>70</v>
      </c>
      <c r="K612" t="s">
        <v>71</v>
      </c>
      <c r="L612" t="s">
        <v>72</v>
      </c>
      <c r="M612" t="s">
        <v>73</v>
      </c>
      <c r="N612" t="s">
        <v>61</v>
      </c>
      <c r="O612" t="s">
        <v>677</v>
      </c>
      <c r="P612" t="s">
        <v>34</v>
      </c>
      <c r="Q612" t="s">
        <v>359</v>
      </c>
      <c r="R612" t="s">
        <v>678</v>
      </c>
      <c r="S612" t="s">
        <v>131</v>
      </c>
      <c r="T612" t="s">
        <v>679</v>
      </c>
      <c r="U612" s="10" t="s">
        <v>1061</v>
      </c>
      <c r="V612" s="10" t="s">
        <v>1091</v>
      </c>
      <c r="W612" s="10" t="s">
        <v>1065</v>
      </c>
      <c r="X612" s="10" t="s">
        <v>1068</v>
      </c>
      <c r="Y612" t="s">
        <v>39</v>
      </c>
      <c r="Z612" t="s">
        <v>40</v>
      </c>
      <c r="AA612" t="s">
        <v>53</v>
      </c>
    </row>
    <row r="613" spans="1:28" x14ac:dyDescent="0.8">
      <c r="A613">
        <v>1729</v>
      </c>
      <c r="B613">
        <v>816</v>
      </c>
      <c r="C613" s="2">
        <v>44384</v>
      </c>
      <c r="D613" t="s">
        <v>151</v>
      </c>
      <c r="E613" t="s">
        <v>150</v>
      </c>
      <c r="F613" t="s">
        <v>26</v>
      </c>
      <c r="G613" t="s">
        <v>45</v>
      </c>
      <c r="H613" t="s">
        <v>155</v>
      </c>
      <c r="I613" t="s">
        <v>69</v>
      </c>
      <c r="J613" t="s">
        <v>156</v>
      </c>
      <c r="K613" t="s">
        <v>157</v>
      </c>
      <c r="L613" t="s">
        <v>232</v>
      </c>
      <c r="M613" t="s">
        <v>233</v>
      </c>
      <c r="N613" t="s">
        <v>61</v>
      </c>
      <c r="O613" t="s">
        <v>677</v>
      </c>
      <c r="P613" t="s">
        <v>34</v>
      </c>
      <c r="Q613" t="s">
        <v>359</v>
      </c>
      <c r="R613" t="s">
        <v>678</v>
      </c>
      <c r="S613" t="s">
        <v>131</v>
      </c>
      <c r="T613" t="s">
        <v>679</v>
      </c>
      <c r="U613" s="10" t="s">
        <v>1061</v>
      </c>
      <c r="V613" s="10" t="s">
        <v>1091</v>
      </c>
      <c r="W613" s="10" t="s">
        <v>1065</v>
      </c>
      <c r="X613" s="10" t="s">
        <v>1068</v>
      </c>
      <c r="Y613" t="s">
        <v>39</v>
      </c>
      <c r="Z613" t="s">
        <v>40</v>
      </c>
      <c r="AA613" t="s">
        <v>41</v>
      </c>
      <c r="AB613" t="s">
        <v>160</v>
      </c>
    </row>
    <row r="614" spans="1:28" x14ac:dyDescent="0.8">
      <c r="A614">
        <v>237</v>
      </c>
      <c r="B614">
        <v>1212</v>
      </c>
      <c r="C614" s="2">
        <v>44384</v>
      </c>
      <c r="D614" t="s">
        <v>151</v>
      </c>
      <c r="E614" t="s">
        <v>63</v>
      </c>
      <c r="F614" t="s">
        <v>26</v>
      </c>
      <c r="G614" t="s">
        <v>45</v>
      </c>
      <c r="H614" t="s">
        <v>155</v>
      </c>
      <c r="I614" t="s">
        <v>69</v>
      </c>
      <c r="J614" t="s">
        <v>156</v>
      </c>
      <c r="K614" t="s">
        <v>157</v>
      </c>
      <c r="L614" t="s">
        <v>232</v>
      </c>
      <c r="M614" t="s">
        <v>233</v>
      </c>
      <c r="N614" t="s">
        <v>52</v>
      </c>
      <c r="O614" t="s">
        <v>677</v>
      </c>
      <c r="P614" t="s">
        <v>34</v>
      </c>
      <c r="Q614" t="s">
        <v>359</v>
      </c>
      <c r="R614" t="s">
        <v>678</v>
      </c>
      <c r="S614" t="s">
        <v>131</v>
      </c>
      <c r="T614" t="s">
        <v>679</v>
      </c>
      <c r="U614" s="10" t="s">
        <v>1061</v>
      </c>
      <c r="V614" s="10" t="s">
        <v>1091</v>
      </c>
      <c r="W614" s="10" t="s">
        <v>1065</v>
      </c>
      <c r="X614" s="10" t="s">
        <v>1068</v>
      </c>
      <c r="Y614" t="s">
        <v>39</v>
      </c>
      <c r="Z614" t="s">
        <v>40</v>
      </c>
      <c r="AA614" t="s">
        <v>53</v>
      </c>
    </row>
    <row r="615" spans="1:28" x14ac:dyDescent="0.8">
      <c r="A615">
        <v>1733</v>
      </c>
      <c r="B615">
        <v>820</v>
      </c>
      <c r="C615" s="2">
        <v>44384</v>
      </c>
      <c r="D615" t="s">
        <v>151</v>
      </c>
      <c r="E615" t="s">
        <v>25</v>
      </c>
      <c r="F615" t="s">
        <v>26</v>
      </c>
      <c r="G615" t="s">
        <v>45</v>
      </c>
      <c r="H615" t="s">
        <v>155</v>
      </c>
      <c r="I615" t="s">
        <v>69</v>
      </c>
      <c r="J615" t="s">
        <v>156</v>
      </c>
      <c r="K615" t="s">
        <v>157</v>
      </c>
      <c r="L615" t="s">
        <v>158</v>
      </c>
      <c r="M615" t="s">
        <v>159</v>
      </c>
      <c r="N615" t="s">
        <v>52</v>
      </c>
      <c r="O615" t="s">
        <v>677</v>
      </c>
      <c r="P615" t="s">
        <v>34</v>
      </c>
      <c r="Q615" t="s">
        <v>359</v>
      </c>
      <c r="R615" t="s">
        <v>678</v>
      </c>
      <c r="S615" t="s">
        <v>131</v>
      </c>
      <c r="T615" t="s">
        <v>679</v>
      </c>
      <c r="U615" s="10" t="s">
        <v>1061</v>
      </c>
      <c r="V615" s="10" t="s">
        <v>1091</v>
      </c>
      <c r="W615" s="10" t="s">
        <v>1065</v>
      </c>
      <c r="X615" s="10" t="s">
        <v>1068</v>
      </c>
      <c r="Y615" t="s">
        <v>39</v>
      </c>
      <c r="Z615" t="s">
        <v>40</v>
      </c>
      <c r="AA615" t="s">
        <v>41</v>
      </c>
    </row>
    <row r="616" spans="1:28" x14ac:dyDescent="0.8">
      <c r="A616">
        <v>583</v>
      </c>
      <c r="B616">
        <v>682</v>
      </c>
      <c r="C616" s="2">
        <v>44384</v>
      </c>
      <c r="D616" t="s">
        <v>151</v>
      </c>
      <c r="E616" t="s">
        <v>150</v>
      </c>
      <c r="F616" t="s">
        <v>26</v>
      </c>
      <c r="G616" t="s">
        <v>45</v>
      </c>
      <c r="H616" t="s">
        <v>155</v>
      </c>
      <c r="I616" t="s">
        <v>69</v>
      </c>
      <c r="J616" t="s">
        <v>156</v>
      </c>
      <c r="K616" t="s">
        <v>157</v>
      </c>
      <c r="L616" t="s">
        <v>158</v>
      </c>
      <c r="M616" t="s">
        <v>159</v>
      </c>
      <c r="N616" t="s">
        <v>52</v>
      </c>
      <c r="O616" t="s">
        <v>677</v>
      </c>
      <c r="P616" t="s">
        <v>34</v>
      </c>
      <c r="Q616" t="s">
        <v>359</v>
      </c>
      <c r="R616" t="s">
        <v>678</v>
      </c>
      <c r="S616" t="s">
        <v>131</v>
      </c>
      <c r="T616" t="s">
        <v>679</v>
      </c>
      <c r="U616" s="10" t="s">
        <v>1061</v>
      </c>
      <c r="V616" s="10" t="s">
        <v>1091</v>
      </c>
      <c r="W616" s="10" t="s">
        <v>1065</v>
      </c>
      <c r="X616" s="10" t="s">
        <v>1068</v>
      </c>
      <c r="Y616" t="s">
        <v>140</v>
      </c>
      <c r="Z616" t="s">
        <v>40</v>
      </c>
      <c r="AA616" t="s">
        <v>63</v>
      </c>
    </row>
    <row r="617" spans="1:28" x14ac:dyDescent="0.8">
      <c r="A617">
        <v>579</v>
      </c>
      <c r="B617">
        <v>678</v>
      </c>
      <c r="C617" s="2">
        <v>44384</v>
      </c>
      <c r="D617" t="s">
        <v>151</v>
      </c>
      <c r="E617" t="s">
        <v>63</v>
      </c>
      <c r="F617" t="s">
        <v>26</v>
      </c>
      <c r="G617" t="s">
        <v>45</v>
      </c>
      <c r="H617" t="s">
        <v>155</v>
      </c>
      <c r="I617" t="s">
        <v>69</v>
      </c>
      <c r="J617" t="s">
        <v>156</v>
      </c>
      <c r="K617" t="s">
        <v>157</v>
      </c>
      <c r="L617" t="s">
        <v>158</v>
      </c>
      <c r="M617" t="s">
        <v>159</v>
      </c>
      <c r="N617" t="s">
        <v>61</v>
      </c>
      <c r="O617" t="s">
        <v>677</v>
      </c>
      <c r="P617" t="s">
        <v>34</v>
      </c>
      <c r="Q617" t="s">
        <v>359</v>
      </c>
      <c r="R617" t="s">
        <v>678</v>
      </c>
      <c r="S617" t="s">
        <v>131</v>
      </c>
      <c r="T617" t="s">
        <v>679</v>
      </c>
      <c r="U617" s="10" t="s">
        <v>1061</v>
      </c>
      <c r="V617" s="10" t="s">
        <v>1091</v>
      </c>
      <c r="W617" s="10" t="s">
        <v>1065</v>
      </c>
      <c r="X617" s="10" t="s">
        <v>1068</v>
      </c>
      <c r="Y617" t="s">
        <v>140</v>
      </c>
      <c r="Z617" t="s">
        <v>40</v>
      </c>
      <c r="AA617" t="s">
        <v>63</v>
      </c>
    </row>
    <row r="618" spans="1:28" x14ac:dyDescent="0.8">
      <c r="A618">
        <v>241</v>
      </c>
      <c r="B618">
        <v>1216</v>
      </c>
      <c r="C618" s="2">
        <v>44384</v>
      </c>
      <c r="D618" t="s">
        <v>151</v>
      </c>
      <c r="E618" t="s">
        <v>25</v>
      </c>
      <c r="F618" t="s">
        <v>26</v>
      </c>
      <c r="G618" t="s">
        <v>45</v>
      </c>
      <c r="H618" t="s">
        <v>155</v>
      </c>
      <c r="I618" t="s">
        <v>69</v>
      </c>
      <c r="J618" t="s">
        <v>156</v>
      </c>
      <c r="K618" t="s">
        <v>157</v>
      </c>
      <c r="L618" t="s">
        <v>158</v>
      </c>
      <c r="M618" t="s">
        <v>159</v>
      </c>
      <c r="N618" t="s">
        <v>61</v>
      </c>
      <c r="O618" t="s">
        <v>677</v>
      </c>
      <c r="P618" t="s">
        <v>34</v>
      </c>
      <c r="Q618" t="s">
        <v>359</v>
      </c>
      <c r="R618" t="s">
        <v>678</v>
      </c>
      <c r="S618" t="s">
        <v>131</v>
      </c>
      <c r="T618" t="s">
        <v>679</v>
      </c>
      <c r="U618" s="10" t="s">
        <v>1061</v>
      </c>
      <c r="V618" s="10" t="s">
        <v>1091</v>
      </c>
      <c r="W618" s="10" t="s">
        <v>1065</v>
      </c>
      <c r="X618" s="10" t="s">
        <v>1068</v>
      </c>
      <c r="Y618" t="s">
        <v>39</v>
      </c>
      <c r="Z618" t="s">
        <v>40</v>
      </c>
      <c r="AA618" t="s">
        <v>53</v>
      </c>
    </row>
    <row r="619" spans="1:28" x14ac:dyDescent="0.8">
      <c r="A619">
        <v>240</v>
      </c>
      <c r="B619">
        <v>1215</v>
      </c>
      <c r="C619" s="2">
        <v>44384</v>
      </c>
      <c r="D619" t="s">
        <v>151</v>
      </c>
      <c r="E619" t="s">
        <v>63</v>
      </c>
      <c r="F619" t="s">
        <v>26</v>
      </c>
      <c r="G619" t="s">
        <v>45</v>
      </c>
      <c r="H619" t="s">
        <v>155</v>
      </c>
      <c r="I619" t="s">
        <v>69</v>
      </c>
      <c r="J619" t="s">
        <v>156</v>
      </c>
      <c r="K619" t="s">
        <v>157</v>
      </c>
      <c r="L619" t="s">
        <v>158</v>
      </c>
      <c r="M619" t="s">
        <v>159</v>
      </c>
      <c r="N619" t="s">
        <v>61</v>
      </c>
      <c r="O619" t="s">
        <v>677</v>
      </c>
      <c r="P619" t="s">
        <v>34</v>
      </c>
      <c r="Q619" t="s">
        <v>359</v>
      </c>
      <c r="R619" t="s">
        <v>678</v>
      </c>
      <c r="S619" t="s">
        <v>131</v>
      </c>
      <c r="T619" t="s">
        <v>679</v>
      </c>
      <c r="U619" s="10" t="s">
        <v>1061</v>
      </c>
      <c r="V619" s="10" t="s">
        <v>1091</v>
      </c>
      <c r="W619" s="10" t="s">
        <v>1065</v>
      </c>
      <c r="X619" s="10" t="s">
        <v>1068</v>
      </c>
      <c r="Y619" t="s">
        <v>39</v>
      </c>
      <c r="Z619" t="s">
        <v>40</v>
      </c>
      <c r="AA619" t="s">
        <v>53</v>
      </c>
    </row>
    <row r="620" spans="1:28" x14ac:dyDescent="0.8">
      <c r="A620">
        <v>238</v>
      </c>
      <c r="B620">
        <v>1213</v>
      </c>
      <c r="C620" s="2">
        <v>44384</v>
      </c>
      <c r="D620" t="s">
        <v>151</v>
      </c>
      <c r="E620" t="s">
        <v>125</v>
      </c>
      <c r="F620" t="s">
        <v>26</v>
      </c>
      <c r="G620" t="s">
        <v>45</v>
      </c>
      <c r="H620" t="s">
        <v>155</v>
      </c>
      <c r="I620" t="s">
        <v>69</v>
      </c>
      <c r="J620" t="s">
        <v>156</v>
      </c>
      <c r="K620" t="s">
        <v>157</v>
      </c>
      <c r="L620" t="s">
        <v>158</v>
      </c>
      <c r="M620" t="s">
        <v>159</v>
      </c>
      <c r="N620" t="s">
        <v>52</v>
      </c>
      <c r="O620" t="s">
        <v>677</v>
      </c>
      <c r="P620" t="s">
        <v>34</v>
      </c>
      <c r="Q620" t="s">
        <v>359</v>
      </c>
      <c r="R620" t="s">
        <v>678</v>
      </c>
      <c r="S620" t="s">
        <v>131</v>
      </c>
      <c r="T620" t="s">
        <v>679</v>
      </c>
      <c r="U620" s="10" t="s">
        <v>1061</v>
      </c>
      <c r="V620" s="10" t="s">
        <v>1091</v>
      </c>
      <c r="W620" s="10" t="s">
        <v>1065</v>
      </c>
      <c r="X620" s="10" t="s">
        <v>1068</v>
      </c>
      <c r="Y620" t="s">
        <v>39</v>
      </c>
      <c r="Z620" t="s">
        <v>40</v>
      </c>
      <c r="AA620" t="s">
        <v>53</v>
      </c>
    </row>
    <row r="621" spans="1:28" x14ac:dyDescent="0.8">
      <c r="A621">
        <v>1712</v>
      </c>
      <c r="B621">
        <v>560</v>
      </c>
      <c r="C621" s="2">
        <v>44388</v>
      </c>
      <c r="D621" t="s">
        <v>151</v>
      </c>
      <c r="E621" t="s">
        <v>63</v>
      </c>
      <c r="F621" t="s">
        <v>26</v>
      </c>
      <c r="G621" t="s">
        <v>45</v>
      </c>
      <c r="H621" t="s">
        <v>155</v>
      </c>
      <c r="I621" t="s">
        <v>69</v>
      </c>
      <c r="J621" t="s">
        <v>156</v>
      </c>
      <c r="K621" t="s">
        <v>157</v>
      </c>
      <c r="L621" t="s">
        <v>158</v>
      </c>
      <c r="M621" t="s">
        <v>159</v>
      </c>
      <c r="N621" t="s">
        <v>52</v>
      </c>
      <c r="O621" t="s">
        <v>677</v>
      </c>
      <c r="P621" t="s">
        <v>34</v>
      </c>
      <c r="Q621" t="s">
        <v>359</v>
      </c>
      <c r="R621" t="s">
        <v>678</v>
      </c>
      <c r="S621" t="s">
        <v>131</v>
      </c>
      <c r="T621" t="s">
        <v>679</v>
      </c>
      <c r="U621" s="10" t="s">
        <v>1061</v>
      </c>
      <c r="V621" s="10" t="s">
        <v>1091</v>
      </c>
      <c r="W621" s="10" t="s">
        <v>1065</v>
      </c>
      <c r="X621" s="10" t="s">
        <v>1068</v>
      </c>
      <c r="Y621" t="s">
        <v>39</v>
      </c>
      <c r="Z621" t="s">
        <v>40</v>
      </c>
      <c r="AA621" t="s">
        <v>41</v>
      </c>
    </row>
    <row r="622" spans="1:28" x14ac:dyDescent="0.8">
      <c r="A622">
        <v>921</v>
      </c>
      <c r="B622">
        <v>1097</v>
      </c>
      <c r="C622" s="2">
        <v>44384</v>
      </c>
      <c r="D622" t="s">
        <v>242</v>
      </c>
      <c r="E622" t="s">
        <v>63</v>
      </c>
      <c r="F622" t="s">
        <v>26</v>
      </c>
      <c r="G622" t="s">
        <v>45</v>
      </c>
      <c r="H622" t="s">
        <v>155</v>
      </c>
      <c r="I622" t="s">
        <v>69</v>
      </c>
      <c r="J622" t="s">
        <v>156</v>
      </c>
      <c r="K622" t="s">
        <v>157</v>
      </c>
      <c r="L622" t="s">
        <v>158</v>
      </c>
      <c r="M622" t="s">
        <v>159</v>
      </c>
      <c r="N622" t="s">
        <v>52</v>
      </c>
      <c r="O622" t="s">
        <v>677</v>
      </c>
      <c r="P622" t="s">
        <v>34</v>
      </c>
      <c r="Q622" t="s">
        <v>359</v>
      </c>
      <c r="R622" t="s">
        <v>678</v>
      </c>
      <c r="S622" t="s">
        <v>131</v>
      </c>
      <c r="T622" t="s">
        <v>679</v>
      </c>
      <c r="U622" s="10" t="s">
        <v>1061</v>
      </c>
      <c r="V622" s="10" t="s">
        <v>1091</v>
      </c>
      <c r="W622" s="10" t="s">
        <v>1065</v>
      </c>
      <c r="X622" s="10" t="s">
        <v>1068</v>
      </c>
      <c r="Y622" t="s">
        <v>39</v>
      </c>
      <c r="Z622" t="s">
        <v>40</v>
      </c>
      <c r="AA622" t="s">
        <v>63</v>
      </c>
    </row>
    <row r="623" spans="1:28" x14ac:dyDescent="0.8">
      <c r="A623">
        <v>1597</v>
      </c>
      <c r="B623">
        <v>19</v>
      </c>
      <c r="C623" s="2">
        <v>44384</v>
      </c>
      <c r="D623" t="s">
        <v>24</v>
      </c>
      <c r="E623" t="s">
        <v>125</v>
      </c>
      <c r="F623" t="s">
        <v>26</v>
      </c>
      <c r="G623" t="s">
        <v>45</v>
      </c>
      <c r="H623" t="s">
        <v>68</v>
      </c>
      <c r="I623" t="s">
        <v>69</v>
      </c>
      <c r="J623" t="s">
        <v>70</v>
      </c>
      <c r="K623" t="s">
        <v>71</v>
      </c>
      <c r="L623" t="s">
        <v>72</v>
      </c>
      <c r="M623" t="s">
        <v>73</v>
      </c>
      <c r="N623" t="s">
        <v>61</v>
      </c>
      <c r="O623" t="s">
        <v>1002</v>
      </c>
      <c r="P623" t="s">
        <v>85</v>
      </c>
      <c r="Q623" t="s">
        <v>359</v>
      </c>
      <c r="R623" t="s">
        <v>1003</v>
      </c>
      <c r="S623" t="s">
        <v>1004</v>
      </c>
      <c r="T623" t="s">
        <v>1005</v>
      </c>
      <c r="U623" s="10" t="s">
        <v>1064</v>
      </c>
      <c r="V623" s="10" t="s">
        <v>1091</v>
      </c>
      <c r="W623" s="10" t="s">
        <v>1064</v>
      </c>
      <c r="X623" s="10" t="s">
        <v>1080</v>
      </c>
      <c r="Y623" t="s">
        <v>140</v>
      </c>
      <c r="Z623" t="s">
        <v>40</v>
      </c>
      <c r="AA623" t="s">
        <v>231</v>
      </c>
    </row>
    <row r="624" spans="1:28" x14ac:dyDescent="0.8">
      <c r="A624">
        <v>608</v>
      </c>
      <c r="B624">
        <v>707</v>
      </c>
      <c r="C624" s="2">
        <v>44384</v>
      </c>
      <c r="D624" t="s">
        <v>24</v>
      </c>
      <c r="E624" t="s">
        <v>63</v>
      </c>
      <c r="F624" t="s">
        <v>26</v>
      </c>
      <c r="G624" t="s">
        <v>45</v>
      </c>
      <c r="H624" t="s">
        <v>68</v>
      </c>
      <c r="I624" t="s">
        <v>69</v>
      </c>
      <c r="J624" t="s">
        <v>70</v>
      </c>
      <c r="K624" t="s">
        <v>71</v>
      </c>
      <c r="L624" t="s">
        <v>72</v>
      </c>
      <c r="M624" t="s">
        <v>73</v>
      </c>
      <c r="N624" t="s">
        <v>61</v>
      </c>
      <c r="O624" t="s">
        <v>1002</v>
      </c>
      <c r="P624" t="s">
        <v>85</v>
      </c>
      <c r="Q624" t="s">
        <v>359</v>
      </c>
      <c r="R624" t="s">
        <v>1003</v>
      </c>
      <c r="S624" t="s">
        <v>1004</v>
      </c>
      <c r="T624" t="s">
        <v>1005</v>
      </c>
      <c r="U624" s="10" t="s">
        <v>1064</v>
      </c>
      <c r="V624" s="10" t="s">
        <v>1091</v>
      </c>
      <c r="W624" s="10" t="s">
        <v>1064</v>
      </c>
      <c r="X624" s="10" t="s">
        <v>1080</v>
      </c>
      <c r="Y624" t="s">
        <v>39</v>
      </c>
      <c r="Z624" t="s">
        <v>40</v>
      </c>
      <c r="AA624" t="s">
        <v>63</v>
      </c>
    </row>
    <row r="625" spans="1:28" x14ac:dyDescent="0.8">
      <c r="A625">
        <v>601</v>
      </c>
      <c r="B625">
        <v>700</v>
      </c>
      <c r="C625" s="2">
        <v>44384</v>
      </c>
      <c r="D625" t="s">
        <v>24</v>
      </c>
      <c r="E625" t="s">
        <v>25</v>
      </c>
      <c r="F625" t="s">
        <v>26</v>
      </c>
      <c r="G625" t="s">
        <v>45</v>
      </c>
      <c r="H625" t="s">
        <v>68</v>
      </c>
      <c r="I625" t="s">
        <v>69</v>
      </c>
      <c r="J625" t="s">
        <v>70</v>
      </c>
      <c r="K625" t="s">
        <v>71</v>
      </c>
      <c r="L625" t="s">
        <v>72</v>
      </c>
      <c r="M625" t="s">
        <v>73</v>
      </c>
      <c r="N625" t="s">
        <v>61</v>
      </c>
      <c r="O625" t="s">
        <v>1002</v>
      </c>
      <c r="P625" t="s">
        <v>85</v>
      </c>
      <c r="Q625" t="s">
        <v>359</v>
      </c>
      <c r="R625" t="s">
        <v>1003</v>
      </c>
      <c r="S625" t="s">
        <v>1004</v>
      </c>
      <c r="T625" t="s">
        <v>1005</v>
      </c>
      <c r="U625" s="10" t="s">
        <v>1064</v>
      </c>
      <c r="V625" s="10" t="s">
        <v>1091</v>
      </c>
      <c r="W625" s="10" t="s">
        <v>1064</v>
      </c>
      <c r="X625" s="10" t="s">
        <v>1080</v>
      </c>
      <c r="Y625" t="s">
        <v>39</v>
      </c>
      <c r="Z625" t="s">
        <v>40</v>
      </c>
      <c r="AA625" t="s">
        <v>63</v>
      </c>
    </row>
    <row r="626" spans="1:28" x14ac:dyDescent="0.8">
      <c r="A626">
        <v>1598</v>
      </c>
      <c r="B626">
        <v>20</v>
      </c>
      <c r="C626" s="2">
        <v>44384</v>
      </c>
      <c r="D626" t="s">
        <v>24</v>
      </c>
      <c r="E626" t="s">
        <v>125</v>
      </c>
      <c r="F626" t="s">
        <v>26</v>
      </c>
      <c r="G626" t="s">
        <v>45</v>
      </c>
      <c r="H626" t="s">
        <v>46</v>
      </c>
      <c r="I626" t="s">
        <v>47</v>
      </c>
      <c r="J626" t="s">
        <v>48</v>
      </c>
      <c r="K626" t="s">
        <v>141</v>
      </c>
      <c r="L626" t="s">
        <v>293</v>
      </c>
      <c r="M626" t="s">
        <v>294</v>
      </c>
      <c r="N626" t="s">
        <v>52</v>
      </c>
      <c r="O626" t="s">
        <v>1002</v>
      </c>
      <c r="P626" t="s">
        <v>85</v>
      </c>
      <c r="Q626" t="s">
        <v>359</v>
      </c>
      <c r="R626" t="s">
        <v>1003</v>
      </c>
      <c r="S626" t="s">
        <v>1004</v>
      </c>
      <c r="T626" t="s">
        <v>1005</v>
      </c>
      <c r="U626" s="10" t="s">
        <v>1064</v>
      </c>
      <c r="V626" s="10" t="s">
        <v>1091</v>
      </c>
      <c r="W626" s="10" t="s">
        <v>1064</v>
      </c>
      <c r="X626" s="10" t="s">
        <v>1080</v>
      </c>
      <c r="Y626" t="s">
        <v>140</v>
      </c>
      <c r="Z626" t="s">
        <v>40</v>
      </c>
      <c r="AA626" t="s">
        <v>231</v>
      </c>
    </row>
    <row r="627" spans="1:28" x14ac:dyDescent="0.8">
      <c r="A627">
        <v>1756</v>
      </c>
      <c r="B627">
        <v>94</v>
      </c>
      <c r="C627" s="2">
        <v>44384</v>
      </c>
      <c r="D627" t="s">
        <v>24</v>
      </c>
      <c r="E627" t="s">
        <v>25</v>
      </c>
      <c r="F627" t="s">
        <v>26</v>
      </c>
      <c r="G627" t="s">
        <v>45</v>
      </c>
      <c r="H627" t="s">
        <v>46</v>
      </c>
      <c r="I627" t="s">
        <v>47</v>
      </c>
      <c r="J627" t="s">
        <v>48</v>
      </c>
      <c r="K627" t="s">
        <v>141</v>
      </c>
      <c r="L627" t="s">
        <v>142</v>
      </c>
      <c r="M627" t="s">
        <v>143</v>
      </c>
      <c r="N627" t="s">
        <v>61</v>
      </c>
      <c r="O627" t="s">
        <v>144</v>
      </c>
      <c r="P627" t="s">
        <v>34</v>
      </c>
      <c r="Q627" t="s">
        <v>145</v>
      </c>
      <c r="R627" t="s">
        <v>146</v>
      </c>
      <c r="S627" t="s">
        <v>147</v>
      </c>
      <c r="T627" t="s">
        <v>148</v>
      </c>
      <c r="U627" s="10" t="s">
        <v>1061</v>
      </c>
      <c r="V627" s="10" t="s">
        <v>1067</v>
      </c>
      <c r="W627" s="10" t="s">
        <v>1141</v>
      </c>
      <c r="X627" s="10" t="s">
        <v>1068</v>
      </c>
      <c r="Y627" t="s">
        <v>39</v>
      </c>
      <c r="Z627" t="s">
        <v>40</v>
      </c>
      <c r="AA627" t="s">
        <v>41</v>
      </c>
    </row>
    <row r="628" spans="1:28" x14ac:dyDescent="0.8">
      <c r="A628">
        <v>832</v>
      </c>
      <c r="B628">
        <v>1409</v>
      </c>
      <c r="C628" s="2">
        <v>44387</v>
      </c>
      <c r="D628" t="s">
        <v>149</v>
      </c>
      <c r="E628" t="s">
        <v>150</v>
      </c>
      <c r="F628" t="s">
        <v>26</v>
      </c>
      <c r="G628" t="s">
        <v>45</v>
      </c>
      <c r="H628" t="s">
        <v>68</v>
      </c>
      <c r="I628" t="s">
        <v>69</v>
      </c>
      <c r="J628" t="s">
        <v>70</v>
      </c>
      <c r="K628" t="s">
        <v>71</v>
      </c>
      <c r="L628" t="s">
        <v>72</v>
      </c>
      <c r="M628" t="s">
        <v>73</v>
      </c>
      <c r="N628" t="s">
        <v>61</v>
      </c>
      <c r="O628" t="s">
        <v>144</v>
      </c>
      <c r="P628" t="s">
        <v>34</v>
      </c>
      <c r="Q628" t="s">
        <v>145</v>
      </c>
      <c r="R628" t="s">
        <v>146</v>
      </c>
      <c r="S628" t="s">
        <v>147</v>
      </c>
      <c r="T628" t="s">
        <v>148</v>
      </c>
      <c r="U628" s="10" t="s">
        <v>1061</v>
      </c>
      <c r="V628" s="10" t="s">
        <v>1067</v>
      </c>
      <c r="W628" s="10" t="s">
        <v>1141</v>
      </c>
      <c r="X628" s="10" t="s">
        <v>1068</v>
      </c>
      <c r="Y628" t="s">
        <v>39</v>
      </c>
      <c r="Z628" t="s">
        <v>40</v>
      </c>
      <c r="AA628" t="s">
        <v>63</v>
      </c>
    </row>
    <row r="629" spans="1:28" x14ac:dyDescent="0.8">
      <c r="A629">
        <v>798</v>
      </c>
      <c r="B629">
        <v>1327</v>
      </c>
      <c r="C629" s="2">
        <v>44387</v>
      </c>
      <c r="D629" t="s">
        <v>149</v>
      </c>
      <c r="E629" t="s">
        <v>25</v>
      </c>
      <c r="F629" t="s">
        <v>26</v>
      </c>
      <c r="G629" t="s">
        <v>45</v>
      </c>
      <c r="H629" t="s">
        <v>68</v>
      </c>
      <c r="I629" t="s">
        <v>69</v>
      </c>
      <c r="J629" t="s">
        <v>70</v>
      </c>
      <c r="K629" t="s">
        <v>71</v>
      </c>
      <c r="L629" t="s">
        <v>72</v>
      </c>
      <c r="M629" t="s">
        <v>73</v>
      </c>
      <c r="N629" t="s">
        <v>61</v>
      </c>
      <c r="O629" t="s">
        <v>144</v>
      </c>
      <c r="P629" t="s">
        <v>34</v>
      </c>
      <c r="Q629" t="s">
        <v>145</v>
      </c>
      <c r="R629" t="s">
        <v>146</v>
      </c>
      <c r="S629" t="s">
        <v>147</v>
      </c>
      <c r="T629" t="s">
        <v>148</v>
      </c>
      <c r="U629" s="10" t="s">
        <v>1061</v>
      </c>
      <c r="V629" s="10" t="s">
        <v>1067</v>
      </c>
      <c r="W629" s="10" t="s">
        <v>1141</v>
      </c>
      <c r="X629" s="10" t="s">
        <v>1068</v>
      </c>
      <c r="Y629" t="s">
        <v>39</v>
      </c>
      <c r="Z629" t="s">
        <v>40</v>
      </c>
      <c r="AA629" t="s">
        <v>63</v>
      </c>
    </row>
    <row r="630" spans="1:28" x14ac:dyDescent="0.8">
      <c r="A630">
        <v>589</v>
      </c>
      <c r="B630">
        <v>688</v>
      </c>
      <c r="C630" s="2">
        <v>44384</v>
      </c>
      <c r="D630" t="s">
        <v>151</v>
      </c>
      <c r="E630" t="s">
        <v>25</v>
      </c>
      <c r="F630" t="s">
        <v>26</v>
      </c>
      <c r="G630" t="s">
        <v>45</v>
      </c>
      <c r="H630" t="s">
        <v>68</v>
      </c>
      <c r="I630" t="s">
        <v>69</v>
      </c>
      <c r="J630" t="s">
        <v>70</v>
      </c>
      <c r="K630" t="s">
        <v>71</v>
      </c>
      <c r="L630" t="s">
        <v>72</v>
      </c>
      <c r="M630" t="s">
        <v>73</v>
      </c>
      <c r="N630" t="s">
        <v>61</v>
      </c>
      <c r="O630" t="s">
        <v>144</v>
      </c>
      <c r="P630" t="s">
        <v>34</v>
      </c>
      <c r="Q630" t="s">
        <v>145</v>
      </c>
      <c r="R630" t="s">
        <v>146</v>
      </c>
      <c r="S630" t="s">
        <v>147</v>
      </c>
      <c r="T630" t="s">
        <v>148</v>
      </c>
      <c r="U630" s="10" t="s">
        <v>1061</v>
      </c>
      <c r="V630" s="10" t="s">
        <v>1067</v>
      </c>
      <c r="W630" s="10" t="s">
        <v>1141</v>
      </c>
      <c r="X630" s="10" t="s">
        <v>1068</v>
      </c>
      <c r="Y630" t="s">
        <v>140</v>
      </c>
      <c r="Z630" t="s">
        <v>40</v>
      </c>
      <c r="AA630" t="s">
        <v>63</v>
      </c>
      <c r="AB630" t="s">
        <v>152</v>
      </c>
    </row>
    <row r="631" spans="1:28" x14ac:dyDescent="0.8">
      <c r="A631">
        <v>588</v>
      </c>
      <c r="B631">
        <v>687</v>
      </c>
      <c r="C631" s="2">
        <v>44384</v>
      </c>
      <c r="D631" t="s">
        <v>151</v>
      </c>
      <c r="E631" t="s">
        <v>25</v>
      </c>
      <c r="F631" t="s">
        <v>26</v>
      </c>
      <c r="G631" t="s">
        <v>45</v>
      </c>
      <c r="H631" t="s">
        <v>68</v>
      </c>
      <c r="I631" t="s">
        <v>69</v>
      </c>
      <c r="J631" t="s">
        <v>70</v>
      </c>
      <c r="K631" t="s">
        <v>71</v>
      </c>
      <c r="L631" t="s">
        <v>72</v>
      </c>
      <c r="M631" t="s">
        <v>73</v>
      </c>
      <c r="N631" t="s">
        <v>61</v>
      </c>
      <c r="O631" t="s">
        <v>144</v>
      </c>
      <c r="P631" t="s">
        <v>34</v>
      </c>
      <c r="Q631" t="s">
        <v>145</v>
      </c>
      <c r="R631" t="s">
        <v>146</v>
      </c>
      <c r="S631" t="s">
        <v>147</v>
      </c>
      <c r="T631" t="s">
        <v>148</v>
      </c>
      <c r="U631" s="10" t="s">
        <v>1061</v>
      </c>
      <c r="V631" s="10" t="s">
        <v>1067</v>
      </c>
      <c r="W631" s="10" t="s">
        <v>1141</v>
      </c>
      <c r="X631" s="10" t="s">
        <v>1068</v>
      </c>
      <c r="Y631" t="s">
        <v>140</v>
      </c>
      <c r="Z631" t="s">
        <v>40</v>
      </c>
      <c r="AA631" t="s">
        <v>63</v>
      </c>
      <c r="AB631" t="s">
        <v>152</v>
      </c>
    </row>
    <row r="632" spans="1:28" x14ac:dyDescent="0.8">
      <c r="A632">
        <v>1722</v>
      </c>
      <c r="B632">
        <v>809</v>
      </c>
      <c r="C632" s="2">
        <v>44384</v>
      </c>
      <c r="D632" t="s">
        <v>151</v>
      </c>
      <c r="E632" t="s">
        <v>25</v>
      </c>
      <c r="F632" t="s">
        <v>26</v>
      </c>
      <c r="G632" t="s">
        <v>45</v>
      </c>
      <c r="H632" t="s">
        <v>68</v>
      </c>
      <c r="I632" t="s">
        <v>69</v>
      </c>
      <c r="J632" t="s">
        <v>70</v>
      </c>
      <c r="K632" t="s">
        <v>71</v>
      </c>
      <c r="L632" t="s">
        <v>72</v>
      </c>
      <c r="M632" t="s">
        <v>73</v>
      </c>
      <c r="N632" t="s">
        <v>61</v>
      </c>
      <c r="O632" t="s">
        <v>144</v>
      </c>
      <c r="P632" t="s">
        <v>34</v>
      </c>
      <c r="Q632" t="s">
        <v>145</v>
      </c>
      <c r="R632" t="s">
        <v>146</v>
      </c>
      <c r="S632" t="s">
        <v>147</v>
      </c>
      <c r="T632" t="s">
        <v>148</v>
      </c>
      <c r="U632" s="10" t="s">
        <v>1061</v>
      </c>
      <c r="V632" s="10" t="s">
        <v>1067</v>
      </c>
      <c r="W632" s="10" t="s">
        <v>1141</v>
      </c>
      <c r="X632" s="10" t="s">
        <v>1068</v>
      </c>
      <c r="Y632" t="s">
        <v>39</v>
      </c>
      <c r="Z632" t="s">
        <v>40</v>
      </c>
      <c r="AA632" t="s">
        <v>41</v>
      </c>
      <c r="AB632" t="s">
        <v>153</v>
      </c>
    </row>
    <row r="633" spans="1:28" x14ac:dyDescent="0.8">
      <c r="A633">
        <v>1721</v>
      </c>
      <c r="B633">
        <v>808</v>
      </c>
      <c r="C633" s="2">
        <v>44384</v>
      </c>
      <c r="D633" t="s">
        <v>151</v>
      </c>
      <c r="E633" t="s">
        <v>25</v>
      </c>
      <c r="F633" t="s">
        <v>26</v>
      </c>
      <c r="G633" t="s">
        <v>45</v>
      </c>
      <c r="H633" t="s">
        <v>68</v>
      </c>
      <c r="I633" t="s">
        <v>69</v>
      </c>
      <c r="J633" t="s">
        <v>70</v>
      </c>
      <c r="K633" t="s">
        <v>71</v>
      </c>
      <c r="L633" t="s">
        <v>72</v>
      </c>
      <c r="M633" t="s">
        <v>73</v>
      </c>
      <c r="N633" t="s">
        <v>61</v>
      </c>
      <c r="O633" t="s">
        <v>144</v>
      </c>
      <c r="P633" t="s">
        <v>34</v>
      </c>
      <c r="Q633" t="s">
        <v>145</v>
      </c>
      <c r="R633" t="s">
        <v>146</v>
      </c>
      <c r="S633" t="s">
        <v>147</v>
      </c>
      <c r="T633" t="s">
        <v>148</v>
      </c>
      <c r="U633" s="10" t="s">
        <v>1061</v>
      </c>
      <c r="V633" s="10" t="s">
        <v>1067</v>
      </c>
      <c r="W633" s="10" t="s">
        <v>1141</v>
      </c>
      <c r="X633" s="10" t="s">
        <v>1068</v>
      </c>
      <c r="Y633" t="s">
        <v>39</v>
      </c>
      <c r="Z633" t="s">
        <v>40</v>
      </c>
      <c r="AA633" t="s">
        <v>41</v>
      </c>
      <c r="AB633" t="s">
        <v>153</v>
      </c>
    </row>
    <row r="634" spans="1:28" x14ac:dyDescent="0.8">
      <c r="A634">
        <v>1726</v>
      </c>
      <c r="B634">
        <v>813</v>
      </c>
      <c r="C634" s="2">
        <v>44384</v>
      </c>
      <c r="D634" t="s">
        <v>151</v>
      </c>
      <c r="E634" t="s">
        <v>150</v>
      </c>
      <c r="F634" t="s">
        <v>26</v>
      </c>
      <c r="G634" t="s">
        <v>45</v>
      </c>
      <c r="H634" t="s">
        <v>68</v>
      </c>
      <c r="I634" t="s">
        <v>69</v>
      </c>
      <c r="J634" t="s">
        <v>70</v>
      </c>
      <c r="K634" t="s">
        <v>71</v>
      </c>
      <c r="L634" t="s">
        <v>72</v>
      </c>
      <c r="M634" t="s">
        <v>73</v>
      </c>
      <c r="N634" t="s">
        <v>61</v>
      </c>
      <c r="O634" t="s">
        <v>144</v>
      </c>
      <c r="P634" t="s">
        <v>34</v>
      </c>
      <c r="Q634" t="s">
        <v>145</v>
      </c>
      <c r="R634" t="s">
        <v>146</v>
      </c>
      <c r="S634" t="s">
        <v>147</v>
      </c>
      <c r="T634" t="s">
        <v>148</v>
      </c>
      <c r="U634" s="10" t="s">
        <v>1061</v>
      </c>
      <c r="V634" s="10" t="s">
        <v>1067</v>
      </c>
      <c r="W634" s="10" t="s">
        <v>1141</v>
      </c>
      <c r="X634" s="10" t="s">
        <v>1068</v>
      </c>
      <c r="Y634" t="s">
        <v>39</v>
      </c>
      <c r="Z634" t="s">
        <v>40</v>
      </c>
      <c r="AA634" t="s">
        <v>41</v>
      </c>
      <c r="AB634" t="s">
        <v>154</v>
      </c>
    </row>
    <row r="635" spans="1:28" x14ac:dyDescent="0.8">
      <c r="A635">
        <v>1715</v>
      </c>
      <c r="B635">
        <v>802</v>
      </c>
      <c r="C635" s="2">
        <v>44384</v>
      </c>
      <c r="D635" t="s">
        <v>151</v>
      </c>
      <c r="E635" t="s">
        <v>25</v>
      </c>
      <c r="F635" t="s">
        <v>26</v>
      </c>
      <c r="G635" t="s">
        <v>45</v>
      </c>
      <c r="H635" t="s">
        <v>68</v>
      </c>
      <c r="I635" t="s">
        <v>69</v>
      </c>
      <c r="J635" t="s">
        <v>70</v>
      </c>
      <c r="K635" t="s">
        <v>71</v>
      </c>
      <c r="L635" t="s">
        <v>72</v>
      </c>
      <c r="M635" t="s">
        <v>73</v>
      </c>
      <c r="N635" t="s">
        <v>61</v>
      </c>
      <c r="O635" t="s">
        <v>144</v>
      </c>
      <c r="P635" t="s">
        <v>34</v>
      </c>
      <c r="Q635" t="s">
        <v>145</v>
      </c>
      <c r="R635" t="s">
        <v>146</v>
      </c>
      <c r="S635" t="s">
        <v>147</v>
      </c>
      <c r="T635" t="s">
        <v>148</v>
      </c>
      <c r="U635" s="10" t="s">
        <v>1061</v>
      </c>
      <c r="V635" s="10" t="s">
        <v>1067</v>
      </c>
      <c r="W635" s="10" t="s">
        <v>1141</v>
      </c>
      <c r="X635" s="10" t="s">
        <v>1068</v>
      </c>
      <c r="Y635" t="s">
        <v>39</v>
      </c>
      <c r="Z635" t="s">
        <v>40</v>
      </c>
      <c r="AA635" t="s">
        <v>41</v>
      </c>
    </row>
    <row r="636" spans="1:28" x14ac:dyDescent="0.8">
      <c r="A636">
        <v>578</v>
      </c>
      <c r="B636">
        <v>677</v>
      </c>
      <c r="C636" s="2">
        <v>44384</v>
      </c>
      <c r="D636" t="s">
        <v>151</v>
      </c>
      <c r="E636" t="s">
        <v>63</v>
      </c>
      <c r="F636" t="s">
        <v>26</v>
      </c>
      <c r="G636" t="s">
        <v>45</v>
      </c>
      <c r="H636" t="s">
        <v>68</v>
      </c>
      <c r="I636" t="s">
        <v>69</v>
      </c>
      <c r="J636" t="s">
        <v>70</v>
      </c>
      <c r="K636" t="s">
        <v>71</v>
      </c>
      <c r="L636" t="s">
        <v>72</v>
      </c>
      <c r="M636" t="s">
        <v>73</v>
      </c>
      <c r="N636" t="s">
        <v>61</v>
      </c>
      <c r="O636" t="s">
        <v>144</v>
      </c>
      <c r="P636" t="s">
        <v>34</v>
      </c>
      <c r="Q636" t="s">
        <v>145</v>
      </c>
      <c r="R636" t="s">
        <v>146</v>
      </c>
      <c r="S636" t="s">
        <v>147</v>
      </c>
      <c r="T636" t="s">
        <v>148</v>
      </c>
      <c r="U636" s="10" t="s">
        <v>1061</v>
      </c>
      <c r="V636" s="10" t="s">
        <v>1067</v>
      </c>
      <c r="W636" s="10" t="s">
        <v>1141</v>
      </c>
      <c r="X636" s="10" t="s">
        <v>1068</v>
      </c>
      <c r="Y636" t="s">
        <v>140</v>
      </c>
      <c r="Z636" t="s">
        <v>40</v>
      </c>
      <c r="AA636" t="s">
        <v>63</v>
      </c>
    </row>
    <row r="637" spans="1:28" x14ac:dyDescent="0.8">
      <c r="A637">
        <v>229</v>
      </c>
      <c r="B637">
        <v>1129</v>
      </c>
      <c r="C637" s="2">
        <v>44384</v>
      </c>
      <c r="D637" t="s">
        <v>151</v>
      </c>
      <c r="E637" t="s">
        <v>25</v>
      </c>
      <c r="F637" t="s">
        <v>26</v>
      </c>
      <c r="G637" t="s">
        <v>45</v>
      </c>
      <c r="H637" t="s">
        <v>68</v>
      </c>
      <c r="I637" t="s">
        <v>69</v>
      </c>
      <c r="J637" t="s">
        <v>70</v>
      </c>
      <c r="K637" t="s">
        <v>71</v>
      </c>
      <c r="L637" t="s">
        <v>72</v>
      </c>
      <c r="M637" t="s">
        <v>73</v>
      </c>
      <c r="N637" t="s">
        <v>61</v>
      </c>
      <c r="O637" t="s">
        <v>144</v>
      </c>
      <c r="P637" t="s">
        <v>34</v>
      </c>
      <c r="Q637" t="s">
        <v>145</v>
      </c>
      <c r="R637" t="s">
        <v>146</v>
      </c>
      <c r="S637" t="s">
        <v>147</v>
      </c>
      <c r="T637" t="s">
        <v>148</v>
      </c>
      <c r="U637" s="10" t="s">
        <v>1061</v>
      </c>
      <c r="V637" s="10" t="s">
        <v>1067</v>
      </c>
      <c r="W637" s="10" t="s">
        <v>1141</v>
      </c>
      <c r="X637" s="10" t="s">
        <v>1068</v>
      </c>
      <c r="Y637" t="s">
        <v>39</v>
      </c>
      <c r="Z637" t="s">
        <v>40</v>
      </c>
      <c r="AA637" t="s">
        <v>53</v>
      </c>
    </row>
    <row r="638" spans="1:28" x14ac:dyDescent="0.8">
      <c r="A638">
        <v>1718</v>
      </c>
      <c r="B638">
        <v>805</v>
      </c>
      <c r="C638" s="2">
        <v>44384</v>
      </c>
      <c r="D638" t="s">
        <v>151</v>
      </c>
      <c r="E638" t="s">
        <v>150</v>
      </c>
      <c r="F638" t="s">
        <v>26</v>
      </c>
      <c r="G638" t="s">
        <v>45</v>
      </c>
      <c r="H638" t="s">
        <v>155</v>
      </c>
      <c r="I638" t="s">
        <v>69</v>
      </c>
      <c r="J638" t="s">
        <v>156</v>
      </c>
      <c r="K638" t="s">
        <v>157</v>
      </c>
      <c r="L638" t="s">
        <v>158</v>
      </c>
      <c r="M638" t="s">
        <v>159</v>
      </c>
      <c r="N638" t="s">
        <v>61</v>
      </c>
      <c r="O638" t="s">
        <v>144</v>
      </c>
      <c r="P638" t="s">
        <v>34</v>
      </c>
      <c r="Q638" t="s">
        <v>145</v>
      </c>
      <c r="R638" t="s">
        <v>146</v>
      </c>
      <c r="S638" t="s">
        <v>147</v>
      </c>
      <c r="T638" t="s">
        <v>148</v>
      </c>
      <c r="U638" s="10" t="s">
        <v>1061</v>
      </c>
      <c r="V638" s="10" t="s">
        <v>1067</v>
      </c>
      <c r="W638" s="10" t="s">
        <v>1141</v>
      </c>
      <c r="X638" s="10" t="s">
        <v>1068</v>
      </c>
      <c r="Y638" t="s">
        <v>39</v>
      </c>
      <c r="Z638" t="s">
        <v>40</v>
      </c>
      <c r="AA638" t="s">
        <v>41</v>
      </c>
      <c r="AB638" t="s">
        <v>160</v>
      </c>
    </row>
    <row r="639" spans="1:28" x14ac:dyDescent="0.8">
      <c r="A639">
        <v>1414</v>
      </c>
      <c r="B639">
        <v>2161</v>
      </c>
      <c r="C639" s="2">
        <v>44387</v>
      </c>
      <c r="D639" t="s">
        <v>173</v>
      </c>
      <c r="E639" t="s">
        <v>63</v>
      </c>
      <c r="F639" t="s">
        <v>26</v>
      </c>
      <c r="G639" t="s">
        <v>45</v>
      </c>
      <c r="H639" t="s">
        <v>68</v>
      </c>
      <c r="I639" t="s">
        <v>69</v>
      </c>
      <c r="J639" t="s">
        <v>70</v>
      </c>
      <c r="K639" t="s">
        <v>71</v>
      </c>
      <c r="L639" t="s">
        <v>72</v>
      </c>
      <c r="M639" t="s">
        <v>73</v>
      </c>
      <c r="N639" t="s">
        <v>61</v>
      </c>
      <c r="O639" t="s">
        <v>946</v>
      </c>
      <c r="P639" t="s">
        <v>34</v>
      </c>
      <c r="Q639" t="s">
        <v>947</v>
      </c>
      <c r="R639" t="s">
        <v>946</v>
      </c>
      <c r="S639" t="s">
        <v>948</v>
      </c>
      <c r="T639" t="s">
        <v>949</v>
      </c>
      <c r="U639" s="10" t="s">
        <v>1061</v>
      </c>
      <c r="V639" s="10" t="s">
        <v>1111</v>
      </c>
      <c r="W639" s="10" t="s">
        <v>1141</v>
      </c>
      <c r="X639" s="10" t="s">
        <v>1063</v>
      </c>
      <c r="Y639" t="s">
        <v>39</v>
      </c>
      <c r="Z639" t="s">
        <v>40</v>
      </c>
      <c r="AA639" t="s">
        <v>63</v>
      </c>
    </row>
    <row r="640" spans="1:28" x14ac:dyDescent="0.8">
      <c r="A640">
        <v>1413</v>
      </c>
      <c r="B640">
        <v>2160</v>
      </c>
      <c r="C640" s="2">
        <v>44387</v>
      </c>
      <c r="D640" t="s">
        <v>173</v>
      </c>
      <c r="E640" t="s">
        <v>150</v>
      </c>
      <c r="F640" t="s">
        <v>26</v>
      </c>
      <c r="G640" t="s">
        <v>45</v>
      </c>
      <c r="H640" t="s">
        <v>68</v>
      </c>
      <c r="I640" t="s">
        <v>69</v>
      </c>
      <c r="J640" t="s">
        <v>70</v>
      </c>
      <c r="K640" t="s">
        <v>71</v>
      </c>
      <c r="L640" t="s">
        <v>72</v>
      </c>
      <c r="M640" t="s">
        <v>73</v>
      </c>
      <c r="N640" t="s">
        <v>61</v>
      </c>
      <c r="O640" t="s">
        <v>946</v>
      </c>
      <c r="P640" t="s">
        <v>34</v>
      </c>
      <c r="Q640" t="s">
        <v>947</v>
      </c>
      <c r="R640" t="s">
        <v>946</v>
      </c>
      <c r="S640" t="s">
        <v>948</v>
      </c>
      <c r="T640" t="s">
        <v>949</v>
      </c>
      <c r="U640" s="10" t="s">
        <v>1061</v>
      </c>
      <c r="V640" s="10" t="s">
        <v>1111</v>
      </c>
      <c r="W640" s="10" t="s">
        <v>1141</v>
      </c>
      <c r="X640" s="10" t="s">
        <v>1063</v>
      </c>
      <c r="Y640" t="s">
        <v>39</v>
      </c>
      <c r="Z640" t="s">
        <v>40</v>
      </c>
      <c r="AA640" t="s">
        <v>63</v>
      </c>
    </row>
    <row r="641" spans="1:27" x14ac:dyDescent="0.8">
      <c r="A641">
        <v>1409</v>
      </c>
      <c r="B641">
        <v>2156</v>
      </c>
      <c r="C641" s="2">
        <v>44387</v>
      </c>
      <c r="D641" t="s">
        <v>173</v>
      </c>
      <c r="E641" t="s">
        <v>150</v>
      </c>
      <c r="F641" t="s">
        <v>26</v>
      </c>
      <c r="G641" t="s">
        <v>45</v>
      </c>
      <c r="H641" t="s">
        <v>68</v>
      </c>
      <c r="I641" t="s">
        <v>69</v>
      </c>
      <c r="J641" t="s">
        <v>70</v>
      </c>
      <c r="K641" t="s">
        <v>71</v>
      </c>
      <c r="L641" t="s">
        <v>72</v>
      </c>
      <c r="M641" t="s">
        <v>73</v>
      </c>
      <c r="N641" t="s">
        <v>61</v>
      </c>
      <c r="O641" t="s">
        <v>946</v>
      </c>
      <c r="P641" t="s">
        <v>34</v>
      </c>
      <c r="Q641" t="s">
        <v>947</v>
      </c>
      <c r="R641" t="s">
        <v>946</v>
      </c>
      <c r="S641" t="s">
        <v>948</v>
      </c>
      <c r="T641" t="s">
        <v>949</v>
      </c>
      <c r="U641" s="10" t="s">
        <v>1061</v>
      </c>
      <c r="V641" s="10" t="s">
        <v>1111</v>
      </c>
      <c r="W641" s="10" t="s">
        <v>1141</v>
      </c>
      <c r="X641" s="10" t="s">
        <v>1063</v>
      </c>
      <c r="Y641" t="s">
        <v>39</v>
      </c>
      <c r="Z641" t="s">
        <v>40</v>
      </c>
      <c r="AA641" t="s">
        <v>63</v>
      </c>
    </row>
    <row r="642" spans="1:27" x14ac:dyDescent="0.8">
      <c r="A642">
        <v>1402</v>
      </c>
      <c r="B642">
        <v>2149</v>
      </c>
      <c r="C642" s="2">
        <v>44387</v>
      </c>
      <c r="D642" t="s">
        <v>173</v>
      </c>
      <c r="E642" t="s">
        <v>63</v>
      </c>
      <c r="F642" t="s">
        <v>26</v>
      </c>
      <c r="G642" t="s">
        <v>45</v>
      </c>
      <c r="H642" t="s">
        <v>155</v>
      </c>
      <c r="I642" t="s">
        <v>69</v>
      </c>
      <c r="J642" t="s">
        <v>156</v>
      </c>
      <c r="K642" t="s">
        <v>157</v>
      </c>
      <c r="L642" t="s">
        <v>158</v>
      </c>
      <c r="M642" t="s">
        <v>159</v>
      </c>
      <c r="N642" t="s">
        <v>61</v>
      </c>
      <c r="O642" t="s">
        <v>946</v>
      </c>
      <c r="P642" t="s">
        <v>34</v>
      </c>
      <c r="Q642" t="s">
        <v>947</v>
      </c>
      <c r="R642" t="s">
        <v>946</v>
      </c>
      <c r="S642" t="s">
        <v>948</v>
      </c>
      <c r="T642" t="s">
        <v>949</v>
      </c>
      <c r="U642" s="10" t="s">
        <v>1061</v>
      </c>
      <c r="V642" s="10" t="s">
        <v>1111</v>
      </c>
      <c r="W642" s="10" t="s">
        <v>1141</v>
      </c>
      <c r="X642" s="10" t="s">
        <v>1063</v>
      </c>
      <c r="Y642" t="s">
        <v>140</v>
      </c>
      <c r="Z642" t="s">
        <v>40</v>
      </c>
      <c r="AA642" t="s">
        <v>63</v>
      </c>
    </row>
    <row r="643" spans="1:27" x14ac:dyDescent="0.8">
      <c r="A643">
        <v>843</v>
      </c>
      <c r="B643">
        <v>81</v>
      </c>
      <c r="C643" s="2">
        <v>44387</v>
      </c>
      <c r="D643" t="s">
        <v>149</v>
      </c>
      <c r="E643" t="s">
        <v>150</v>
      </c>
      <c r="F643" t="s">
        <v>26</v>
      </c>
      <c r="G643" t="s">
        <v>45</v>
      </c>
      <c r="H643" t="s">
        <v>155</v>
      </c>
      <c r="I643" t="s">
        <v>69</v>
      </c>
      <c r="J643" t="s">
        <v>156</v>
      </c>
      <c r="K643" t="s">
        <v>157</v>
      </c>
      <c r="L643" t="s">
        <v>158</v>
      </c>
      <c r="M643" t="s">
        <v>159</v>
      </c>
      <c r="N643" t="s">
        <v>52</v>
      </c>
      <c r="O643" t="s">
        <v>950</v>
      </c>
      <c r="P643" t="s">
        <v>34</v>
      </c>
      <c r="Q643" t="s">
        <v>721</v>
      </c>
      <c r="R643" t="s">
        <v>946</v>
      </c>
      <c r="S643" t="s">
        <v>948</v>
      </c>
      <c r="T643" t="s">
        <v>949</v>
      </c>
      <c r="U643" s="10" t="s">
        <v>1061</v>
      </c>
      <c r="V643" s="10" t="s">
        <v>1111</v>
      </c>
      <c r="W643" s="10" t="s">
        <v>1141</v>
      </c>
      <c r="X643" s="10" t="s">
        <v>1063</v>
      </c>
      <c r="Y643" t="s">
        <v>39</v>
      </c>
      <c r="Z643" t="s">
        <v>40</v>
      </c>
      <c r="AA643" t="s">
        <v>63</v>
      </c>
    </row>
    <row r="644" spans="1:27" x14ac:dyDescent="0.8">
      <c r="A644">
        <v>783</v>
      </c>
      <c r="B644">
        <v>1312</v>
      </c>
      <c r="C644" s="2">
        <v>44387</v>
      </c>
      <c r="D644" t="s">
        <v>149</v>
      </c>
      <c r="E644" t="s">
        <v>103</v>
      </c>
      <c r="F644" t="s">
        <v>26</v>
      </c>
      <c r="G644" t="s">
        <v>45</v>
      </c>
      <c r="H644" t="s">
        <v>155</v>
      </c>
      <c r="I644" t="s">
        <v>69</v>
      </c>
      <c r="J644" t="s">
        <v>156</v>
      </c>
      <c r="K644" t="s">
        <v>157</v>
      </c>
      <c r="L644" t="s">
        <v>158</v>
      </c>
      <c r="M644" t="s">
        <v>159</v>
      </c>
      <c r="N644" t="s">
        <v>52</v>
      </c>
      <c r="O644" t="s">
        <v>951</v>
      </c>
      <c r="P644" t="s">
        <v>34</v>
      </c>
      <c r="Q644" t="s">
        <v>721</v>
      </c>
      <c r="R644" t="s">
        <v>946</v>
      </c>
      <c r="S644" t="s">
        <v>948</v>
      </c>
      <c r="T644" t="s">
        <v>949</v>
      </c>
      <c r="U644" s="10" t="s">
        <v>1061</v>
      </c>
      <c r="V644" s="10" t="s">
        <v>1111</v>
      </c>
      <c r="W644" s="10" t="s">
        <v>1141</v>
      </c>
      <c r="X644" s="10" t="s">
        <v>1063</v>
      </c>
      <c r="Y644" t="s">
        <v>140</v>
      </c>
      <c r="Z644" t="s">
        <v>40</v>
      </c>
      <c r="AA644" t="s">
        <v>63</v>
      </c>
    </row>
    <row r="645" spans="1:27" x14ac:dyDescent="0.8">
      <c r="A645">
        <v>834</v>
      </c>
      <c r="B645">
        <v>1411</v>
      </c>
      <c r="C645" s="2">
        <v>44387</v>
      </c>
      <c r="D645" t="s">
        <v>149</v>
      </c>
      <c r="E645" t="s">
        <v>63</v>
      </c>
      <c r="F645" t="s">
        <v>26</v>
      </c>
      <c r="G645" t="s">
        <v>45</v>
      </c>
      <c r="H645" t="s">
        <v>155</v>
      </c>
      <c r="I645" t="s">
        <v>69</v>
      </c>
      <c r="J645" t="s">
        <v>156</v>
      </c>
      <c r="K645" t="s">
        <v>157</v>
      </c>
      <c r="L645" t="s">
        <v>158</v>
      </c>
      <c r="M645" t="s">
        <v>159</v>
      </c>
      <c r="N645" t="s">
        <v>52</v>
      </c>
      <c r="O645" t="s">
        <v>952</v>
      </c>
      <c r="P645" t="s">
        <v>34</v>
      </c>
      <c r="Q645" t="s">
        <v>721</v>
      </c>
      <c r="R645" t="s">
        <v>953</v>
      </c>
      <c r="S645" t="s">
        <v>948</v>
      </c>
      <c r="T645" t="s">
        <v>954</v>
      </c>
      <c r="U645" s="10" t="s">
        <v>1061</v>
      </c>
      <c r="V645" s="10" t="s">
        <v>1111</v>
      </c>
      <c r="W645" s="10" t="s">
        <v>1141</v>
      </c>
      <c r="X645" s="10" t="s">
        <v>1063</v>
      </c>
      <c r="Y645" t="s">
        <v>39</v>
      </c>
      <c r="Z645" t="s">
        <v>40</v>
      </c>
      <c r="AA645" t="s">
        <v>63</v>
      </c>
    </row>
    <row r="646" spans="1:27" x14ac:dyDescent="0.8">
      <c r="A646">
        <v>191</v>
      </c>
      <c r="B646">
        <v>1347</v>
      </c>
      <c r="C646" s="2">
        <v>44388</v>
      </c>
      <c r="D646" t="s">
        <v>124</v>
      </c>
      <c r="E646" t="s">
        <v>53</v>
      </c>
      <c r="F646" t="s">
        <v>26</v>
      </c>
      <c r="G646" t="s">
        <v>45</v>
      </c>
      <c r="H646" t="s">
        <v>55</v>
      </c>
      <c r="I646" t="s">
        <v>249</v>
      </c>
      <c r="J646" t="s">
        <v>250</v>
      </c>
      <c r="K646" t="s">
        <v>251</v>
      </c>
      <c r="L646" t="s">
        <v>323</v>
      </c>
      <c r="M646" t="s">
        <v>324</v>
      </c>
      <c r="N646" t="s">
        <v>52</v>
      </c>
      <c r="O646" t="s">
        <v>952</v>
      </c>
      <c r="P646" t="s">
        <v>34</v>
      </c>
      <c r="Q646" t="s">
        <v>721</v>
      </c>
      <c r="R646" t="s">
        <v>953</v>
      </c>
      <c r="S646" t="s">
        <v>948</v>
      </c>
      <c r="T646" t="s">
        <v>954</v>
      </c>
      <c r="U646" s="10" t="s">
        <v>1061</v>
      </c>
      <c r="V646" s="10" t="s">
        <v>1111</v>
      </c>
      <c r="W646" s="10" t="s">
        <v>1141</v>
      </c>
      <c r="X646" s="10" t="s">
        <v>1063</v>
      </c>
      <c r="Y646" t="s">
        <v>140</v>
      </c>
      <c r="Z646" t="s">
        <v>40</v>
      </c>
      <c r="AA646" t="s">
        <v>53</v>
      </c>
    </row>
    <row r="647" spans="1:27" x14ac:dyDescent="0.8">
      <c r="A647">
        <v>17</v>
      </c>
      <c r="B647">
        <v>18</v>
      </c>
      <c r="C647" s="2">
        <v>44384</v>
      </c>
      <c r="D647" t="s">
        <v>24</v>
      </c>
      <c r="E647" t="s">
        <v>63</v>
      </c>
      <c r="F647" t="s">
        <v>26</v>
      </c>
      <c r="G647" t="s">
        <v>45</v>
      </c>
      <c r="H647" t="s">
        <v>155</v>
      </c>
      <c r="I647" t="s">
        <v>69</v>
      </c>
      <c r="J647" t="s">
        <v>156</v>
      </c>
      <c r="K647" t="s">
        <v>157</v>
      </c>
      <c r="L647" t="s">
        <v>451</v>
      </c>
      <c r="M647" t="s">
        <v>452</v>
      </c>
      <c r="N647" t="s">
        <v>52</v>
      </c>
      <c r="O647" t="s">
        <v>453</v>
      </c>
      <c r="P647" t="s">
        <v>34</v>
      </c>
      <c r="Q647" t="s">
        <v>35</v>
      </c>
      <c r="R647" t="s">
        <v>454</v>
      </c>
      <c r="S647" t="s">
        <v>455</v>
      </c>
      <c r="T647" t="s">
        <v>456</v>
      </c>
      <c r="U647" s="10" t="s">
        <v>1061</v>
      </c>
      <c r="V647" s="10" t="s">
        <v>1084</v>
      </c>
      <c r="W647" s="10" t="s">
        <v>1141</v>
      </c>
      <c r="X647" s="10" t="s">
        <v>1059</v>
      </c>
      <c r="Y647" t="s">
        <v>140</v>
      </c>
      <c r="Z647" t="s">
        <v>40</v>
      </c>
      <c r="AA647" t="s">
        <v>234</v>
      </c>
    </row>
    <row r="648" spans="1:27" x14ac:dyDescent="0.8">
      <c r="A648">
        <v>220</v>
      </c>
      <c r="B648">
        <v>1046</v>
      </c>
      <c r="C648" s="2">
        <v>44388</v>
      </c>
      <c r="D648" t="s">
        <v>328</v>
      </c>
      <c r="E648" t="s">
        <v>63</v>
      </c>
      <c r="F648" t="s">
        <v>26</v>
      </c>
      <c r="G648" t="s">
        <v>27</v>
      </c>
      <c r="H648" t="s">
        <v>114</v>
      </c>
      <c r="I648" t="s">
        <v>115</v>
      </c>
      <c r="J648" t="s">
        <v>116</v>
      </c>
      <c r="K648" t="s">
        <v>117</v>
      </c>
      <c r="L648" t="s">
        <v>195</v>
      </c>
      <c r="M648" t="s">
        <v>196</v>
      </c>
      <c r="O648" t="s">
        <v>453</v>
      </c>
      <c r="P648" t="s">
        <v>34</v>
      </c>
      <c r="Q648" t="s">
        <v>35</v>
      </c>
      <c r="R648" t="s">
        <v>454</v>
      </c>
      <c r="S648" t="s">
        <v>455</v>
      </c>
      <c r="T648" t="s">
        <v>456</v>
      </c>
      <c r="U648" s="10" t="s">
        <v>1061</v>
      </c>
      <c r="V648" s="10" t="s">
        <v>1084</v>
      </c>
      <c r="W648" s="10" t="s">
        <v>1141</v>
      </c>
      <c r="X648" s="10" t="s">
        <v>1059</v>
      </c>
      <c r="Y648" t="s">
        <v>39</v>
      </c>
      <c r="Z648" t="s">
        <v>40</v>
      </c>
      <c r="AA648" t="s">
        <v>53</v>
      </c>
    </row>
    <row r="649" spans="1:27" x14ac:dyDescent="0.8">
      <c r="A649">
        <v>573</v>
      </c>
      <c r="B649">
        <v>204</v>
      </c>
      <c r="C649" s="2">
        <v>44388</v>
      </c>
      <c r="D649" t="s">
        <v>328</v>
      </c>
      <c r="E649" t="s">
        <v>25</v>
      </c>
      <c r="F649" t="s">
        <v>26</v>
      </c>
      <c r="G649" t="s">
        <v>45</v>
      </c>
      <c r="H649" t="s">
        <v>55</v>
      </c>
      <c r="I649" t="s">
        <v>69</v>
      </c>
      <c r="J649" t="s">
        <v>295</v>
      </c>
      <c r="K649" t="s">
        <v>296</v>
      </c>
      <c r="L649" t="s">
        <v>112</v>
      </c>
      <c r="M649" t="s">
        <v>457</v>
      </c>
      <c r="N649" t="s">
        <v>52</v>
      </c>
      <c r="O649" t="s">
        <v>453</v>
      </c>
      <c r="P649" t="s">
        <v>34</v>
      </c>
      <c r="Q649" t="s">
        <v>35</v>
      </c>
      <c r="R649" t="s">
        <v>454</v>
      </c>
      <c r="S649" t="s">
        <v>455</v>
      </c>
      <c r="T649" t="s">
        <v>456</v>
      </c>
      <c r="U649" s="10" t="s">
        <v>1061</v>
      </c>
      <c r="V649" s="10" t="s">
        <v>1084</v>
      </c>
      <c r="W649" s="10" t="s">
        <v>1141</v>
      </c>
      <c r="X649" s="10" t="s">
        <v>1059</v>
      </c>
      <c r="Y649" t="s">
        <v>39</v>
      </c>
      <c r="Z649" t="s">
        <v>40</v>
      </c>
      <c r="AA649" t="s">
        <v>63</v>
      </c>
    </row>
    <row r="650" spans="1:27" x14ac:dyDescent="0.8">
      <c r="A650">
        <v>1710</v>
      </c>
      <c r="B650">
        <v>561</v>
      </c>
      <c r="C650" s="2">
        <v>44388</v>
      </c>
      <c r="D650" t="s">
        <v>328</v>
      </c>
      <c r="E650" t="s">
        <v>53</v>
      </c>
      <c r="F650" t="s">
        <v>26</v>
      </c>
      <c r="G650" t="s">
        <v>45</v>
      </c>
      <c r="H650" t="s">
        <v>55</v>
      </c>
      <c r="I650" t="s">
        <v>69</v>
      </c>
      <c r="J650" t="s">
        <v>295</v>
      </c>
      <c r="K650" t="s">
        <v>296</v>
      </c>
      <c r="L650" t="s">
        <v>65</v>
      </c>
      <c r="M650" t="s">
        <v>297</v>
      </c>
      <c r="N650" t="s">
        <v>61</v>
      </c>
      <c r="O650" t="s">
        <v>453</v>
      </c>
      <c r="P650" t="s">
        <v>34</v>
      </c>
      <c r="Q650" t="s">
        <v>35</v>
      </c>
      <c r="R650" t="s">
        <v>454</v>
      </c>
      <c r="S650" t="s">
        <v>455</v>
      </c>
      <c r="T650" t="s">
        <v>456</v>
      </c>
      <c r="U650" s="10" t="s">
        <v>1061</v>
      </c>
      <c r="V650" s="10" t="s">
        <v>1084</v>
      </c>
      <c r="W650" s="10" t="s">
        <v>1141</v>
      </c>
      <c r="X650" s="10" t="s">
        <v>1059</v>
      </c>
      <c r="Y650" t="s">
        <v>39</v>
      </c>
      <c r="Z650" t="s">
        <v>40</v>
      </c>
      <c r="AA650" t="s">
        <v>41</v>
      </c>
    </row>
    <row r="651" spans="1:27" x14ac:dyDescent="0.8">
      <c r="A651">
        <v>1706</v>
      </c>
      <c r="B651">
        <v>556</v>
      </c>
      <c r="C651" s="2">
        <v>44388</v>
      </c>
      <c r="D651" t="s">
        <v>328</v>
      </c>
      <c r="E651" t="s">
        <v>25</v>
      </c>
      <c r="F651" t="s">
        <v>26</v>
      </c>
      <c r="G651" t="s">
        <v>45</v>
      </c>
      <c r="H651" t="s">
        <v>55</v>
      </c>
      <c r="I651" t="s">
        <v>69</v>
      </c>
      <c r="J651" t="s">
        <v>295</v>
      </c>
      <c r="K651" t="s">
        <v>296</v>
      </c>
      <c r="L651" t="s">
        <v>65</v>
      </c>
      <c r="M651" t="s">
        <v>297</v>
      </c>
      <c r="N651" t="s">
        <v>61</v>
      </c>
      <c r="O651" t="s">
        <v>453</v>
      </c>
      <c r="P651" t="s">
        <v>34</v>
      </c>
      <c r="Q651" t="s">
        <v>35</v>
      </c>
      <c r="R651" t="s">
        <v>454</v>
      </c>
      <c r="S651" t="s">
        <v>455</v>
      </c>
      <c r="T651" t="s">
        <v>456</v>
      </c>
      <c r="U651" s="10" t="s">
        <v>1061</v>
      </c>
      <c r="V651" s="10" t="s">
        <v>1084</v>
      </c>
      <c r="W651" s="10" t="s">
        <v>1141</v>
      </c>
      <c r="X651" s="10" t="s">
        <v>1059</v>
      </c>
      <c r="Y651" t="s">
        <v>39</v>
      </c>
      <c r="Z651" t="s">
        <v>40</v>
      </c>
      <c r="AA651" t="s">
        <v>41</v>
      </c>
    </row>
    <row r="652" spans="1:27" x14ac:dyDescent="0.8">
      <c r="A652">
        <v>574</v>
      </c>
      <c r="B652">
        <v>205</v>
      </c>
      <c r="C652" s="2">
        <v>44388</v>
      </c>
      <c r="D652" t="s">
        <v>328</v>
      </c>
      <c r="E652" t="s">
        <v>25</v>
      </c>
      <c r="F652" t="s">
        <v>26</v>
      </c>
      <c r="G652" t="s">
        <v>45</v>
      </c>
      <c r="H652" t="s">
        <v>55</v>
      </c>
      <c r="I652" t="s">
        <v>69</v>
      </c>
      <c r="J652" t="s">
        <v>295</v>
      </c>
      <c r="K652" t="s">
        <v>296</v>
      </c>
      <c r="L652" t="s">
        <v>65</v>
      </c>
      <c r="M652" t="s">
        <v>297</v>
      </c>
      <c r="N652" t="s">
        <v>61</v>
      </c>
      <c r="O652" t="s">
        <v>453</v>
      </c>
      <c r="P652" t="s">
        <v>34</v>
      </c>
      <c r="Q652" t="s">
        <v>35</v>
      </c>
      <c r="R652" t="s">
        <v>454</v>
      </c>
      <c r="S652" t="s">
        <v>455</v>
      </c>
      <c r="T652" t="s">
        <v>456</v>
      </c>
      <c r="U652" s="10" t="s">
        <v>1061</v>
      </c>
      <c r="V652" s="10" t="s">
        <v>1084</v>
      </c>
      <c r="W652" s="10" t="s">
        <v>1141</v>
      </c>
      <c r="X652" s="10" t="s">
        <v>1059</v>
      </c>
      <c r="Y652" t="s">
        <v>39</v>
      </c>
      <c r="Z652" t="s">
        <v>40</v>
      </c>
      <c r="AA652" t="s">
        <v>63</v>
      </c>
    </row>
    <row r="653" spans="1:27" x14ac:dyDescent="0.8">
      <c r="A653">
        <v>570</v>
      </c>
      <c r="B653">
        <v>201</v>
      </c>
      <c r="C653" s="2">
        <v>44388</v>
      </c>
      <c r="D653" t="s">
        <v>328</v>
      </c>
      <c r="E653" t="s">
        <v>53</v>
      </c>
      <c r="F653" t="s">
        <v>26</v>
      </c>
      <c r="G653" t="s">
        <v>45</v>
      </c>
      <c r="H653" t="s">
        <v>46</v>
      </c>
      <c r="I653" t="s">
        <v>47</v>
      </c>
      <c r="J653" t="s">
        <v>48</v>
      </c>
      <c r="K653" t="s">
        <v>105</v>
      </c>
      <c r="L653" t="s">
        <v>106</v>
      </c>
      <c r="M653" t="s">
        <v>107</v>
      </c>
      <c r="O653" t="s">
        <v>453</v>
      </c>
      <c r="P653" t="s">
        <v>34</v>
      </c>
      <c r="Q653" t="s">
        <v>35</v>
      </c>
      <c r="R653" t="s">
        <v>454</v>
      </c>
      <c r="S653" t="s">
        <v>455</v>
      </c>
      <c r="T653" t="s">
        <v>456</v>
      </c>
      <c r="U653" s="10" t="s">
        <v>1061</v>
      </c>
      <c r="V653" s="10" t="s">
        <v>1084</v>
      </c>
      <c r="W653" s="10" t="s">
        <v>1141</v>
      </c>
      <c r="X653" s="10" t="s">
        <v>1059</v>
      </c>
      <c r="Y653" t="s">
        <v>140</v>
      </c>
      <c r="Z653" t="s">
        <v>40</v>
      </c>
      <c r="AA653" t="s">
        <v>63</v>
      </c>
    </row>
    <row r="654" spans="1:27" x14ac:dyDescent="0.8">
      <c r="A654">
        <v>845</v>
      </c>
      <c r="B654">
        <v>83</v>
      </c>
      <c r="C654" s="2">
        <v>44388</v>
      </c>
      <c r="D654" t="s">
        <v>189</v>
      </c>
      <c r="E654" t="s">
        <v>25</v>
      </c>
      <c r="F654" t="s">
        <v>26</v>
      </c>
      <c r="G654" t="s">
        <v>45</v>
      </c>
      <c r="H654" t="s">
        <v>155</v>
      </c>
      <c r="I654" t="s">
        <v>69</v>
      </c>
      <c r="J654" t="s">
        <v>156</v>
      </c>
      <c r="K654" t="s">
        <v>157</v>
      </c>
      <c r="L654" t="s">
        <v>158</v>
      </c>
      <c r="M654" t="s">
        <v>159</v>
      </c>
      <c r="N654" t="s">
        <v>52</v>
      </c>
      <c r="O654" t="s">
        <v>453</v>
      </c>
      <c r="P654" t="s">
        <v>34</v>
      </c>
      <c r="Q654" t="s">
        <v>35</v>
      </c>
      <c r="R654" t="s">
        <v>454</v>
      </c>
      <c r="S654" t="s">
        <v>455</v>
      </c>
      <c r="T654" t="s">
        <v>456</v>
      </c>
      <c r="U654" s="10" t="s">
        <v>1061</v>
      </c>
      <c r="V654" s="10" t="s">
        <v>1084</v>
      </c>
      <c r="W654" s="10" t="s">
        <v>1141</v>
      </c>
      <c r="X654" s="10" t="s">
        <v>1059</v>
      </c>
      <c r="Y654" t="s">
        <v>140</v>
      </c>
      <c r="Z654" t="s">
        <v>40</v>
      </c>
      <c r="AA654" t="s">
        <v>63</v>
      </c>
    </row>
    <row r="655" spans="1:27" x14ac:dyDescent="0.8">
      <c r="A655">
        <v>508</v>
      </c>
      <c r="B655">
        <v>48</v>
      </c>
      <c r="C655" s="2">
        <v>44386</v>
      </c>
      <c r="D655" t="s">
        <v>93</v>
      </c>
      <c r="E655" t="s">
        <v>63</v>
      </c>
      <c r="F655" t="s">
        <v>26</v>
      </c>
      <c r="G655" t="s">
        <v>45</v>
      </c>
      <c r="H655" t="s">
        <v>55</v>
      </c>
      <c r="I655" t="s">
        <v>69</v>
      </c>
      <c r="J655" t="s">
        <v>295</v>
      </c>
      <c r="K655" t="s">
        <v>296</v>
      </c>
      <c r="L655" t="s">
        <v>65</v>
      </c>
      <c r="M655" t="s">
        <v>297</v>
      </c>
      <c r="N655" t="s">
        <v>61</v>
      </c>
      <c r="O655" t="s">
        <v>453</v>
      </c>
      <c r="P655" t="s">
        <v>34</v>
      </c>
      <c r="Q655" t="s">
        <v>35</v>
      </c>
      <c r="R655" t="s">
        <v>454</v>
      </c>
      <c r="S655" t="s">
        <v>455</v>
      </c>
      <c r="T655" t="s">
        <v>456</v>
      </c>
      <c r="U655" s="10" t="s">
        <v>1061</v>
      </c>
      <c r="V655" s="10" t="s">
        <v>1084</v>
      </c>
      <c r="W655" s="10" t="s">
        <v>1141</v>
      </c>
      <c r="X655" s="10" t="s">
        <v>1059</v>
      </c>
      <c r="Y655" t="s">
        <v>39</v>
      </c>
      <c r="Z655" t="s">
        <v>40</v>
      </c>
      <c r="AA655" t="s">
        <v>63</v>
      </c>
    </row>
    <row r="656" spans="1:27" x14ac:dyDescent="0.8">
      <c r="A656">
        <v>136</v>
      </c>
      <c r="B656">
        <v>1012</v>
      </c>
      <c r="C656" s="2">
        <v>44386</v>
      </c>
      <c r="D656" t="s">
        <v>93</v>
      </c>
      <c r="E656" t="s">
        <v>53</v>
      </c>
      <c r="F656" t="s">
        <v>26</v>
      </c>
      <c r="G656" t="s">
        <v>45</v>
      </c>
      <c r="H656" t="s">
        <v>55</v>
      </c>
      <c r="I656" t="s">
        <v>69</v>
      </c>
      <c r="J656" t="s">
        <v>295</v>
      </c>
      <c r="K656" t="s">
        <v>296</v>
      </c>
      <c r="L656" t="s">
        <v>65</v>
      </c>
      <c r="M656" t="s">
        <v>297</v>
      </c>
      <c r="N656" t="s">
        <v>61</v>
      </c>
      <c r="O656" t="s">
        <v>453</v>
      </c>
      <c r="P656" t="s">
        <v>34</v>
      </c>
      <c r="Q656" t="s">
        <v>35</v>
      </c>
      <c r="R656" t="s">
        <v>454</v>
      </c>
      <c r="S656" t="s">
        <v>455</v>
      </c>
      <c r="T656" t="s">
        <v>456</v>
      </c>
      <c r="U656" s="10" t="s">
        <v>1061</v>
      </c>
      <c r="V656" s="10" t="s">
        <v>1084</v>
      </c>
      <c r="W656" s="10" t="s">
        <v>1141</v>
      </c>
      <c r="X656" s="10" t="s">
        <v>1059</v>
      </c>
      <c r="Y656" t="s">
        <v>39</v>
      </c>
      <c r="Z656" t="s">
        <v>40</v>
      </c>
      <c r="AA656" t="s">
        <v>53</v>
      </c>
    </row>
    <row r="657" spans="1:28" x14ac:dyDescent="0.8">
      <c r="A657">
        <v>1405</v>
      </c>
      <c r="B657">
        <v>2152</v>
      </c>
      <c r="C657" s="2">
        <v>44387</v>
      </c>
      <c r="D657" t="s">
        <v>173</v>
      </c>
      <c r="E657" t="s">
        <v>150</v>
      </c>
      <c r="F657" t="s">
        <v>26</v>
      </c>
      <c r="G657" t="s">
        <v>45</v>
      </c>
      <c r="H657" t="s">
        <v>55</v>
      </c>
      <c r="I657" t="s">
        <v>69</v>
      </c>
      <c r="J657" t="s">
        <v>295</v>
      </c>
      <c r="K657" t="s">
        <v>296</v>
      </c>
      <c r="L657" t="s">
        <v>65</v>
      </c>
      <c r="M657" t="s">
        <v>297</v>
      </c>
      <c r="N657" t="s">
        <v>61</v>
      </c>
      <c r="O657" t="s">
        <v>453</v>
      </c>
      <c r="P657" t="s">
        <v>34</v>
      </c>
      <c r="Q657" t="s">
        <v>35</v>
      </c>
      <c r="R657" t="s">
        <v>454</v>
      </c>
      <c r="S657" t="s">
        <v>455</v>
      </c>
      <c r="T657" t="s">
        <v>456</v>
      </c>
      <c r="U657" s="10" t="s">
        <v>1061</v>
      </c>
      <c r="V657" s="10" t="s">
        <v>1084</v>
      </c>
      <c r="W657" s="10" t="s">
        <v>1141</v>
      </c>
      <c r="X657" s="10" t="s">
        <v>1059</v>
      </c>
      <c r="Y657" t="s">
        <v>140</v>
      </c>
      <c r="Z657" t="s">
        <v>40</v>
      </c>
      <c r="AA657" t="s">
        <v>63</v>
      </c>
    </row>
    <row r="658" spans="1:28" x14ac:dyDescent="0.8">
      <c r="A658">
        <v>159</v>
      </c>
      <c r="B658">
        <v>1175</v>
      </c>
      <c r="C658" s="2">
        <v>44388</v>
      </c>
      <c r="D658" t="s">
        <v>235</v>
      </c>
      <c r="E658" t="s">
        <v>53</v>
      </c>
      <c r="F658" t="s">
        <v>26</v>
      </c>
      <c r="G658" t="s">
        <v>45</v>
      </c>
      <c r="H658" t="s">
        <v>55</v>
      </c>
      <c r="I658" t="s">
        <v>249</v>
      </c>
      <c r="J658" t="s">
        <v>250</v>
      </c>
      <c r="K658" t="s">
        <v>251</v>
      </c>
      <c r="L658" t="s">
        <v>59</v>
      </c>
      <c r="M658" t="s">
        <v>458</v>
      </c>
      <c r="N658" t="s">
        <v>52</v>
      </c>
      <c r="O658" t="s">
        <v>453</v>
      </c>
      <c r="P658" t="s">
        <v>34</v>
      </c>
      <c r="Q658" t="s">
        <v>35</v>
      </c>
      <c r="R658" t="s">
        <v>454</v>
      </c>
      <c r="S658" t="s">
        <v>455</v>
      </c>
      <c r="T658" t="s">
        <v>456</v>
      </c>
      <c r="U658" s="10" t="s">
        <v>1061</v>
      </c>
      <c r="V658" s="10" t="s">
        <v>1084</v>
      </c>
      <c r="W658" s="10" t="s">
        <v>1141</v>
      </c>
      <c r="X658" s="10" t="s">
        <v>1059</v>
      </c>
      <c r="Y658" t="s">
        <v>39</v>
      </c>
      <c r="Z658" t="s">
        <v>40</v>
      </c>
      <c r="AA658" t="s">
        <v>53</v>
      </c>
    </row>
    <row r="659" spans="1:28" x14ac:dyDescent="0.8">
      <c r="A659">
        <v>94</v>
      </c>
      <c r="B659">
        <v>101</v>
      </c>
      <c r="C659" s="2">
        <v>44386</v>
      </c>
      <c r="D659" t="s">
        <v>43</v>
      </c>
      <c r="E659" t="s">
        <v>63</v>
      </c>
      <c r="F659" t="s">
        <v>26</v>
      </c>
      <c r="G659" t="s">
        <v>45</v>
      </c>
      <c r="H659" t="s">
        <v>55</v>
      </c>
      <c r="I659" t="s">
        <v>69</v>
      </c>
      <c r="J659" t="s">
        <v>295</v>
      </c>
      <c r="K659" t="s">
        <v>296</v>
      </c>
      <c r="L659" t="s">
        <v>112</v>
      </c>
      <c r="M659" t="s">
        <v>457</v>
      </c>
      <c r="N659" t="s">
        <v>52</v>
      </c>
      <c r="O659" t="s">
        <v>453</v>
      </c>
      <c r="P659" t="s">
        <v>34</v>
      </c>
      <c r="Q659" t="s">
        <v>35</v>
      </c>
      <c r="R659" t="s">
        <v>454</v>
      </c>
      <c r="S659" t="s">
        <v>455</v>
      </c>
      <c r="T659" t="s">
        <v>456</v>
      </c>
      <c r="U659" s="10" t="s">
        <v>1061</v>
      </c>
      <c r="V659" s="10" t="s">
        <v>1084</v>
      </c>
      <c r="W659" s="10" t="s">
        <v>1141</v>
      </c>
      <c r="X659" s="10" t="s">
        <v>1059</v>
      </c>
      <c r="Y659" t="s">
        <v>39</v>
      </c>
      <c r="Z659" t="s">
        <v>40</v>
      </c>
      <c r="AA659" t="s">
        <v>44</v>
      </c>
      <c r="AB659" t="s">
        <v>459</v>
      </c>
    </row>
    <row r="660" spans="1:28" x14ac:dyDescent="0.8">
      <c r="A660">
        <v>264</v>
      </c>
      <c r="B660">
        <v>1470</v>
      </c>
      <c r="C660" s="2">
        <v>44386</v>
      </c>
      <c r="D660" t="s">
        <v>43</v>
      </c>
      <c r="E660" t="s">
        <v>25</v>
      </c>
      <c r="F660" t="s">
        <v>26</v>
      </c>
      <c r="G660" t="s">
        <v>45</v>
      </c>
      <c r="H660" t="s">
        <v>55</v>
      </c>
      <c r="I660" t="s">
        <v>69</v>
      </c>
      <c r="J660" t="s">
        <v>295</v>
      </c>
      <c r="K660" t="s">
        <v>296</v>
      </c>
      <c r="L660" t="s">
        <v>112</v>
      </c>
      <c r="M660" t="s">
        <v>457</v>
      </c>
      <c r="N660" t="s">
        <v>52</v>
      </c>
      <c r="O660" t="s">
        <v>453</v>
      </c>
      <c r="P660" t="s">
        <v>34</v>
      </c>
      <c r="Q660" t="s">
        <v>35</v>
      </c>
      <c r="R660" t="s">
        <v>454</v>
      </c>
      <c r="S660" t="s">
        <v>455</v>
      </c>
      <c r="T660" t="s">
        <v>456</v>
      </c>
      <c r="U660" s="10" t="s">
        <v>1061</v>
      </c>
      <c r="V660" s="10" t="s">
        <v>1084</v>
      </c>
      <c r="W660" s="10" t="s">
        <v>1141</v>
      </c>
      <c r="X660" s="10" t="s">
        <v>1059</v>
      </c>
      <c r="Y660" t="s">
        <v>39</v>
      </c>
      <c r="Z660" t="s">
        <v>40</v>
      </c>
      <c r="AA660" t="s">
        <v>53</v>
      </c>
    </row>
    <row r="661" spans="1:28" x14ac:dyDescent="0.8">
      <c r="A661">
        <v>284</v>
      </c>
      <c r="B661">
        <v>898</v>
      </c>
      <c r="C661" s="2">
        <v>44386</v>
      </c>
      <c r="D661" t="s">
        <v>43</v>
      </c>
      <c r="E661" t="s">
        <v>53</v>
      </c>
      <c r="F661" t="s">
        <v>26</v>
      </c>
      <c r="G661" t="s">
        <v>45</v>
      </c>
      <c r="H661" t="s">
        <v>46</v>
      </c>
      <c r="I661" t="s">
        <v>47</v>
      </c>
      <c r="J661" t="s">
        <v>48</v>
      </c>
      <c r="K661" t="s">
        <v>49</v>
      </c>
      <c r="L661" t="s">
        <v>50</v>
      </c>
      <c r="M661" t="s">
        <v>51</v>
      </c>
      <c r="N661" t="s">
        <v>52</v>
      </c>
      <c r="O661" t="s">
        <v>453</v>
      </c>
      <c r="P661" t="s">
        <v>34</v>
      </c>
      <c r="Q661" t="s">
        <v>35</v>
      </c>
      <c r="R661" t="s">
        <v>454</v>
      </c>
      <c r="S661" t="s">
        <v>455</v>
      </c>
      <c r="T661" t="s">
        <v>456</v>
      </c>
      <c r="U661" s="10" t="s">
        <v>1061</v>
      </c>
      <c r="V661" s="10" t="s">
        <v>1084</v>
      </c>
      <c r="W661" s="10" t="s">
        <v>1141</v>
      </c>
      <c r="X661" s="10" t="s">
        <v>1059</v>
      </c>
      <c r="Y661" t="s">
        <v>39</v>
      </c>
      <c r="Z661" t="s">
        <v>40</v>
      </c>
      <c r="AA661" t="s">
        <v>53</v>
      </c>
    </row>
    <row r="662" spans="1:28" x14ac:dyDescent="0.8">
      <c r="A662">
        <v>268</v>
      </c>
      <c r="B662">
        <v>40</v>
      </c>
      <c r="C662" s="2">
        <v>44386</v>
      </c>
      <c r="D662" t="s">
        <v>43</v>
      </c>
      <c r="E662" t="s">
        <v>25</v>
      </c>
      <c r="F662" t="s">
        <v>26</v>
      </c>
      <c r="G662" t="s">
        <v>45</v>
      </c>
      <c r="H662" t="s">
        <v>46</v>
      </c>
      <c r="I662" t="s">
        <v>47</v>
      </c>
      <c r="J662" t="s">
        <v>48</v>
      </c>
      <c r="K662" t="s">
        <v>49</v>
      </c>
      <c r="L662" t="s">
        <v>50</v>
      </c>
      <c r="M662" t="s">
        <v>51</v>
      </c>
      <c r="N662" t="s">
        <v>52</v>
      </c>
      <c r="O662" t="s">
        <v>453</v>
      </c>
      <c r="P662" t="s">
        <v>34</v>
      </c>
      <c r="Q662" t="s">
        <v>35</v>
      </c>
      <c r="R662" t="s">
        <v>454</v>
      </c>
      <c r="S662" t="s">
        <v>455</v>
      </c>
      <c r="T662" t="s">
        <v>456</v>
      </c>
      <c r="U662" s="10" t="s">
        <v>1061</v>
      </c>
      <c r="V662" s="10" t="s">
        <v>1084</v>
      </c>
      <c r="W662" s="10" t="s">
        <v>1141</v>
      </c>
      <c r="X662" s="10" t="s">
        <v>1059</v>
      </c>
      <c r="Y662" t="s">
        <v>39</v>
      </c>
      <c r="Z662" t="s">
        <v>40</v>
      </c>
      <c r="AA662" t="s">
        <v>53</v>
      </c>
    </row>
    <row r="663" spans="1:28" x14ac:dyDescent="0.8">
      <c r="A663">
        <v>95</v>
      </c>
      <c r="B663">
        <v>102</v>
      </c>
      <c r="C663" s="2">
        <v>44386</v>
      </c>
      <c r="D663" t="s">
        <v>43</v>
      </c>
      <c r="E663" t="s">
        <v>63</v>
      </c>
      <c r="F663" t="s">
        <v>26</v>
      </c>
      <c r="G663" t="s">
        <v>45</v>
      </c>
      <c r="H663" t="s">
        <v>46</v>
      </c>
      <c r="I663" t="s">
        <v>47</v>
      </c>
      <c r="J663" t="s">
        <v>48</v>
      </c>
      <c r="K663" t="s">
        <v>49</v>
      </c>
      <c r="L663" t="s">
        <v>50</v>
      </c>
      <c r="M663" t="s">
        <v>51</v>
      </c>
      <c r="N663" t="s">
        <v>52</v>
      </c>
      <c r="O663" t="s">
        <v>453</v>
      </c>
      <c r="P663" t="s">
        <v>34</v>
      </c>
      <c r="Q663" t="s">
        <v>35</v>
      </c>
      <c r="R663" t="s">
        <v>454</v>
      </c>
      <c r="S663" t="s">
        <v>455</v>
      </c>
      <c r="T663" t="s">
        <v>456</v>
      </c>
      <c r="U663" s="10" t="s">
        <v>1061</v>
      </c>
      <c r="V663" s="10" t="s">
        <v>1084</v>
      </c>
      <c r="W663" s="10" t="s">
        <v>1141</v>
      </c>
      <c r="X663" s="10" t="s">
        <v>1059</v>
      </c>
      <c r="Y663" t="s">
        <v>39</v>
      </c>
      <c r="Z663" t="s">
        <v>40</v>
      </c>
      <c r="AA663" t="s">
        <v>44</v>
      </c>
    </row>
    <row r="664" spans="1:28" x14ac:dyDescent="0.8">
      <c r="A664">
        <v>817</v>
      </c>
      <c r="B664">
        <v>1394</v>
      </c>
      <c r="C664" s="2">
        <v>44387</v>
      </c>
      <c r="D664" t="s">
        <v>149</v>
      </c>
      <c r="E664" t="s">
        <v>25</v>
      </c>
      <c r="F664" t="s">
        <v>26</v>
      </c>
      <c r="G664" t="s">
        <v>45</v>
      </c>
      <c r="H664" t="s">
        <v>68</v>
      </c>
      <c r="I664" t="s">
        <v>69</v>
      </c>
      <c r="J664" t="s">
        <v>70</v>
      </c>
      <c r="K664" t="s">
        <v>71</v>
      </c>
      <c r="L664" t="s">
        <v>72</v>
      </c>
      <c r="M664" t="s">
        <v>73</v>
      </c>
      <c r="N664" t="s">
        <v>61</v>
      </c>
      <c r="O664" t="s">
        <v>453</v>
      </c>
      <c r="P664" t="s">
        <v>34</v>
      </c>
      <c r="Q664" t="s">
        <v>35</v>
      </c>
      <c r="R664" t="s">
        <v>454</v>
      </c>
      <c r="S664" t="s">
        <v>455</v>
      </c>
      <c r="T664" t="s">
        <v>456</v>
      </c>
      <c r="U664" s="10" t="s">
        <v>1061</v>
      </c>
      <c r="V664" s="10" t="s">
        <v>1084</v>
      </c>
      <c r="W664" s="10" t="s">
        <v>1141</v>
      </c>
      <c r="X664" s="10" t="s">
        <v>1059</v>
      </c>
      <c r="Y664" t="s">
        <v>39</v>
      </c>
      <c r="Z664" t="s">
        <v>40</v>
      </c>
      <c r="AA664" t="s">
        <v>63</v>
      </c>
    </row>
    <row r="665" spans="1:28" x14ac:dyDescent="0.8">
      <c r="A665">
        <v>796</v>
      </c>
      <c r="B665">
        <v>1325</v>
      </c>
      <c r="C665" s="2">
        <v>44387</v>
      </c>
      <c r="D665" t="s">
        <v>149</v>
      </c>
      <c r="E665" t="s">
        <v>25</v>
      </c>
      <c r="F665" t="s">
        <v>26</v>
      </c>
      <c r="G665" t="s">
        <v>45</v>
      </c>
      <c r="H665" t="s">
        <v>68</v>
      </c>
      <c r="I665" t="s">
        <v>69</v>
      </c>
      <c r="J665" t="s">
        <v>70</v>
      </c>
      <c r="K665" t="s">
        <v>71</v>
      </c>
      <c r="L665" t="s">
        <v>72</v>
      </c>
      <c r="M665" t="s">
        <v>73</v>
      </c>
      <c r="N665" t="s">
        <v>61</v>
      </c>
      <c r="O665" t="s">
        <v>453</v>
      </c>
      <c r="P665" t="s">
        <v>34</v>
      </c>
      <c r="Q665" t="s">
        <v>35</v>
      </c>
      <c r="R665" t="s">
        <v>454</v>
      </c>
      <c r="S665" t="s">
        <v>455</v>
      </c>
      <c r="T665" t="s">
        <v>456</v>
      </c>
      <c r="U665" s="10" t="s">
        <v>1061</v>
      </c>
      <c r="V665" s="10" t="s">
        <v>1084</v>
      </c>
      <c r="W665" s="10" t="s">
        <v>1141</v>
      </c>
      <c r="X665" s="10" t="s">
        <v>1059</v>
      </c>
      <c r="Y665" t="s">
        <v>39</v>
      </c>
      <c r="Z665" t="s">
        <v>40</v>
      </c>
      <c r="AA665" t="s">
        <v>63</v>
      </c>
    </row>
    <row r="666" spans="1:28" x14ac:dyDescent="0.8">
      <c r="A666">
        <v>812</v>
      </c>
      <c r="B666">
        <v>799</v>
      </c>
      <c r="C666" s="2">
        <v>44387</v>
      </c>
      <c r="D666" t="s">
        <v>149</v>
      </c>
      <c r="E666" t="s">
        <v>103</v>
      </c>
      <c r="F666" t="s">
        <v>26</v>
      </c>
      <c r="G666" t="s">
        <v>45</v>
      </c>
      <c r="H666" t="s">
        <v>46</v>
      </c>
      <c r="I666" t="s">
        <v>47</v>
      </c>
      <c r="J666" t="s">
        <v>48</v>
      </c>
      <c r="K666" t="s">
        <v>105</v>
      </c>
      <c r="L666" t="s">
        <v>106</v>
      </c>
      <c r="M666" t="s">
        <v>107</v>
      </c>
      <c r="O666" t="s">
        <v>453</v>
      </c>
      <c r="P666" t="s">
        <v>34</v>
      </c>
      <c r="Q666" t="s">
        <v>35</v>
      </c>
      <c r="R666" t="s">
        <v>454</v>
      </c>
      <c r="S666" t="s">
        <v>455</v>
      </c>
      <c r="T666" t="s">
        <v>456</v>
      </c>
      <c r="U666" s="10" t="s">
        <v>1061</v>
      </c>
      <c r="V666" s="10" t="s">
        <v>1084</v>
      </c>
      <c r="W666" s="10" t="s">
        <v>1141</v>
      </c>
      <c r="X666" s="10" t="s">
        <v>1059</v>
      </c>
      <c r="Y666" t="s">
        <v>39</v>
      </c>
      <c r="Z666" t="s">
        <v>40</v>
      </c>
      <c r="AA666" t="s">
        <v>63</v>
      </c>
    </row>
    <row r="667" spans="1:28" x14ac:dyDescent="0.8">
      <c r="A667">
        <v>794</v>
      </c>
      <c r="B667">
        <v>1323</v>
      </c>
      <c r="C667" s="2">
        <v>44387</v>
      </c>
      <c r="D667" t="s">
        <v>149</v>
      </c>
      <c r="E667" t="s">
        <v>103</v>
      </c>
      <c r="F667" t="s">
        <v>26</v>
      </c>
      <c r="G667" t="s">
        <v>45</v>
      </c>
      <c r="H667" t="s">
        <v>46</v>
      </c>
      <c r="I667" t="s">
        <v>47</v>
      </c>
      <c r="J667" t="s">
        <v>48</v>
      </c>
      <c r="K667" t="s">
        <v>105</v>
      </c>
      <c r="L667" t="s">
        <v>106</v>
      </c>
      <c r="M667" t="s">
        <v>107</v>
      </c>
      <c r="O667" t="s">
        <v>453</v>
      </c>
      <c r="P667" t="s">
        <v>34</v>
      </c>
      <c r="Q667" t="s">
        <v>35</v>
      </c>
      <c r="R667" t="s">
        <v>454</v>
      </c>
      <c r="S667" t="s">
        <v>455</v>
      </c>
      <c r="T667" t="s">
        <v>456</v>
      </c>
      <c r="U667" s="10" t="s">
        <v>1061</v>
      </c>
      <c r="V667" s="10" t="s">
        <v>1084</v>
      </c>
      <c r="W667" s="10" t="s">
        <v>1141</v>
      </c>
      <c r="X667" s="10" t="s">
        <v>1059</v>
      </c>
      <c r="Y667" t="s">
        <v>39</v>
      </c>
      <c r="Z667" t="s">
        <v>40</v>
      </c>
      <c r="AA667" t="s">
        <v>63</v>
      </c>
    </row>
    <row r="668" spans="1:28" x14ac:dyDescent="0.8">
      <c r="A668">
        <v>815</v>
      </c>
      <c r="B668">
        <v>1392</v>
      </c>
      <c r="C668" s="2">
        <v>44387</v>
      </c>
      <c r="D668" t="s">
        <v>149</v>
      </c>
      <c r="E668" t="s">
        <v>25</v>
      </c>
      <c r="F668" t="s">
        <v>26</v>
      </c>
      <c r="G668" t="s">
        <v>45</v>
      </c>
      <c r="H668" t="s">
        <v>46</v>
      </c>
      <c r="I668" t="s">
        <v>47</v>
      </c>
      <c r="J668" t="s">
        <v>48</v>
      </c>
      <c r="K668" t="s">
        <v>105</v>
      </c>
      <c r="L668" t="s">
        <v>106</v>
      </c>
      <c r="M668" t="s">
        <v>107</v>
      </c>
      <c r="O668" t="s">
        <v>453</v>
      </c>
      <c r="P668" t="s">
        <v>34</v>
      </c>
      <c r="Q668" t="s">
        <v>35</v>
      </c>
      <c r="R668" t="s">
        <v>454</v>
      </c>
      <c r="S668" t="s">
        <v>455</v>
      </c>
      <c r="T668" t="s">
        <v>456</v>
      </c>
      <c r="U668" s="10" t="s">
        <v>1061</v>
      </c>
      <c r="V668" s="10" t="s">
        <v>1084</v>
      </c>
      <c r="W668" s="10" t="s">
        <v>1141</v>
      </c>
      <c r="X668" s="10" t="s">
        <v>1059</v>
      </c>
      <c r="Y668" t="s">
        <v>39</v>
      </c>
      <c r="Z668" t="s">
        <v>40</v>
      </c>
      <c r="AA668" t="s">
        <v>63</v>
      </c>
    </row>
    <row r="669" spans="1:28" x14ac:dyDescent="0.8">
      <c r="A669">
        <v>1276</v>
      </c>
      <c r="B669">
        <v>1923</v>
      </c>
      <c r="C669" s="2">
        <v>44387</v>
      </c>
      <c r="D669" t="s">
        <v>102</v>
      </c>
      <c r="E669" t="s">
        <v>63</v>
      </c>
      <c r="F669" t="s">
        <v>26</v>
      </c>
      <c r="G669" t="s">
        <v>27</v>
      </c>
      <c r="H669" t="s">
        <v>114</v>
      </c>
      <c r="I669" t="s">
        <v>115</v>
      </c>
      <c r="J669" t="s">
        <v>116</v>
      </c>
      <c r="K669" t="s">
        <v>117</v>
      </c>
      <c r="L669" t="s">
        <v>195</v>
      </c>
      <c r="M669" t="s">
        <v>196</v>
      </c>
      <c r="O669" t="s">
        <v>453</v>
      </c>
      <c r="P669" t="s">
        <v>34</v>
      </c>
      <c r="Q669" t="s">
        <v>35</v>
      </c>
      <c r="R669" t="s">
        <v>454</v>
      </c>
      <c r="S669" t="s">
        <v>455</v>
      </c>
      <c r="T669" t="s">
        <v>456</v>
      </c>
      <c r="U669" s="10" t="s">
        <v>1061</v>
      </c>
      <c r="V669" s="10" t="s">
        <v>1084</v>
      </c>
      <c r="W669" s="10" t="s">
        <v>1141</v>
      </c>
      <c r="X669" s="10" t="s">
        <v>1059</v>
      </c>
      <c r="Y669" t="s">
        <v>39</v>
      </c>
      <c r="Z669" t="s">
        <v>40</v>
      </c>
      <c r="AA669" t="s">
        <v>63</v>
      </c>
    </row>
    <row r="670" spans="1:28" x14ac:dyDescent="0.8">
      <c r="A670">
        <v>1248</v>
      </c>
      <c r="B670">
        <v>1845</v>
      </c>
      <c r="C670" s="2">
        <v>44387</v>
      </c>
      <c r="D670" t="s">
        <v>102</v>
      </c>
      <c r="E670" t="s">
        <v>25</v>
      </c>
      <c r="F670" t="s">
        <v>26</v>
      </c>
      <c r="G670" t="s">
        <v>45</v>
      </c>
      <c r="H670" t="s">
        <v>68</v>
      </c>
      <c r="I670" t="s">
        <v>69</v>
      </c>
      <c r="J670" t="s">
        <v>70</v>
      </c>
      <c r="K670" t="s">
        <v>71</v>
      </c>
      <c r="L670" t="s">
        <v>72</v>
      </c>
      <c r="M670" t="s">
        <v>73</v>
      </c>
      <c r="N670" t="s">
        <v>61</v>
      </c>
      <c r="O670" t="s">
        <v>453</v>
      </c>
      <c r="P670" t="s">
        <v>34</v>
      </c>
      <c r="Q670" t="s">
        <v>35</v>
      </c>
      <c r="R670" t="s">
        <v>454</v>
      </c>
      <c r="S670" t="s">
        <v>455</v>
      </c>
      <c r="T670" t="s">
        <v>456</v>
      </c>
      <c r="U670" s="10" t="s">
        <v>1061</v>
      </c>
      <c r="V670" s="10" t="s">
        <v>1084</v>
      </c>
      <c r="W670" s="10" t="s">
        <v>1141</v>
      </c>
      <c r="X670" s="10" t="s">
        <v>1059</v>
      </c>
      <c r="Y670" t="s">
        <v>39</v>
      </c>
      <c r="Z670" t="s">
        <v>40</v>
      </c>
      <c r="AA670" t="s">
        <v>63</v>
      </c>
    </row>
    <row r="671" spans="1:28" x14ac:dyDescent="0.8">
      <c r="A671">
        <v>1275</v>
      </c>
      <c r="B671">
        <v>1922</v>
      </c>
      <c r="C671" s="2">
        <v>44387</v>
      </c>
      <c r="D671" t="s">
        <v>102</v>
      </c>
      <c r="E671" t="s">
        <v>63</v>
      </c>
      <c r="F671" t="s">
        <v>26</v>
      </c>
      <c r="G671" t="s">
        <v>45</v>
      </c>
      <c r="H671" t="s">
        <v>46</v>
      </c>
      <c r="I671" t="s">
        <v>47</v>
      </c>
      <c r="J671" t="s">
        <v>48</v>
      </c>
      <c r="K671" t="s">
        <v>49</v>
      </c>
      <c r="L671" t="s">
        <v>50</v>
      </c>
      <c r="M671" t="s">
        <v>51</v>
      </c>
      <c r="N671" t="s">
        <v>61</v>
      </c>
      <c r="O671" t="s">
        <v>453</v>
      </c>
      <c r="P671" t="s">
        <v>34</v>
      </c>
      <c r="Q671" t="s">
        <v>35</v>
      </c>
      <c r="R671" t="s">
        <v>454</v>
      </c>
      <c r="S671" t="s">
        <v>455</v>
      </c>
      <c r="T671" t="s">
        <v>456</v>
      </c>
      <c r="U671" s="10" t="s">
        <v>1061</v>
      </c>
      <c r="V671" s="10" t="s">
        <v>1084</v>
      </c>
      <c r="W671" s="10" t="s">
        <v>1141</v>
      </c>
      <c r="X671" s="10" t="s">
        <v>1059</v>
      </c>
      <c r="Y671" t="s">
        <v>39</v>
      </c>
      <c r="Z671" t="s">
        <v>40</v>
      </c>
      <c r="AA671" t="s">
        <v>63</v>
      </c>
    </row>
    <row r="672" spans="1:28" x14ac:dyDescent="0.8">
      <c r="A672">
        <v>714</v>
      </c>
      <c r="B672">
        <v>1147</v>
      </c>
      <c r="C672" s="2">
        <v>44385</v>
      </c>
      <c r="D672" t="s">
        <v>133</v>
      </c>
      <c r="E672" t="s">
        <v>63</v>
      </c>
      <c r="F672" t="s">
        <v>26</v>
      </c>
      <c r="G672" t="s">
        <v>45</v>
      </c>
      <c r="H672" t="s">
        <v>155</v>
      </c>
      <c r="I672" t="s">
        <v>69</v>
      </c>
      <c r="J672" t="s">
        <v>156</v>
      </c>
      <c r="K672" t="s">
        <v>157</v>
      </c>
      <c r="L672" t="s">
        <v>158</v>
      </c>
      <c r="M672" t="s">
        <v>159</v>
      </c>
      <c r="N672" t="s">
        <v>52</v>
      </c>
      <c r="O672" t="s">
        <v>453</v>
      </c>
      <c r="P672" t="s">
        <v>34</v>
      </c>
      <c r="Q672" t="s">
        <v>35</v>
      </c>
      <c r="R672" t="s">
        <v>454</v>
      </c>
      <c r="S672" t="s">
        <v>455</v>
      </c>
      <c r="T672" t="s">
        <v>456</v>
      </c>
      <c r="U672" s="10" t="s">
        <v>1061</v>
      </c>
      <c r="V672" s="10" t="s">
        <v>1084</v>
      </c>
      <c r="W672" s="10" t="s">
        <v>1141</v>
      </c>
      <c r="X672" s="10" t="s">
        <v>1059</v>
      </c>
      <c r="Y672" t="s">
        <v>39</v>
      </c>
      <c r="Z672" t="s">
        <v>40</v>
      </c>
      <c r="AA672" t="s">
        <v>63</v>
      </c>
    </row>
    <row r="673" spans="1:27" x14ac:dyDescent="0.8">
      <c r="A673">
        <v>1196</v>
      </c>
      <c r="B673">
        <v>1743</v>
      </c>
      <c r="C673" s="2">
        <v>44386</v>
      </c>
      <c r="D673" t="s">
        <v>129</v>
      </c>
      <c r="E673" t="s">
        <v>25</v>
      </c>
      <c r="F673" t="s">
        <v>26</v>
      </c>
      <c r="G673" t="s">
        <v>45</v>
      </c>
      <c r="H673" t="s">
        <v>68</v>
      </c>
      <c r="I673" t="s">
        <v>69</v>
      </c>
      <c r="J673" t="s">
        <v>70</v>
      </c>
      <c r="K673" t="s">
        <v>71</v>
      </c>
      <c r="L673" t="s">
        <v>72</v>
      </c>
      <c r="M673" t="s">
        <v>73</v>
      </c>
      <c r="N673" t="s">
        <v>61</v>
      </c>
      <c r="O673" t="s">
        <v>453</v>
      </c>
      <c r="P673" t="s">
        <v>34</v>
      </c>
      <c r="Q673" t="s">
        <v>35</v>
      </c>
      <c r="R673" t="s">
        <v>454</v>
      </c>
      <c r="S673" t="s">
        <v>455</v>
      </c>
      <c r="T673" t="s">
        <v>456</v>
      </c>
      <c r="U673" s="10" t="s">
        <v>1061</v>
      </c>
      <c r="V673" s="10" t="s">
        <v>1084</v>
      </c>
      <c r="W673" s="10" t="s">
        <v>1141</v>
      </c>
      <c r="X673" s="10" t="s">
        <v>1059</v>
      </c>
      <c r="Y673" t="s">
        <v>39</v>
      </c>
      <c r="Z673" t="s">
        <v>40</v>
      </c>
      <c r="AA673" t="s">
        <v>63</v>
      </c>
    </row>
    <row r="674" spans="1:27" x14ac:dyDescent="0.8">
      <c r="A674">
        <v>1185</v>
      </c>
      <c r="B674">
        <v>1732</v>
      </c>
      <c r="C674" s="2">
        <v>44386</v>
      </c>
      <c r="D674" t="s">
        <v>129</v>
      </c>
      <c r="E674" t="s">
        <v>63</v>
      </c>
      <c r="F674" t="s">
        <v>26</v>
      </c>
      <c r="G674" t="s">
        <v>45</v>
      </c>
      <c r="H674" t="s">
        <v>55</v>
      </c>
      <c r="I674" t="s">
        <v>69</v>
      </c>
      <c r="J674" t="s">
        <v>295</v>
      </c>
      <c r="K674" t="s">
        <v>296</v>
      </c>
      <c r="L674" t="s">
        <v>59</v>
      </c>
      <c r="M674" t="s">
        <v>460</v>
      </c>
      <c r="N674" t="s">
        <v>52</v>
      </c>
      <c r="O674" t="s">
        <v>453</v>
      </c>
      <c r="P674" t="s">
        <v>34</v>
      </c>
      <c r="Q674" t="s">
        <v>35</v>
      </c>
      <c r="R674" t="s">
        <v>454</v>
      </c>
      <c r="S674" t="s">
        <v>455</v>
      </c>
      <c r="T674" t="s">
        <v>456</v>
      </c>
      <c r="U674" s="10" t="s">
        <v>1061</v>
      </c>
      <c r="V674" s="10" t="s">
        <v>1084</v>
      </c>
      <c r="W674" s="10" t="s">
        <v>1141</v>
      </c>
      <c r="X674" s="10" t="s">
        <v>1059</v>
      </c>
      <c r="Y674" t="s">
        <v>39</v>
      </c>
      <c r="Z674" t="s">
        <v>40</v>
      </c>
      <c r="AA674" t="s">
        <v>63</v>
      </c>
    </row>
    <row r="675" spans="1:27" x14ac:dyDescent="0.8">
      <c r="A675">
        <v>1160</v>
      </c>
      <c r="B675">
        <v>1657</v>
      </c>
      <c r="C675" s="2">
        <v>44386</v>
      </c>
      <c r="D675" t="s">
        <v>129</v>
      </c>
      <c r="E675" t="s">
        <v>63</v>
      </c>
      <c r="F675" t="s">
        <v>26</v>
      </c>
      <c r="G675" t="s">
        <v>45</v>
      </c>
      <c r="H675" t="s">
        <v>55</v>
      </c>
      <c r="I675" t="s">
        <v>69</v>
      </c>
      <c r="J675" t="s">
        <v>295</v>
      </c>
      <c r="K675" t="s">
        <v>296</v>
      </c>
      <c r="L675" t="s">
        <v>65</v>
      </c>
      <c r="M675" t="s">
        <v>297</v>
      </c>
      <c r="N675" t="s">
        <v>61</v>
      </c>
      <c r="O675" t="s">
        <v>453</v>
      </c>
      <c r="P675" t="s">
        <v>34</v>
      </c>
      <c r="Q675" t="s">
        <v>35</v>
      </c>
      <c r="R675" t="s">
        <v>454</v>
      </c>
      <c r="S675" t="s">
        <v>455</v>
      </c>
      <c r="T675" t="s">
        <v>456</v>
      </c>
      <c r="U675" s="10" t="s">
        <v>1061</v>
      </c>
      <c r="V675" s="10" t="s">
        <v>1084</v>
      </c>
      <c r="W675" s="10" t="s">
        <v>1141</v>
      </c>
      <c r="X675" s="10" t="s">
        <v>1059</v>
      </c>
      <c r="Y675" t="s">
        <v>140</v>
      </c>
      <c r="Z675" t="s">
        <v>40</v>
      </c>
      <c r="AA675" t="s">
        <v>63</v>
      </c>
    </row>
    <row r="676" spans="1:27" x14ac:dyDescent="0.8">
      <c r="A676">
        <v>1203</v>
      </c>
      <c r="B676">
        <v>1750</v>
      </c>
      <c r="C676" s="2">
        <v>44386</v>
      </c>
      <c r="D676" t="s">
        <v>129</v>
      </c>
      <c r="E676" t="s">
        <v>125</v>
      </c>
      <c r="F676" t="s">
        <v>26</v>
      </c>
      <c r="G676" t="s">
        <v>45</v>
      </c>
      <c r="H676" t="s">
        <v>55</v>
      </c>
      <c r="I676" t="s">
        <v>69</v>
      </c>
      <c r="J676" t="s">
        <v>461</v>
      </c>
      <c r="K676" t="s">
        <v>462</v>
      </c>
      <c r="L676" t="s">
        <v>463</v>
      </c>
      <c r="M676" t="s">
        <v>464</v>
      </c>
      <c r="N676" t="s">
        <v>52</v>
      </c>
      <c r="O676" t="s">
        <v>453</v>
      </c>
      <c r="P676" t="s">
        <v>34</v>
      </c>
      <c r="Q676" t="s">
        <v>35</v>
      </c>
      <c r="R676" t="s">
        <v>454</v>
      </c>
      <c r="S676" t="s">
        <v>455</v>
      </c>
      <c r="T676" t="s">
        <v>456</v>
      </c>
      <c r="U676" s="10" t="s">
        <v>1061</v>
      </c>
      <c r="V676" s="10" t="s">
        <v>1084</v>
      </c>
      <c r="W676" s="10" t="s">
        <v>1141</v>
      </c>
      <c r="X676" s="10" t="s">
        <v>1059</v>
      </c>
      <c r="Y676" t="s">
        <v>39</v>
      </c>
      <c r="Z676" t="s">
        <v>40</v>
      </c>
      <c r="AA676" t="s">
        <v>63</v>
      </c>
    </row>
    <row r="677" spans="1:27" x14ac:dyDescent="0.8">
      <c r="A677">
        <v>1190</v>
      </c>
      <c r="B677">
        <v>1737</v>
      </c>
      <c r="C677" s="2">
        <v>44386</v>
      </c>
      <c r="D677" t="s">
        <v>129</v>
      </c>
      <c r="E677" t="s">
        <v>25</v>
      </c>
      <c r="F677" t="s">
        <v>26</v>
      </c>
      <c r="G677" t="s">
        <v>45</v>
      </c>
      <c r="H677" t="s">
        <v>55</v>
      </c>
      <c r="I677" t="s">
        <v>69</v>
      </c>
      <c r="J677" t="s">
        <v>461</v>
      </c>
      <c r="K677" t="s">
        <v>462</v>
      </c>
      <c r="L677" t="s">
        <v>463</v>
      </c>
      <c r="M677" t="s">
        <v>464</v>
      </c>
      <c r="N677" t="s">
        <v>52</v>
      </c>
      <c r="O677" t="s">
        <v>453</v>
      </c>
      <c r="P677" t="s">
        <v>34</v>
      </c>
      <c r="Q677" t="s">
        <v>35</v>
      </c>
      <c r="R677" t="s">
        <v>454</v>
      </c>
      <c r="S677" t="s">
        <v>455</v>
      </c>
      <c r="T677" t="s">
        <v>456</v>
      </c>
      <c r="U677" s="10" t="s">
        <v>1061</v>
      </c>
      <c r="V677" s="10" t="s">
        <v>1084</v>
      </c>
      <c r="W677" s="10" t="s">
        <v>1141</v>
      </c>
      <c r="X677" s="10" t="s">
        <v>1059</v>
      </c>
      <c r="Y677" t="s">
        <v>39</v>
      </c>
      <c r="Z677" t="s">
        <v>40</v>
      </c>
      <c r="AA677" t="s">
        <v>63</v>
      </c>
    </row>
    <row r="678" spans="1:27" x14ac:dyDescent="0.8">
      <c r="A678">
        <v>1209</v>
      </c>
      <c r="B678">
        <v>1756</v>
      </c>
      <c r="C678" s="2">
        <v>44386</v>
      </c>
      <c r="D678" t="s">
        <v>129</v>
      </c>
      <c r="E678" t="s">
        <v>63</v>
      </c>
      <c r="F678" t="s">
        <v>26</v>
      </c>
      <c r="G678" t="s">
        <v>45</v>
      </c>
      <c r="H678" t="s">
        <v>46</v>
      </c>
      <c r="I678" t="s">
        <v>47</v>
      </c>
      <c r="J678" t="s">
        <v>48</v>
      </c>
      <c r="K678" t="s">
        <v>105</v>
      </c>
      <c r="L678" t="s">
        <v>106</v>
      </c>
      <c r="M678" t="s">
        <v>107</v>
      </c>
      <c r="O678" t="s">
        <v>453</v>
      </c>
      <c r="P678" t="s">
        <v>34</v>
      </c>
      <c r="Q678" t="s">
        <v>35</v>
      </c>
      <c r="R678" t="s">
        <v>454</v>
      </c>
      <c r="S678" t="s">
        <v>455</v>
      </c>
      <c r="T678" t="s">
        <v>456</v>
      </c>
      <c r="U678" s="10" t="s">
        <v>1061</v>
      </c>
      <c r="V678" s="10" t="s">
        <v>1084</v>
      </c>
      <c r="W678" s="10" t="s">
        <v>1141</v>
      </c>
      <c r="X678" s="10" t="s">
        <v>1059</v>
      </c>
      <c r="Y678" t="s">
        <v>39</v>
      </c>
      <c r="Z678" t="s">
        <v>40</v>
      </c>
      <c r="AA678" t="s">
        <v>63</v>
      </c>
    </row>
    <row r="679" spans="1:27" x14ac:dyDescent="0.8">
      <c r="A679">
        <v>1208</v>
      </c>
      <c r="B679">
        <v>1755</v>
      </c>
      <c r="C679" s="2">
        <v>44386</v>
      </c>
      <c r="D679" t="s">
        <v>129</v>
      </c>
      <c r="E679" t="s">
        <v>125</v>
      </c>
      <c r="F679" t="s">
        <v>26</v>
      </c>
      <c r="G679" t="s">
        <v>45</v>
      </c>
      <c r="H679" t="s">
        <v>46</v>
      </c>
      <c r="I679" t="s">
        <v>47</v>
      </c>
      <c r="J679" t="s">
        <v>48</v>
      </c>
      <c r="K679" t="s">
        <v>105</v>
      </c>
      <c r="L679" t="s">
        <v>106</v>
      </c>
      <c r="M679" t="s">
        <v>107</v>
      </c>
      <c r="O679" t="s">
        <v>453</v>
      </c>
      <c r="P679" t="s">
        <v>34</v>
      </c>
      <c r="Q679" t="s">
        <v>35</v>
      </c>
      <c r="R679" t="s">
        <v>454</v>
      </c>
      <c r="S679" t="s">
        <v>455</v>
      </c>
      <c r="T679" t="s">
        <v>456</v>
      </c>
      <c r="U679" s="10" t="s">
        <v>1061</v>
      </c>
      <c r="V679" s="10" t="s">
        <v>1084</v>
      </c>
      <c r="W679" s="10" t="s">
        <v>1141</v>
      </c>
      <c r="X679" s="10" t="s">
        <v>1059</v>
      </c>
      <c r="Y679" t="s">
        <v>39</v>
      </c>
      <c r="Z679" t="s">
        <v>40</v>
      </c>
      <c r="AA679" t="s">
        <v>63</v>
      </c>
    </row>
    <row r="680" spans="1:27" x14ac:dyDescent="0.8">
      <c r="A680">
        <v>1189</v>
      </c>
      <c r="B680">
        <v>1736</v>
      </c>
      <c r="C680" s="2">
        <v>44386</v>
      </c>
      <c r="D680" t="s">
        <v>129</v>
      </c>
      <c r="E680" t="s">
        <v>25</v>
      </c>
      <c r="F680" t="s">
        <v>26</v>
      </c>
      <c r="G680" t="s">
        <v>45</v>
      </c>
      <c r="H680" t="s">
        <v>46</v>
      </c>
      <c r="I680" t="s">
        <v>47</v>
      </c>
      <c r="J680" t="s">
        <v>48</v>
      </c>
      <c r="K680" t="s">
        <v>105</v>
      </c>
      <c r="L680" t="s">
        <v>106</v>
      </c>
      <c r="M680" t="s">
        <v>107</v>
      </c>
      <c r="O680" t="s">
        <v>453</v>
      </c>
      <c r="P680" t="s">
        <v>34</v>
      </c>
      <c r="Q680" t="s">
        <v>35</v>
      </c>
      <c r="R680" t="s">
        <v>454</v>
      </c>
      <c r="S680" t="s">
        <v>455</v>
      </c>
      <c r="T680" t="s">
        <v>456</v>
      </c>
      <c r="U680" s="10" t="s">
        <v>1061</v>
      </c>
      <c r="V680" s="10" t="s">
        <v>1084</v>
      </c>
      <c r="W680" s="10" t="s">
        <v>1141</v>
      </c>
      <c r="X680" s="10" t="s">
        <v>1059</v>
      </c>
      <c r="Y680" t="s">
        <v>39</v>
      </c>
      <c r="Z680" t="s">
        <v>40</v>
      </c>
      <c r="AA680" t="s">
        <v>63</v>
      </c>
    </row>
    <row r="681" spans="1:27" x14ac:dyDescent="0.8">
      <c r="A681">
        <v>1179</v>
      </c>
      <c r="B681">
        <v>1676</v>
      </c>
      <c r="C681" s="2">
        <v>44386</v>
      </c>
      <c r="D681" t="s">
        <v>129</v>
      </c>
      <c r="E681" t="s">
        <v>25</v>
      </c>
      <c r="F681" t="s">
        <v>26</v>
      </c>
      <c r="G681" t="s">
        <v>45</v>
      </c>
      <c r="H681" t="s">
        <v>46</v>
      </c>
      <c r="I681" t="s">
        <v>47</v>
      </c>
      <c r="J681" t="s">
        <v>48</v>
      </c>
      <c r="K681" t="s">
        <v>105</v>
      </c>
      <c r="L681" t="s">
        <v>106</v>
      </c>
      <c r="M681" t="s">
        <v>107</v>
      </c>
      <c r="O681" t="s">
        <v>453</v>
      </c>
      <c r="P681" t="s">
        <v>34</v>
      </c>
      <c r="Q681" t="s">
        <v>35</v>
      </c>
      <c r="R681" t="s">
        <v>454</v>
      </c>
      <c r="S681" t="s">
        <v>455</v>
      </c>
      <c r="T681" t="s">
        <v>456</v>
      </c>
      <c r="U681" s="10" t="s">
        <v>1061</v>
      </c>
      <c r="V681" s="10" t="s">
        <v>1084</v>
      </c>
      <c r="W681" s="10" t="s">
        <v>1141</v>
      </c>
      <c r="X681" s="10" t="s">
        <v>1059</v>
      </c>
      <c r="Y681" t="s">
        <v>39</v>
      </c>
      <c r="Z681" t="s">
        <v>40</v>
      </c>
      <c r="AA681" t="s">
        <v>63</v>
      </c>
    </row>
    <row r="682" spans="1:27" x14ac:dyDescent="0.8">
      <c r="A682">
        <v>1177</v>
      </c>
      <c r="B682">
        <v>1674</v>
      </c>
      <c r="C682" s="2">
        <v>44386</v>
      </c>
      <c r="D682" t="s">
        <v>129</v>
      </c>
      <c r="E682" t="s">
        <v>25</v>
      </c>
      <c r="F682" t="s">
        <v>26</v>
      </c>
      <c r="G682" t="s">
        <v>45</v>
      </c>
      <c r="H682" t="s">
        <v>46</v>
      </c>
      <c r="I682" t="s">
        <v>47</v>
      </c>
      <c r="J682" t="s">
        <v>48</v>
      </c>
      <c r="K682" t="s">
        <v>105</v>
      </c>
      <c r="L682" t="s">
        <v>106</v>
      </c>
      <c r="M682" t="s">
        <v>107</v>
      </c>
      <c r="O682" t="s">
        <v>453</v>
      </c>
      <c r="P682" t="s">
        <v>34</v>
      </c>
      <c r="Q682" t="s">
        <v>35</v>
      </c>
      <c r="R682" t="s">
        <v>454</v>
      </c>
      <c r="S682" t="s">
        <v>455</v>
      </c>
      <c r="T682" t="s">
        <v>456</v>
      </c>
      <c r="U682" s="10" t="s">
        <v>1061</v>
      </c>
      <c r="V682" s="10" t="s">
        <v>1084</v>
      </c>
      <c r="W682" s="10" t="s">
        <v>1141</v>
      </c>
      <c r="X682" s="10" t="s">
        <v>1059</v>
      </c>
      <c r="Y682" t="s">
        <v>39</v>
      </c>
      <c r="Z682" t="s">
        <v>40</v>
      </c>
      <c r="AA682" t="s">
        <v>63</v>
      </c>
    </row>
    <row r="683" spans="1:27" x14ac:dyDescent="0.8">
      <c r="A683">
        <v>1157</v>
      </c>
      <c r="B683">
        <v>1654</v>
      </c>
      <c r="C683" s="2">
        <v>44386</v>
      </c>
      <c r="D683" t="s">
        <v>129</v>
      </c>
      <c r="E683" t="s">
        <v>63</v>
      </c>
      <c r="F683" t="s">
        <v>26</v>
      </c>
      <c r="G683" t="s">
        <v>45</v>
      </c>
      <c r="H683" t="s">
        <v>46</v>
      </c>
      <c r="I683" t="s">
        <v>47</v>
      </c>
      <c r="J683" t="s">
        <v>48</v>
      </c>
      <c r="K683" t="s">
        <v>105</v>
      </c>
      <c r="L683" t="s">
        <v>106</v>
      </c>
      <c r="M683" t="s">
        <v>107</v>
      </c>
      <c r="O683" t="s">
        <v>453</v>
      </c>
      <c r="P683" t="s">
        <v>34</v>
      </c>
      <c r="Q683" t="s">
        <v>35</v>
      </c>
      <c r="R683" t="s">
        <v>454</v>
      </c>
      <c r="S683" t="s">
        <v>455</v>
      </c>
      <c r="T683" t="s">
        <v>456</v>
      </c>
      <c r="U683" s="10" t="s">
        <v>1061</v>
      </c>
      <c r="V683" s="10" t="s">
        <v>1084</v>
      </c>
      <c r="W683" s="10" t="s">
        <v>1141</v>
      </c>
      <c r="X683" s="10" t="s">
        <v>1059</v>
      </c>
      <c r="Y683" t="s">
        <v>140</v>
      </c>
      <c r="Z683" t="s">
        <v>40</v>
      </c>
      <c r="AA683" t="s">
        <v>63</v>
      </c>
    </row>
    <row r="684" spans="1:27" x14ac:dyDescent="0.8">
      <c r="A684">
        <v>1198</v>
      </c>
      <c r="B684">
        <v>1745</v>
      </c>
      <c r="C684" s="2">
        <v>44386</v>
      </c>
      <c r="D684" t="s">
        <v>129</v>
      </c>
      <c r="E684" t="s">
        <v>63</v>
      </c>
      <c r="F684" t="s">
        <v>26</v>
      </c>
      <c r="G684" t="s">
        <v>45</v>
      </c>
      <c r="H684" t="s">
        <v>46</v>
      </c>
      <c r="I684" t="s">
        <v>47</v>
      </c>
      <c r="J684" t="s">
        <v>48</v>
      </c>
      <c r="K684" t="s">
        <v>49</v>
      </c>
      <c r="L684" t="s">
        <v>50</v>
      </c>
      <c r="M684" t="s">
        <v>51</v>
      </c>
      <c r="N684" t="s">
        <v>52</v>
      </c>
      <c r="O684" t="s">
        <v>453</v>
      </c>
      <c r="P684" t="s">
        <v>34</v>
      </c>
      <c r="Q684" t="s">
        <v>35</v>
      </c>
      <c r="R684" t="s">
        <v>454</v>
      </c>
      <c r="S684" t="s">
        <v>455</v>
      </c>
      <c r="T684" t="s">
        <v>456</v>
      </c>
      <c r="U684" s="10" t="s">
        <v>1061</v>
      </c>
      <c r="V684" s="10" t="s">
        <v>1084</v>
      </c>
      <c r="W684" s="10" t="s">
        <v>1141</v>
      </c>
      <c r="X684" s="10" t="s">
        <v>1059</v>
      </c>
      <c r="Y684" t="s">
        <v>39</v>
      </c>
      <c r="Z684" t="s">
        <v>40</v>
      </c>
      <c r="AA684" t="s">
        <v>63</v>
      </c>
    </row>
    <row r="685" spans="1:27" x14ac:dyDescent="0.8">
      <c r="A685">
        <v>1173</v>
      </c>
      <c r="B685">
        <v>1670</v>
      </c>
      <c r="C685" s="2">
        <v>44386</v>
      </c>
      <c r="D685" t="s">
        <v>129</v>
      </c>
      <c r="E685" t="s">
        <v>25</v>
      </c>
      <c r="F685" t="s">
        <v>26</v>
      </c>
      <c r="G685" t="s">
        <v>45</v>
      </c>
      <c r="H685" t="s">
        <v>46</v>
      </c>
      <c r="I685" t="s">
        <v>47</v>
      </c>
      <c r="J685" t="s">
        <v>48</v>
      </c>
      <c r="K685" t="s">
        <v>49</v>
      </c>
      <c r="L685" t="s">
        <v>50</v>
      </c>
      <c r="M685" t="s">
        <v>51</v>
      </c>
      <c r="N685" t="s">
        <v>61</v>
      </c>
      <c r="O685" t="s">
        <v>453</v>
      </c>
      <c r="P685" t="s">
        <v>34</v>
      </c>
      <c r="Q685" t="s">
        <v>35</v>
      </c>
      <c r="R685" t="s">
        <v>454</v>
      </c>
      <c r="S685" t="s">
        <v>455</v>
      </c>
      <c r="T685" t="s">
        <v>456</v>
      </c>
      <c r="U685" s="10" t="s">
        <v>1061</v>
      </c>
      <c r="V685" s="10" t="s">
        <v>1084</v>
      </c>
      <c r="W685" s="10" t="s">
        <v>1141</v>
      </c>
      <c r="X685" s="10" t="s">
        <v>1059</v>
      </c>
      <c r="Y685" t="s">
        <v>39</v>
      </c>
      <c r="Z685" t="s">
        <v>40</v>
      </c>
      <c r="AA685" t="s">
        <v>63</v>
      </c>
    </row>
    <row r="686" spans="1:27" x14ac:dyDescent="0.8">
      <c r="A686">
        <v>1202</v>
      </c>
      <c r="B686">
        <v>1749</v>
      </c>
      <c r="C686" s="2">
        <v>44386</v>
      </c>
      <c r="D686" t="s">
        <v>129</v>
      </c>
      <c r="E686" t="s">
        <v>53</v>
      </c>
      <c r="F686" t="s">
        <v>26</v>
      </c>
      <c r="G686" t="s">
        <v>94</v>
      </c>
      <c r="H686" t="s">
        <v>95</v>
      </c>
      <c r="I686" t="s">
        <v>96</v>
      </c>
      <c r="J686" t="s">
        <v>97</v>
      </c>
      <c r="K686" t="s">
        <v>98</v>
      </c>
      <c r="L686" t="s">
        <v>99</v>
      </c>
      <c r="M686" t="s">
        <v>100</v>
      </c>
      <c r="N686" t="s">
        <v>101</v>
      </c>
      <c r="O686" t="s">
        <v>453</v>
      </c>
      <c r="P686" t="s">
        <v>34</v>
      </c>
      <c r="Q686" t="s">
        <v>35</v>
      </c>
      <c r="R686" t="s">
        <v>454</v>
      </c>
      <c r="S686" t="s">
        <v>455</v>
      </c>
      <c r="T686" t="s">
        <v>456</v>
      </c>
      <c r="U686" s="10" t="s">
        <v>1061</v>
      </c>
      <c r="V686" s="10" t="s">
        <v>1084</v>
      </c>
      <c r="W686" s="10" t="s">
        <v>1141</v>
      </c>
      <c r="X686" s="10" t="s">
        <v>1059</v>
      </c>
      <c r="Y686" t="s">
        <v>39</v>
      </c>
      <c r="Z686" t="s">
        <v>40</v>
      </c>
      <c r="AA686" t="s">
        <v>63</v>
      </c>
    </row>
    <row r="687" spans="1:27" x14ac:dyDescent="0.8">
      <c r="A687">
        <v>543</v>
      </c>
      <c r="B687">
        <v>174</v>
      </c>
      <c r="C687" s="2">
        <v>44388</v>
      </c>
      <c r="D687" t="s">
        <v>124</v>
      </c>
      <c r="E687" t="s">
        <v>63</v>
      </c>
      <c r="F687" t="s">
        <v>26</v>
      </c>
      <c r="G687" t="s">
        <v>45</v>
      </c>
      <c r="H687" t="s">
        <v>55</v>
      </c>
      <c r="I687" t="s">
        <v>69</v>
      </c>
      <c r="J687" t="s">
        <v>295</v>
      </c>
      <c r="K687" t="s">
        <v>296</v>
      </c>
      <c r="L687" t="s">
        <v>112</v>
      </c>
      <c r="M687" t="s">
        <v>457</v>
      </c>
      <c r="N687" t="s">
        <v>52</v>
      </c>
      <c r="O687" t="s">
        <v>453</v>
      </c>
      <c r="P687" t="s">
        <v>34</v>
      </c>
      <c r="Q687" t="s">
        <v>35</v>
      </c>
      <c r="R687" t="s">
        <v>454</v>
      </c>
      <c r="S687" t="s">
        <v>455</v>
      </c>
      <c r="T687" t="s">
        <v>456</v>
      </c>
      <c r="U687" s="10" t="s">
        <v>1061</v>
      </c>
      <c r="V687" s="10" t="s">
        <v>1084</v>
      </c>
      <c r="W687" s="10" t="s">
        <v>1141</v>
      </c>
      <c r="X687" s="10" t="s">
        <v>1059</v>
      </c>
      <c r="Y687" t="s">
        <v>39</v>
      </c>
      <c r="Z687" t="s">
        <v>40</v>
      </c>
      <c r="AA687" t="s">
        <v>63</v>
      </c>
    </row>
    <row r="688" spans="1:27" x14ac:dyDescent="0.8">
      <c r="A688">
        <v>192</v>
      </c>
      <c r="B688">
        <v>1348</v>
      </c>
      <c r="C688" s="2">
        <v>44388</v>
      </c>
      <c r="D688" t="s">
        <v>124</v>
      </c>
      <c r="E688" t="s">
        <v>53</v>
      </c>
      <c r="F688" t="s">
        <v>26</v>
      </c>
      <c r="G688" t="s">
        <v>45</v>
      </c>
      <c r="H688" t="s">
        <v>46</v>
      </c>
      <c r="I688" t="s">
        <v>47</v>
      </c>
      <c r="J688" t="s">
        <v>48</v>
      </c>
      <c r="K688" t="s">
        <v>105</v>
      </c>
      <c r="L688" t="s">
        <v>106</v>
      </c>
      <c r="M688" t="s">
        <v>107</v>
      </c>
      <c r="O688" t="s">
        <v>453</v>
      </c>
      <c r="P688" t="s">
        <v>34</v>
      </c>
      <c r="Q688" t="s">
        <v>35</v>
      </c>
      <c r="R688" t="s">
        <v>454</v>
      </c>
      <c r="S688" t="s">
        <v>455</v>
      </c>
      <c r="T688" t="s">
        <v>456</v>
      </c>
      <c r="U688" s="10" t="s">
        <v>1061</v>
      </c>
      <c r="V688" s="10" t="s">
        <v>1084</v>
      </c>
      <c r="W688" s="10" t="s">
        <v>1141</v>
      </c>
      <c r="X688" s="10" t="s">
        <v>1059</v>
      </c>
      <c r="Y688" t="s">
        <v>140</v>
      </c>
      <c r="Z688" t="s">
        <v>40</v>
      </c>
      <c r="AA688" t="s">
        <v>53</v>
      </c>
    </row>
    <row r="689" spans="1:28" x14ac:dyDescent="0.8">
      <c r="A689">
        <v>549</v>
      </c>
      <c r="B689">
        <v>180</v>
      </c>
      <c r="C689" s="2">
        <v>44388</v>
      </c>
      <c r="D689" t="s">
        <v>124</v>
      </c>
      <c r="E689" t="s">
        <v>25</v>
      </c>
      <c r="F689" t="s">
        <v>26</v>
      </c>
      <c r="G689" t="s">
        <v>45</v>
      </c>
      <c r="H689" t="s">
        <v>46</v>
      </c>
      <c r="I689" t="s">
        <v>47</v>
      </c>
      <c r="J689" t="s">
        <v>48</v>
      </c>
      <c r="K689" t="s">
        <v>141</v>
      </c>
      <c r="L689" t="s">
        <v>293</v>
      </c>
      <c r="M689" t="s">
        <v>294</v>
      </c>
      <c r="O689" t="s">
        <v>453</v>
      </c>
      <c r="P689" t="s">
        <v>34</v>
      </c>
      <c r="Q689" t="s">
        <v>35</v>
      </c>
      <c r="R689" t="s">
        <v>454</v>
      </c>
      <c r="S689" t="s">
        <v>455</v>
      </c>
      <c r="T689" t="s">
        <v>456</v>
      </c>
      <c r="U689" s="10" t="s">
        <v>1061</v>
      </c>
      <c r="V689" s="10" t="s">
        <v>1084</v>
      </c>
      <c r="W689" s="10" t="s">
        <v>1141</v>
      </c>
      <c r="X689" s="10" t="s">
        <v>1059</v>
      </c>
      <c r="Y689" t="s">
        <v>39</v>
      </c>
      <c r="Z689" t="s">
        <v>40</v>
      </c>
      <c r="AA689" t="s">
        <v>63</v>
      </c>
    </row>
    <row r="690" spans="1:28" x14ac:dyDescent="0.8">
      <c r="A690">
        <v>557</v>
      </c>
      <c r="B690">
        <v>188</v>
      </c>
      <c r="C690" s="2">
        <v>44388</v>
      </c>
      <c r="D690" t="s">
        <v>124</v>
      </c>
      <c r="E690" t="s">
        <v>25</v>
      </c>
      <c r="F690" t="s">
        <v>26</v>
      </c>
      <c r="G690" t="s">
        <v>94</v>
      </c>
      <c r="H690" t="s">
        <v>95</v>
      </c>
      <c r="I690" t="s">
        <v>96</v>
      </c>
      <c r="J690" t="s">
        <v>97</v>
      </c>
      <c r="K690" t="s">
        <v>98</v>
      </c>
      <c r="L690" t="s">
        <v>99</v>
      </c>
      <c r="M690" t="s">
        <v>100</v>
      </c>
      <c r="N690" t="s">
        <v>101</v>
      </c>
      <c r="O690" t="s">
        <v>453</v>
      </c>
      <c r="P690" t="s">
        <v>34</v>
      </c>
      <c r="Q690" t="s">
        <v>35</v>
      </c>
      <c r="R690" t="s">
        <v>454</v>
      </c>
      <c r="S690" t="s">
        <v>455</v>
      </c>
      <c r="T690" t="s">
        <v>456</v>
      </c>
      <c r="U690" s="10" t="s">
        <v>1061</v>
      </c>
      <c r="V690" s="10" t="s">
        <v>1084</v>
      </c>
      <c r="W690" s="10" t="s">
        <v>1141</v>
      </c>
      <c r="X690" s="10" t="s">
        <v>1059</v>
      </c>
      <c r="Y690" t="s">
        <v>39</v>
      </c>
      <c r="Z690" t="s">
        <v>40</v>
      </c>
      <c r="AA690" t="s">
        <v>63</v>
      </c>
    </row>
    <row r="691" spans="1:28" x14ac:dyDescent="0.8">
      <c r="A691">
        <v>1352</v>
      </c>
      <c r="B691">
        <v>2099</v>
      </c>
      <c r="C691" s="2">
        <v>44386</v>
      </c>
      <c r="D691" t="s">
        <v>67</v>
      </c>
      <c r="E691" t="s">
        <v>25</v>
      </c>
      <c r="F691" t="s">
        <v>26</v>
      </c>
      <c r="G691" t="s">
        <v>45</v>
      </c>
      <c r="H691" t="s">
        <v>55</v>
      </c>
      <c r="I691" t="s">
        <v>56</v>
      </c>
      <c r="J691" t="s">
        <v>57</v>
      </c>
      <c r="K691" t="s">
        <v>58</v>
      </c>
      <c r="L691" t="s">
        <v>65</v>
      </c>
      <c r="M691" t="s">
        <v>66</v>
      </c>
      <c r="N691" t="s">
        <v>52</v>
      </c>
      <c r="O691" t="s">
        <v>892</v>
      </c>
      <c r="P691" t="s">
        <v>34</v>
      </c>
      <c r="Q691" t="s">
        <v>561</v>
      </c>
      <c r="R691" t="s">
        <v>893</v>
      </c>
      <c r="S691" t="s">
        <v>131</v>
      </c>
      <c r="T691" t="s">
        <v>894</v>
      </c>
      <c r="U691" s="10" t="s">
        <v>1064</v>
      </c>
      <c r="V691" s="10" t="s">
        <v>1106</v>
      </c>
      <c r="W691" s="10" t="s">
        <v>1141</v>
      </c>
      <c r="X691" s="10" t="s">
        <v>1059</v>
      </c>
      <c r="Y691" t="s">
        <v>39</v>
      </c>
      <c r="Z691" t="s">
        <v>40</v>
      </c>
      <c r="AA691" t="s">
        <v>63</v>
      </c>
    </row>
    <row r="692" spans="1:28" x14ac:dyDescent="0.8">
      <c r="A692">
        <v>1478</v>
      </c>
      <c r="B692">
        <v>2325</v>
      </c>
      <c r="C692" s="2">
        <v>44388</v>
      </c>
      <c r="D692" t="s">
        <v>134</v>
      </c>
      <c r="E692" t="s">
        <v>53</v>
      </c>
      <c r="F692" t="s">
        <v>26</v>
      </c>
      <c r="G692" t="s">
        <v>45</v>
      </c>
      <c r="H692" t="s">
        <v>155</v>
      </c>
      <c r="I692" t="s">
        <v>69</v>
      </c>
      <c r="J692" t="s">
        <v>156</v>
      </c>
      <c r="K692" t="s">
        <v>157</v>
      </c>
      <c r="L692" t="s">
        <v>158</v>
      </c>
      <c r="M692" t="s">
        <v>159</v>
      </c>
      <c r="N692" t="s">
        <v>61</v>
      </c>
      <c r="O692" t="s">
        <v>892</v>
      </c>
      <c r="P692" t="s">
        <v>34</v>
      </c>
      <c r="Q692" t="s">
        <v>561</v>
      </c>
      <c r="R692" t="s">
        <v>893</v>
      </c>
      <c r="S692" t="s">
        <v>131</v>
      </c>
      <c r="T692" t="s">
        <v>894</v>
      </c>
      <c r="U692" s="10" t="s">
        <v>1064</v>
      </c>
      <c r="V692" s="10" t="s">
        <v>1106</v>
      </c>
      <c r="W692" s="10" t="s">
        <v>1141</v>
      </c>
      <c r="X692" s="10" t="s">
        <v>1059</v>
      </c>
      <c r="Y692" t="s">
        <v>39</v>
      </c>
      <c r="Z692" t="s">
        <v>40</v>
      </c>
      <c r="AA692" t="s">
        <v>63</v>
      </c>
    </row>
    <row r="693" spans="1:28" x14ac:dyDescent="0.8">
      <c r="A693">
        <v>225</v>
      </c>
      <c r="B693">
        <v>1126</v>
      </c>
      <c r="C693" s="2">
        <v>44388</v>
      </c>
      <c r="D693" t="s">
        <v>328</v>
      </c>
      <c r="E693" t="s">
        <v>25</v>
      </c>
      <c r="F693" t="s">
        <v>26</v>
      </c>
      <c r="G693" t="s">
        <v>27</v>
      </c>
      <c r="H693" t="s">
        <v>114</v>
      </c>
      <c r="I693" t="s">
        <v>115</v>
      </c>
      <c r="J693" t="s">
        <v>116</v>
      </c>
      <c r="K693" t="s">
        <v>307</v>
      </c>
      <c r="L693" t="s">
        <v>308</v>
      </c>
      <c r="M693" t="s">
        <v>309</v>
      </c>
      <c r="O693" t="s">
        <v>412</v>
      </c>
      <c r="P693" t="s">
        <v>85</v>
      </c>
      <c r="Q693" t="s">
        <v>167</v>
      </c>
      <c r="R693" t="s">
        <v>413</v>
      </c>
      <c r="S693" t="s">
        <v>414</v>
      </c>
      <c r="T693" t="s">
        <v>415</v>
      </c>
      <c r="U693" s="10" t="s">
        <v>1061</v>
      </c>
      <c r="V693" s="10" t="s">
        <v>1083</v>
      </c>
      <c r="W693" s="10" t="s">
        <v>1066</v>
      </c>
      <c r="X693" s="10" t="s">
        <v>1059</v>
      </c>
      <c r="Y693" t="s">
        <v>39</v>
      </c>
      <c r="Z693" t="s">
        <v>40</v>
      </c>
      <c r="AA693" t="s">
        <v>53</v>
      </c>
    </row>
    <row r="694" spans="1:28" x14ac:dyDescent="0.8">
      <c r="A694">
        <v>221</v>
      </c>
      <c r="B694">
        <v>1047</v>
      </c>
      <c r="C694" s="2">
        <v>44388</v>
      </c>
      <c r="D694" t="s">
        <v>328</v>
      </c>
      <c r="E694" t="s">
        <v>25</v>
      </c>
      <c r="F694" t="s">
        <v>26</v>
      </c>
      <c r="G694" t="s">
        <v>27</v>
      </c>
      <c r="H694" t="s">
        <v>114</v>
      </c>
      <c r="I694" t="s">
        <v>115</v>
      </c>
      <c r="J694" t="s">
        <v>120</v>
      </c>
      <c r="K694" t="s">
        <v>121</v>
      </c>
      <c r="L694" t="s">
        <v>122</v>
      </c>
      <c r="M694" t="s">
        <v>123</v>
      </c>
      <c r="O694" t="s">
        <v>412</v>
      </c>
      <c r="P694" t="s">
        <v>85</v>
      </c>
      <c r="Q694" t="s">
        <v>167</v>
      </c>
      <c r="R694" t="s">
        <v>413</v>
      </c>
      <c r="S694" t="s">
        <v>414</v>
      </c>
      <c r="T694" t="s">
        <v>415</v>
      </c>
      <c r="U694" s="10" t="s">
        <v>1061</v>
      </c>
      <c r="V694" s="10" t="s">
        <v>1083</v>
      </c>
      <c r="W694" s="10" t="s">
        <v>1066</v>
      </c>
      <c r="X694" s="10" t="s">
        <v>1059</v>
      </c>
      <c r="Y694" t="s">
        <v>39</v>
      </c>
      <c r="Z694" t="s">
        <v>40</v>
      </c>
      <c r="AA694" t="s">
        <v>53</v>
      </c>
    </row>
    <row r="695" spans="1:28" x14ac:dyDescent="0.8">
      <c r="A695">
        <v>226</v>
      </c>
      <c r="B695">
        <v>1295</v>
      </c>
      <c r="C695" s="2">
        <v>44388</v>
      </c>
      <c r="D695" t="s">
        <v>328</v>
      </c>
      <c r="E695" t="s">
        <v>53</v>
      </c>
      <c r="F695" t="s">
        <v>26</v>
      </c>
      <c r="G695" t="s">
        <v>94</v>
      </c>
      <c r="H695" t="s">
        <v>389</v>
      </c>
      <c r="I695" t="s">
        <v>416</v>
      </c>
      <c r="J695" t="s">
        <v>417</v>
      </c>
      <c r="K695" t="s">
        <v>418</v>
      </c>
      <c r="L695" t="s">
        <v>419</v>
      </c>
      <c r="M695" t="s">
        <v>420</v>
      </c>
      <c r="N695" t="s">
        <v>395</v>
      </c>
      <c r="O695" t="s">
        <v>412</v>
      </c>
      <c r="P695" t="s">
        <v>85</v>
      </c>
      <c r="Q695" t="s">
        <v>167</v>
      </c>
      <c r="R695" t="s">
        <v>413</v>
      </c>
      <c r="S695" t="s">
        <v>414</v>
      </c>
      <c r="T695" t="s">
        <v>415</v>
      </c>
      <c r="U695" s="10" t="s">
        <v>1061</v>
      </c>
      <c r="V695" s="10" t="s">
        <v>1083</v>
      </c>
      <c r="W695" s="10" t="s">
        <v>1066</v>
      </c>
      <c r="X695" s="10" t="s">
        <v>1059</v>
      </c>
      <c r="Y695" t="s">
        <v>39</v>
      </c>
      <c r="Z695" t="s">
        <v>40</v>
      </c>
      <c r="AA695" t="s">
        <v>53</v>
      </c>
    </row>
    <row r="696" spans="1:28" x14ac:dyDescent="0.8">
      <c r="A696">
        <v>146</v>
      </c>
      <c r="B696">
        <v>1092</v>
      </c>
      <c r="C696" s="2">
        <v>44386</v>
      </c>
      <c r="D696" t="s">
        <v>93</v>
      </c>
      <c r="E696" t="s">
        <v>44</v>
      </c>
      <c r="F696" t="s">
        <v>26</v>
      </c>
      <c r="G696" t="s">
        <v>27</v>
      </c>
      <c r="H696" t="s">
        <v>114</v>
      </c>
      <c r="I696" t="s">
        <v>115</v>
      </c>
      <c r="J696" t="s">
        <v>120</v>
      </c>
      <c r="K696" t="s">
        <v>121</v>
      </c>
      <c r="L696" t="s">
        <v>122</v>
      </c>
      <c r="M696" t="s">
        <v>123</v>
      </c>
      <c r="O696" t="s">
        <v>412</v>
      </c>
      <c r="P696" t="s">
        <v>85</v>
      </c>
      <c r="Q696" t="s">
        <v>167</v>
      </c>
      <c r="R696" t="s">
        <v>413</v>
      </c>
      <c r="S696" t="s">
        <v>414</v>
      </c>
      <c r="T696" t="s">
        <v>415</v>
      </c>
      <c r="U696" s="10" t="s">
        <v>1061</v>
      </c>
      <c r="V696" s="10" t="s">
        <v>1083</v>
      </c>
      <c r="W696" s="10" t="s">
        <v>1066</v>
      </c>
      <c r="X696" s="10" t="s">
        <v>1059</v>
      </c>
      <c r="Y696" t="s">
        <v>39</v>
      </c>
      <c r="Z696" t="s">
        <v>40</v>
      </c>
      <c r="AA696" t="s">
        <v>53</v>
      </c>
    </row>
    <row r="697" spans="1:28" x14ac:dyDescent="0.8">
      <c r="A697">
        <v>144</v>
      </c>
      <c r="B697">
        <v>1090</v>
      </c>
      <c r="C697" s="2">
        <v>44386</v>
      </c>
      <c r="D697" t="s">
        <v>93</v>
      </c>
      <c r="E697" t="s">
        <v>63</v>
      </c>
      <c r="F697" t="s">
        <v>26</v>
      </c>
      <c r="G697" t="s">
        <v>45</v>
      </c>
      <c r="H697" t="s">
        <v>55</v>
      </c>
      <c r="I697" t="s">
        <v>249</v>
      </c>
      <c r="J697" t="s">
        <v>250</v>
      </c>
      <c r="K697" t="s">
        <v>251</v>
      </c>
      <c r="L697" t="s">
        <v>112</v>
      </c>
      <c r="M697" t="s">
        <v>317</v>
      </c>
      <c r="N697" t="s">
        <v>61</v>
      </c>
      <c r="O697" t="s">
        <v>412</v>
      </c>
      <c r="P697" t="s">
        <v>85</v>
      </c>
      <c r="Q697" t="s">
        <v>167</v>
      </c>
      <c r="R697" t="s">
        <v>413</v>
      </c>
      <c r="S697" t="s">
        <v>414</v>
      </c>
      <c r="T697" t="s">
        <v>415</v>
      </c>
      <c r="U697" s="10" t="s">
        <v>1061</v>
      </c>
      <c r="V697" s="10" t="s">
        <v>1083</v>
      </c>
      <c r="W697" s="10" t="s">
        <v>1066</v>
      </c>
      <c r="X697" s="10" t="s">
        <v>1059</v>
      </c>
      <c r="Y697" t="s">
        <v>39</v>
      </c>
      <c r="Z697" t="s">
        <v>40</v>
      </c>
      <c r="AA697" t="s">
        <v>53</v>
      </c>
    </row>
    <row r="698" spans="1:28" x14ac:dyDescent="0.8">
      <c r="A698">
        <v>1419</v>
      </c>
      <c r="B698">
        <v>2166</v>
      </c>
      <c r="C698" s="2">
        <v>44387</v>
      </c>
      <c r="D698" t="s">
        <v>173</v>
      </c>
      <c r="E698" t="s">
        <v>63</v>
      </c>
      <c r="F698" t="s">
        <v>26</v>
      </c>
      <c r="G698" t="s">
        <v>27</v>
      </c>
      <c r="H698" t="s">
        <v>114</v>
      </c>
      <c r="I698" t="s">
        <v>115</v>
      </c>
      <c r="J698" t="s">
        <v>185</v>
      </c>
      <c r="K698" t="s">
        <v>186</v>
      </c>
      <c r="L698" t="s">
        <v>421</v>
      </c>
      <c r="M698" t="s">
        <v>422</v>
      </c>
      <c r="O698" t="s">
        <v>412</v>
      </c>
      <c r="P698" t="s">
        <v>85</v>
      </c>
      <c r="Q698" t="s">
        <v>167</v>
      </c>
      <c r="R698" t="s">
        <v>413</v>
      </c>
      <c r="S698" t="s">
        <v>414</v>
      </c>
      <c r="T698" t="s">
        <v>415</v>
      </c>
      <c r="U698" s="10" t="s">
        <v>1061</v>
      </c>
      <c r="V698" s="10" t="s">
        <v>1083</v>
      </c>
      <c r="W698" s="10" t="s">
        <v>1066</v>
      </c>
      <c r="X698" s="10" t="s">
        <v>1059</v>
      </c>
      <c r="Y698" t="s">
        <v>39</v>
      </c>
      <c r="Z698" t="s">
        <v>40</v>
      </c>
      <c r="AA698" t="s">
        <v>63</v>
      </c>
      <c r="AB698" t="s">
        <v>423</v>
      </c>
    </row>
    <row r="699" spans="1:28" x14ac:dyDescent="0.8">
      <c r="A699">
        <v>1418</v>
      </c>
      <c r="B699">
        <v>2165</v>
      </c>
      <c r="C699" s="2">
        <v>44387</v>
      </c>
      <c r="D699" t="s">
        <v>173</v>
      </c>
      <c r="E699" t="s">
        <v>63</v>
      </c>
      <c r="F699" t="s">
        <v>26</v>
      </c>
      <c r="G699" t="s">
        <v>27</v>
      </c>
      <c r="H699" t="s">
        <v>114</v>
      </c>
      <c r="I699" t="s">
        <v>115</v>
      </c>
      <c r="J699" t="s">
        <v>185</v>
      </c>
      <c r="K699" t="s">
        <v>186</v>
      </c>
      <c r="L699" t="s">
        <v>421</v>
      </c>
      <c r="M699" t="s">
        <v>422</v>
      </c>
      <c r="O699" t="s">
        <v>412</v>
      </c>
      <c r="P699" t="s">
        <v>85</v>
      </c>
      <c r="Q699" t="s">
        <v>167</v>
      </c>
      <c r="R699" t="s">
        <v>413</v>
      </c>
      <c r="S699" t="s">
        <v>414</v>
      </c>
      <c r="T699" t="s">
        <v>415</v>
      </c>
      <c r="U699" s="10" t="s">
        <v>1061</v>
      </c>
      <c r="V699" s="10" t="s">
        <v>1083</v>
      </c>
      <c r="W699" s="10" t="s">
        <v>1066</v>
      </c>
      <c r="X699" s="10" t="s">
        <v>1059</v>
      </c>
      <c r="Y699" t="s">
        <v>39</v>
      </c>
      <c r="Z699" t="s">
        <v>40</v>
      </c>
      <c r="AA699" t="s">
        <v>63</v>
      </c>
      <c r="AB699" t="s">
        <v>423</v>
      </c>
    </row>
    <row r="700" spans="1:28" x14ac:dyDescent="0.8">
      <c r="A700">
        <v>1765</v>
      </c>
      <c r="B700">
        <v>1483</v>
      </c>
      <c r="C700" s="2">
        <v>44387</v>
      </c>
      <c r="D700" t="s">
        <v>173</v>
      </c>
      <c r="E700" t="s">
        <v>103</v>
      </c>
      <c r="F700" t="s">
        <v>26</v>
      </c>
      <c r="G700" t="s">
        <v>27</v>
      </c>
      <c r="H700" t="s">
        <v>114</v>
      </c>
      <c r="I700" t="s">
        <v>115</v>
      </c>
      <c r="J700" t="s">
        <v>185</v>
      </c>
      <c r="K700" t="s">
        <v>186</v>
      </c>
      <c r="L700" t="s">
        <v>421</v>
      </c>
      <c r="M700" t="s">
        <v>422</v>
      </c>
      <c r="O700" t="s">
        <v>412</v>
      </c>
      <c r="P700" t="s">
        <v>85</v>
      </c>
      <c r="Q700" t="s">
        <v>167</v>
      </c>
      <c r="R700" t="s">
        <v>413</v>
      </c>
      <c r="S700" t="s">
        <v>414</v>
      </c>
      <c r="T700" t="s">
        <v>415</v>
      </c>
      <c r="U700" s="10" t="s">
        <v>1061</v>
      </c>
      <c r="V700" s="10" t="s">
        <v>1083</v>
      </c>
      <c r="W700" s="10" t="s">
        <v>1066</v>
      </c>
      <c r="X700" s="10" t="s">
        <v>1059</v>
      </c>
      <c r="Y700" t="s">
        <v>39</v>
      </c>
      <c r="Z700" t="s">
        <v>40</v>
      </c>
      <c r="AA700" t="s">
        <v>41</v>
      </c>
    </row>
    <row r="701" spans="1:28" x14ac:dyDescent="0.8">
      <c r="A701">
        <v>1762</v>
      </c>
      <c r="B701">
        <v>1480</v>
      </c>
      <c r="C701" s="2">
        <v>44387</v>
      </c>
      <c r="D701" t="s">
        <v>173</v>
      </c>
      <c r="E701" t="s">
        <v>63</v>
      </c>
      <c r="F701" t="s">
        <v>26</v>
      </c>
      <c r="G701" t="s">
        <v>27</v>
      </c>
      <c r="H701" t="s">
        <v>114</v>
      </c>
      <c r="I701" t="s">
        <v>115</v>
      </c>
      <c r="J701" t="s">
        <v>185</v>
      </c>
      <c r="K701" t="s">
        <v>186</v>
      </c>
      <c r="L701" t="s">
        <v>421</v>
      </c>
      <c r="M701" t="s">
        <v>422</v>
      </c>
      <c r="O701" t="s">
        <v>412</v>
      </c>
      <c r="P701" t="s">
        <v>85</v>
      </c>
      <c r="Q701" t="s">
        <v>167</v>
      </c>
      <c r="R701" t="s">
        <v>413</v>
      </c>
      <c r="S701" t="s">
        <v>414</v>
      </c>
      <c r="T701" t="s">
        <v>415</v>
      </c>
      <c r="U701" s="10" t="s">
        <v>1061</v>
      </c>
      <c r="V701" s="10" t="s">
        <v>1083</v>
      </c>
      <c r="W701" s="10" t="s">
        <v>1066</v>
      </c>
      <c r="X701" s="10" t="s">
        <v>1059</v>
      </c>
      <c r="Y701" t="s">
        <v>39</v>
      </c>
      <c r="Z701" t="s">
        <v>40</v>
      </c>
      <c r="AA701" t="s">
        <v>41</v>
      </c>
    </row>
    <row r="702" spans="1:28" x14ac:dyDescent="0.8">
      <c r="A702">
        <v>1420</v>
      </c>
      <c r="B702">
        <v>2167</v>
      </c>
      <c r="C702" s="2">
        <v>44387</v>
      </c>
      <c r="D702" t="s">
        <v>173</v>
      </c>
      <c r="E702" t="s">
        <v>63</v>
      </c>
      <c r="F702" t="s">
        <v>26</v>
      </c>
      <c r="G702" t="s">
        <v>45</v>
      </c>
      <c r="H702" t="s">
        <v>46</v>
      </c>
      <c r="I702" t="s">
        <v>47</v>
      </c>
      <c r="J702" t="s">
        <v>48</v>
      </c>
      <c r="K702" t="s">
        <v>49</v>
      </c>
      <c r="L702" t="s">
        <v>50</v>
      </c>
      <c r="M702" t="s">
        <v>51</v>
      </c>
      <c r="N702" t="s">
        <v>61</v>
      </c>
      <c r="O702" t="s">
        <v>412</v>
      </c>
      <c r="P702" t="s">
        <v>85</v>
      </c>
      <c r="Q702" t="s">
        <v>167</v>
      </c>
      <c r="R702" t="s">
        <v>413</v>
      </c>
      <c r="S702" t="s">
        <v>414</v>
      </c>
      <c r="T702" t="s">
        <v>415</v>
      </c>
      <c r="U702" s="10" t="s">
        <v>1061</v>
      </c>
      <c r="V702" s="10" t="s">
        <v>1083</v>
      </c>
      <c r="W702" s="10" t="s">
        <v>1066</v>
      </c>
      <c r="X702" s="10" t="s">
        <v>1059</v>
      </c>
      <c r="Y702" t="s">
        <v>39</v>
      </c>
      <c r="Z702" t="s">
        <v>40</v>
      </c>
      <c r="AA702" t="s">
        <v>63</v>
      </c>
    </row>
    <row r="703" spans="1:28" x14ac:dyDescent="0.8">
      <c r="A703">
        <v>1416</v>
      </c>
      <c r="B703">
        <v>2163</v>
      </c>
      <c r="C703" s="2">
        <v>44387</v>
      </c>
      <c r="D703" t="s">
        <v>173</v>
      </c>
      <c r="E703" t="s">
        <v>63</v>
      </c>
      <c r="F703" t="s">
        <v>26</v>
      </c>
      <c r="G703" t="s">
        <v>45</v>
      </c>
      <c r="H703" t="s">
        <v>55</v>
      </c>
      <c r="I703" t="s">
        <v>249</v>
      </c>
      <c r="J703" t="s">
        <v>281</v>
      </c>
      <c r="K703" t="s">
        <v>282</v>
      </c>
      <c r="L703" t="s">
        <v>112</v>
      </c>
      <c r="M703" t="s">
        <v>283</v>
      </c>
      <c r="N703" t="s">
        <v>52</v>
      </c>
      <c r="O703" t="s">
        <v>412</v>
      </c>
      <c r="P703" t="s">
        <v>85</v>
      </c>
      <c r="Q703" t="s">
        <v>167</v>
      </c>
      <c r="R703" t="s">
        <v>413</v>
      </c>
      <c r="S703" t="s">
        <v>414</v>
      </c>
      <c r="T703" t="s">
        <v>415</v>
      </c>
      <c r="U703" s="10" t="s">
        <v>1061</v>
      </c>
      <c r="V703" s="10" t="s">
        <v>1083</v>
      </c>
      <c r="W703" s="10" t="s">
        <v>1066</v>
      </c>
      <c r="X703" s="10" t="s">
        <v>1059</v>
      </c>
      <c r="Y703" t="s">
        <v>39</v>
      </c>
      <c r="Z703" t="s">
        <v>40</v>
      </c>
      <c r="AA703" t="s">
        <v>63</v>
      </c>
    </row>
    <row r="704" spans="1:28" x14ac:dyDescent="0.8">
      <c r="A704">
        <v>182</v>
      </c>
      <c r="B704">
        <v>1338</v>
      </c>
      <c r="C704" s="2">
        <v>44388</v>
      </c>
      <c r="D704" t="s">
        <v>235</v>
      </c>
      <c r="E704" t="s">
        <v>53</v>
      </c>
      <c r="F704" t="s">
        <v>26</v>
      </c>
      <c r="G704" t="s">
        <v>27</v>
      </c>
      <c r="H704" t="s">
        <v>114</v>
      </c>
      <c r="I704" t="s">
        <v>115</v>
      </c>
      <c r="J704" t="s">
        <v>116</v>
      </c>
      <c r="K704" t="s">
        <v>307</v>
      </c>
      <c r="L704" t="s">
        <v>308</v>
      </c>
      <c r="M704" t="s">
        <v>309</v>
      </c>
      <c r="O704" t="s">
        <v>412</v>
      </c>
      <c r="P704" t="s">
        <v>85</v>
      </c>
      <c r="Q704" t="s">
        <v>167</v>
      </c>
      <c r="R704" t="s">
        <v>413</v>
      </c>
      <c r="S704" t="s">
        <v>414</v>
      </c>
      <c r="T704" t="s">
        <v>415</v>
      </c>
      <c r="U704" s="10" t="s">
        <v>1061</v>
      </c>
      <c r="V704" s="10" t="s">
        <v>1083</v>
      </c>
      <c r="W704" s="10" t="s">
        <v>1066</v>
      </c>
      <c r="X704" s="10" t="s">
        <v>1059</v>
      </c>
      <c r="Y704" t="s">
        <v>39</v>
      </c>
      <c r="Z704" t="s">
        <v>40</v>
      </c>
      <c r="AA704" t="s">
        <v>53</v>
      </c>
    </row>
    <row r="705" spans="1:28" x14ac:dyDescent="0.8">
      <c r="A705">
        <v>1657</v>
      </c>
      <c r="B705">
        <v>428</v>
      </c>
      <c r="C705" s="2">
        <v>44388</v>
      </c>
      <c r="D705" t="s">
        <v>235</v>
      </c>
      <c r="E705" t="s">
        <v>63</v>
      </c>
      <c r="F705" t="s">
        <v>26</v>
      </c>
      <c r="G705" t="s">
        <v>27</v>
      </c>
      <c r="H705" t="s">
        <v>114</v>
      </c>
      <c r="I705" t="s">
        <v>115</v>
      </c>
      <c r="J705" t="s">
        <v>185</v>
      </c>
      <c r="K705" t="s">
        <v>186</v>
      </c>
      <c r="L705" t="s">
        <v>421</v>
      </c>
      <c r="M705" t="s">
        <v>422</v>
      </c>
      <c r="O705" t="s">
        <v>412</v>
      </c>
      <c r="P705" t="s">
        <v>85</v>
      </c>
      <c r="Q705" t="s">
        <v>167</v>
      </c>
      <c r="R705" t="s">
        <v>413</v>
      </c>
      <c r="S705" t="s">
        <v>414</v>
      </c>
      <c r="T705" t="s">
        <v>415</v>
      </c>
      <c r="U705" s="10" t="s">
        <v>1061</v>
      </c>
      <c r="V705" s="10" t="s">
        <v>1083</v>
      </c>
      <c r="W705" s="10" t="s">
        <v>1066</v>
      </c>
      <c r="X705" s="10" t="s">
        <v>1059</v>
      </c>
      <c r="Y705" t="s">
        <v>39</v>
      </c>
      <c r="Z705" t="s">
        <v>40</v>
      </c>
      <c r="AA705" t="s">
        <v>41</v>
      </c>
    </row>
    <row r="706" spans="1:28" x14ac:dyDescent="0.8">
      <c r="A706">
        <v>1583</v>
      </c>
      <c r="B706">
        <v>326</v>
      </c>
      <c r="C706" s="2">
        <v>44388</v>
      </c>
      <c r="D706" t="s">
        <v>235</v>
      </c>
      <c r="E706" t="s">
        <v>53</v>
      </c>
      <c r="F706" t="s">
        <v>26</v>
      </c>
      <c r="G706" t="s">
        <v>27</v>
      </c>
      <c r="H706" t="s">
        <v>114</v>
      </c>
      <c r="I706" t="s">
        <v>115</v>
      </c>
      <c r="J706" t="s">
        <v>174</v>
      </c>
      <c r="K706" t="s">
        <v>175</v>
      </c>
      <c r="L706" t="s">
        <v>176</v>
      </c>
      <c r="M706" t="s">
        <v>177</v>
      </c>
      <c r="O706" t="s">
        <v>412</v>
      </c>
      <c r="P706" t="s">
        <v>85</v>
      </c>
      <c r="Q706" t="s">
        <v>167</v>
      </c>
      <c r="R706" t="s">
        <v>413</v>
      </c>
      <c r="S706" t="s">
        <v>414</v>
      </c>
      <c r="T706" t="s">
        <v>415</v>
      </c>
      <c r="U706" s="10" t="s">
        <v>1061</v>
      </c>
      <c r="V706" s="10" t="s">
        <v>1083</v>
      </c>
      <c r="W706" s="10" t="s">
        <v>1066</v>
      </c>
      <c r="X706" s="10" t="s">
        <v>1059</v>
      </c>
      <c r="Y706" t="s">
        <v>39</v>
      </c>
      <c r="Z706" t="s">
        <v>40</v>
      </c>
      <c r="AA706" t="s">
        <v>125</v>
      </c>
    </row>
    <row r="707" spans="1:28" x14ac:dyDescent="0.8">
      <c r="A707">
        <v>1651</v>
      </c>
      <c r="B707">
        <v>422</v>
      </c>
      <c r="C707" s="2">
        <v>44388</v>
      </c>
      <c r="D707" t="s">
        <v>235</v>
      </c>
      <c r="E707" t="s">
        <v>53</v>
      </c>
      <c r="F707" t="s">
        <v>26</v>
      </c>
      <c r="G707" t="s">
        <v>45</v>
      </c>
      <c r="H707" t="s">
        <v>68</v>
      </c>
      <c r="I707" t="s">
        <v>69</v>
      </c>
      <c r="J707" t="s">
        <v>70</v>
      </c>
      <c r="K707" t="s">
        <v>71</v>
      </c>
      <c r="L707" t="s">
        <v>72</v>
      </c>
      <c r="M707" t="s">
        <v>73</v>
      </c>
      <c r="N707" t="s">
        <v>61</v>
      </c>
      <c r="O707" t="s">
        <v>412</v>
      </c>
      <c r="P707" t="s">
        <v>85</v>
      </c>
      <c r="Q707" t="s">
        <v>167</v>
      </c>
      <c r="R707" t="s">
        <v>413</v>
      </c>
      <c r="S707" t="s">
        <v>414</v>
      </c>
      <c r="T707" t="s">
        <v>415</v>
      </c>
      <c r="U707" s="10" t="s">
        <v>1061</v>
      </c>
      <c r="V707" s="10" t="s">
        <v>1083</v>
      </c>
      <c r="W707" s="10" t="s">
        <v>1066</v>
      </c>
      <c r="X707" s="10" t="s">
        <v>1059</v>
      </c>
      <c r="Y707" t="s">
        <v>39</v>
      </c>
      <c r="Z707" t="s">
        <v>40</v>
      </c>
      <c r="AA707" t="s">
        <v>125</v>
      </c>
    </row>
    <row r="708" spans="1:28" x14ac:dyDescent="0.8">
      <c r="A708">
        <v>531</v>
      </c>
      <c r="B708">
        <v>72</v>
      </c>
      <c r="C708" s="2">
        <v>44388</v>
      </c>
      <c r="D708" t="s">
        <v>235</v>
      </c>
      <c r="E708" t="s">
        <v>25</v>
      </c>
      <c r="F708" t="s">
        <v>26</v>
      </c>
      <c r="G708" t="s">
        <v>45</v>
      </c>
      <c r="H708" t="s">
        <v>46</v>
      </c>
      <c r="I708" t="s">
        <v>47</v>
      </c>
      <c r="J708" t="s">
        <v>48</v>
      </c>
      <c r="K708" t="s">
        <v>49</v>
      </c>
      <c r="L708" t="s">
        <v>91</v>
      </c>
      <c r="M708" t="s">
        <v>92</v>
      </c>
      <c r="N708" t="s">
        <v>61</v>
      </c>
      <c r="O708" t="s">
        <v>412</v>
      </c>
      <c r="P708" t="s">
        <v>85</v>
      </c>
      <c r="Q708" t="s">
        <v>167</v>
      </c>
      <c r="R708" t="s">
        <v>413</v>
      </c>
      <c r="S708" t="s">
        <v>414</v>
      </c>
      <c r="T708" t="s">
        <v>415</v>
      </c>
      <c r="U708" s="10" t="s">
        <v>1061</v>
      </c>
      <c r="V708" s="10" t="s">
        <v>1083</v>
      </c>
      <c r="W708" s="10" t="s">
        <v>1066</v>
      </c>
      <c r="X708" s="10" t="s">
        <v>1059</v>
      </c>
      <c r="Y708" t="s">
        <v>39</v>
      </c>
      <c r="Z708" t="s">
        <v>40</v>
      </c>
      <c r="AA708" t="s">
        <v>63</v>
      </c>
    </row>
    <row r="709" spans="1:28" x14ac:dyDescent="0.8">
      <c r="A709">
        <v>175</v>
      </c>
      <c r="B709">
        <v>1261</v>
      </c>
      <c r="C709" s="2">
        <v>44388</v>
      </c>
      <c r="D709" t="s">
        <v>235</v>
      </c>
      <c r="E709" t="s">
        <v>25</v>
      </c>
      <c r="F709" t="s">
        <v>26</v>
      </c>
      <c r="G709" t="s">
        <v>45</v>
      </c>
      <c r="H709" t="s">
        <v>46</v>
      </c>
      <c r="I709" t="s">
        <v>47</v>
      </c>
      <c r="J709" t="s">
        <v>48</v>
      </c>
      <c r="K709" t="s">
        <v>141</v>
      </c>
      <c r="L709" t="s">
        <v>142</v>
      </c>
      <c r="M709" t="s">
        <v>143</v>
      </c>
      <c r="N709" t="s">
        <v>61</v>
      </c>
      <c r="O709" t="s">
        <v>412</v>
      </c>
      <c r="P709" t="s">
        <v>85</v>
      </c>
      <c r="Q709" t="s">
        <v>167</v>
      </c>
      <c r="R709" t="s">
        <v>413</v>
      </c>
      <c r="S709" t="s">
        <v>414</v>
      </c>
      <c r="T709" t="s">
        <v>415</v>
      </c>
      <c r="U709" s="10" t="s">
        <v>1061</v>
      </c>
      <c r="V709" s="10" t="s">
        <v>1083</v>
      </c>
      <c r="W709" s="10" t="s">
        <v>1066</v>
      </c>
      <c r="X709" s="10" t="s">
        <v>1059</v>
      </c>
      <c r="Y709" t="s">
        <v>39</v>
      </c>
      <c r="Z709" t="s">
        <v>40</v>
      </c>
      <c r="AA709" t="s">
        <v>53</v>
      </c>
    </row>
    <row r="710" spans="1:28" x14ac:dyDescent="0.8">
      <c r="A710">
        <v>799</v>
      </c>
      <c r="B710">
        <v>1328</v>
      </c>
      <c r="C710" s="2">
        <v>44387</v>
      </c>
      <c r="D710" t="s">
        <v>149</v>
      </c>
      <c r="E710" t="s">
        <v>103</v>
      </c>
      <c r="F710" t="s">
        <v>26</v>
      </c>
      <c r="G710" t="s">
        <v>27</v>
      </c>
      <c r="H710" t="s">
        <v>114</v>
      </c>
      <c r="I710" t="s">
        <v>115</v>
      </c>
      <c r="J710" t="s">
        <v>116</v>
      </c>
      <c r="K710" t="s">
        <v>307</v>
      </c>
      <c r="L710" t="s">
        <v>308</v>
      </c>
      <c r="M710" t="s">
        <v>309</v>
      </c>
      <c r="O710" t="s">
        <v>412</v>
      </c>
      <c r="P710" t="s">
        <v>85</v>
      </c>
      <c r="Q710" t="s">
        <v>167</v>
      </c>
      <c r="R710" t="s">
        <v>413</v>
      </c>
      <c r="S710" t="s">
        <v>414</v>
      </c>
      <c r="T710" t="s">
        <v>415</v>
      </c>
      <c r="U710" s="10" t="s">
        <v>1061</v>
      </c>
      <c r="V710" s="10" t="s">
        <v>1083</v>
      </c>
      <c r="W710" s="10" t="s">
        <v>1066</v>
      </c>
      <c r="X710" s="10" t="s">
        <v>1059</v>
      </c>
      <c r="Y710" t="s">
        <v>39</v>
      </c>
      <c r="Z710" t="s">
        <v>40</v>
      </c>
      <c r="AA710" t="s">
        <v>63</v>
      </c>
    </row>
    <row r="711" spans="1:28" x14ac:dyDescent="0.8">
      <c r="A711">
        <v>806</v>
      </c>
      <c r="B711">
        <v>793</v>
      </c>
      <c r="C711" s="2">
        <v>44387</v>
      </c>
      <c r="D711" t="s">
        <v>149</v>
      </c>
      <c r="E711" t="s">
        <v>103</v>
      </c>
      <c r="F711" t="s">
        <v>26</v>
      </c>
      <c r="G711" t="s">
        <v>27</v>
      </c>
      <c r="H711" t="s">
        <v>114</v>
      </c>
      <c r="I711" t="s">
        <v>115</v>
      </c>
      <c r="J711" t="s">
        <v>174</v>
      </c>
      <c r="K711" t="s">
        <v>175</v>
      </c>
      <c r="L711" t="s">
        <v>176</v>
      </c>
      <c r="M711" t="s">
        <v>177</v>
      </c>
      <c r="O711" t="s">
        <v>412</v>
      </c>
      <c r="P711" t="s">
        <v>85</v>
      </c>
      <c r="Q711" t="s">
        <v>167</v>
      </c>
      <c r="R711" t="s">
        <v>413</v>
      </c>
      <c r="S711" t="s">
        <v>414</v>
      </c>
      <c r="T711" t="s">
        <v>415</v>
      </c>
      <c r="U711" s="10" t="s">
        <v>1061</v>
      </c>
      <c r="V711" s="10" t="s">
        <v>1083</v>
      </c>
      <c r="W711" s="10" t="s">
        <v>1066</v>
      </c>
      <c r="X711" s="10" t="s">
        <v>1059</v>
      </c>
      <c r="Y711" t="s">
        <v>39</v>
      </c>
      <c r="Z711" t="s">
        <v>40</v>
      </c>
      <c r="AA711" t="s">
        <v>63</v>
      </c>
    </row>
    <row r="712" spans="1:28" x14ac:dyDescent="0.8">
      <c r="A712">
        <v>810</v>
      </c>
      <c r="B712">
        <v>797</v>
      </c>
      <c r="C712" s="2">
        <v>44387</v>
      </c>
      <c r="D712" t="s">
        <v>149</v>
      </c>
      <c r="E712" t="s">
        <v>103</v>
      </c>
      <c r="F712" t="s">
        <v>26</v>
      </c>
      <c r="G712" t="s">
        <v>27</v>
      </c>
      <c r="H712" t="s">
        <v>114</v>
      </c>
      <c r="I712" t="s">
        <v>115</v>
      </c>
      <c r="J712" t="s">
        <v>116</v>
      </c>
      <c r="K712" t="s">
        <v>117</v>
      </c>
      <c r="L712" t="s">
        <v>195</v>
      </c>
      <c r="M712" t="s">
        <v>196</v>
      </c>
      <c r="O712" t="s">
        <v>412</v>
      </c>
      <c r="P712" t="s">
        <v>85</v>
      </c>
      <c r="Q712" t="s">
        <v>167</v>
      </c>
      <c r="R712" t="s">
        <v>413</v>
      </c>
      <c r="S712" t="s">
        <v>414</v>
      </c>
      <c r="T712" t="s">
        <v>415</v>
      </c>
      <c r="U712" s="10" t="s">
        <v>1061</v>
      </c>
      <c r="V712" s="10" t="s">
        <v>1083</v>
      </c>
      <c r="W712" s="10" t="s">
        <v>1066</v>
      </c>
      <c r="X712" s="10" t="s">
        <v>1059</v>
      </c>
      <c r="Y712" t="s">
        <v>39</v>
      </c>
      <c r="Z712" t="s">
        <v>40</v>
      </c>
      <c r="AA712" t="s">
        <v>63</v>
      </c>
    </row>
    <row r="713" spans="1:28" x14ac:dyDescent="0.8">
      <c r="A713">
        <v>805</v>
      </c>
      <c r="B713">
        <v>1334</v>
      </c>
      <c r="C713" s="2">
        <v>44387</v>
      </c>
      <c r="D713" t="s">
        <v>149</v>
      </c>
      <c r="E713" t="s">
        <v>103</v>
      </c>
      <c r="F713" t="s">
        <v>26</v>
      </c>
      <c r="G713" t="s">
        <v>27</v>
      </c>
      <c r="H713" t="s">
        <v>114</v>
      </c>
      <c r="I713" t="s">
        <v>115</v>
      </c>
      <c r="J713" t="s">
        <v>116</v>
      </c>
      <c r="K713" t="s">
        <v>117</v>
      </c>
      <c r="L713" t="s">
        <v>195</v>
      </c>
      <c r="M713" t="s">
        <v>196</v>
      </c>
      <c r="O713" t="s">
        <v>412</v>
      </c>
      <c r="P713" t="s">
        <v>85</v>
      </c>
      <c r="Q713" t="s">
        <v>167</v>
      </c>
      <c r="R713" t="s">
        <v>413</v>
      </c>
      <c r="S713" t="s">
        <v>414</v>
      </c>
      <c r="T713" t="s">
        <v>415</v>
      </c>
      <c r="U713" s="10" t="s">
        <v>1061</v>
      </c>
      <c r="V713" s="10" t="s">
        <v>1083</v>
      </c>
      <c r="W713" s="10" t="s">
        <v>1066</v>
      </c>
      <c r="X713" s="10" t="s">
        <v>1059</v>
      </c>
      <c r="Y713" t="s">
        <v>39</v>
      </c>
      <c r="Z713" t="s">
        <v>40</v>
      </c>
      <c r="AA713" t="s">
        <v>63</v>
      </c>
    </row>
    <row r="714" spans="1:28" x14ac:dyDescent="0.8">
      <c r="A714">
        <v>839</v>
      </c>
      <c r="B714">
        <v>1416</v>
      </c>
      <c r="C714" s="2">
        <v>44387</v>
      </c>
      <c r="D714" t="s">
        <v>149</v>
      </c>
      <c r="E714" t="s">
        <v>63</v>
      </c>
      <c r="F714" t="s">
        <v>26</v>
      </c>
      <c r="G714" t="s">
        <v>27</v>
      </c>
      <c r="H714" t="s">
        <v>28</v>
      </c>
      <c r="I714" t="s">
        <v>29</v>
      </c>
      <c r="K714" t="s">
        <v>30</v>
      </c>
      <c r="L714" t="s">
        <v>142</v>
      </c>
      <c r="M714" t="s">
        <v>424</v>
      </c>
      <c r="O714" t="s">
        <v>412</v>
      </c>
      <c r="P714" t="s">
        <v>85</v>
      </c>
      <c r="Q714" t="s">
        <v>167</v>
      </c>
      <c r="R714" t="s">
        <v>413</v>
      </c>
      <c r="S714" t="s">
        <v>414</v>
      </c>
      <c r="T714" t="s">
        <v>415</v>
      </c>
      <c r="U714" s="10" t="s">
        <v>1061</v>
      </c>
      <c r="V714" s="10" t="s">
        <v>1083</v>
      </c>
      <c r="W714" s="10" t="s">
        <v>1066</v>
      </c>
      <c r="X714" s="10" t="s">
        <v>1059</v>
      </c>
      <c r="Y714" t="s">
        <v>39</v>
      </c>
      <c r="Z714" t="s">
        <v>40</v>
      </c>
      <c r="AA714" t="s">
        <v>63</v>
      </c>
      <c r="AB714" t="s">
        <v>425</v>
      </c>
    </row>
    <row r="715" spans="1:28" x14ac:dyDescent="0.8">
      <c r="A715">
        <v>840</v>
      </c>
      <c r="B715">
        <v>1417</v>
      </c>
      <c r="C715" s="2">
        <v>44387</v>
      </c>
      <c r="D715" t="s">
        <v>149</v>
      </c>
      <c r="E715" t="s">
        <v>63</v>
      </c>
      <c r="F715" t="s">
        <v>26</v>
      </c>
      <c r="G715" t="s">
        <v>27</v>
      </c>
      <c r="H715" t="s">
        <v>28</v>
      </c>
      <c r="I715" t="s">
        <v>29</v>
      </c>
      <c r="K715" t="s">
        <v>30</v>
      </c>
      <c r="L715" t="s">
        <v>426</v>
      </c>
      <c r="M715" t="s">
        <v>427</v>
      </c>
      <c r="O715" t="s">
        <v>412</v>
      </c>
      <c r="P715" t="s">
        <v>85</v>
      </c>
      <c r="Q715" t="s">
        <v>167</v>
      </c>
      <c r="R715" t="s">
        <v>413</v>
      </c>
      <c r="S715" t="s">
        <v>414</v>
      </c>
      <c r="T715" t="s">
        <v>415</v>
      </c>
      <c r="U715" s="10" t="s">
        <v>1061</v>
      </c>
      <c r="V715" s="10" t="s">
        <v>1083</v>
      </c>
      <c r="W715" s="10" t="s">
        <v>1066</v>
      </c>
      <c r="X715" s="10" t="s">
        <v>1059</v>
      </c>
      <c r="Y715" t="s">
        <v>39</v>
      </c>
      <c r="Z715" t="s">
        <v>40</v>
      </c>
      <c r="AA715" t="s">
        <v>63</v>
      </c>
      <c r="AB715" t="s">
        <v>425</v>
      </c>
    </row>
    <row r="716" spans="1:28" x14ac:dyDescent="0.8">
      <c r="A716">
        <v>813</v>
      </c>
      <c r="B716">
        <v>1390</v>
      </c>
      <c r="C716" s="2">
        <v>44387</v>
      </c>
      <c r="D716" t="s">
        <v>149</v>
      </c>
      <c r="E716" t="s">
        <v>103</v>
      </c>
      <c r="F716" t="s">
        <v>26</v>
      </c>
      <c r="G716" t="s">
        <v>27</v>
      </c>
      <c r="H716" t="s">
        <v>28</v>
      </c>
      <c r="I716" t="s">
        <v>29</v>
      </c>
      <c r="K716" t="s">
        <v>30</v>
      </c>
      <c r="L716" t="s">
        <v>426</v>
      </c>
      <c r="M716" t="s">
        <v>427</v>
      </c>
      <c r="O716" t="s">
        <v>412</v>
      </c>
      <c r="P716" t="s">
        <v>85</v>
      </c>
      <c r="Q716" t="s">
        <v>167</v>
      </c>
      <c r="R716" t="s">
        <v>413</v>
      </c>
      <c r="S716" t="s">
        <v>414</v>
      </c>
      <c r="T716" t="s">
        <v>415</v>
      </c>
      <c r="U716" s="10" t="s">
        <v>1061</v>
      </c>
      <c r="V716" s="10" t="s">
        <v>1083</v>
      </c>
      <c r="W716" s="10" t="s">
        <v>1066</v>
      </c>
      <c r="X716" s="10" t="s">
        <v>1059</v>
      </c>
      <c r="Y716" t="s">
        <v>39</v>
      </c>
      <c r="Z716" t="s">
        <v>40</v>
      </c>
      <c r="AA716" t="s">
        <v>63</v>
      </c>
    </row>
    <row r="717" spans="1:28" x14ac:dyDescent="0.8">
      <c r="A717">
        <v>1266</v>
      </c>
      <c r="B717">
        <v>1913</v>
      </c>
      <c r="C717" s="2">
        <v>44387</v>
      </c>
      <c r="D717" t="s">
        <v>102</v>
      </c>
      <c r="E717" t="s">
        <v>25</v>
      </c>
      <c r="F717" t="s">
        <v>26</v>
      </c>
      <c r="G717" t="s">
        <v>45</v>
      </c>
      <c r="H717" t="s">
        <v>55</v>
      </c>
      <c r="I717" t="s">
        <v>56</v>
      </c>
      <c r="J717" t="s">
        <v>57</v>
      </c>
      <c r="K717" t="s">
        <v>58</v>
      </c>
      <c r="L717" t="s">
        <v>65</v>
      </c>
      <c r="M717" t="s">
        <v>66</v>
      </c>
      <c r="N717" t="s">
        <v>52</v>
      </c>
      <c r="O717" t="s">
        <v>412</v>
      </c>
      <c r="P717" t="s">
        <v>85</v>
      </c>
      <c r="Q717" t="s">
        <v>167</v>
      </c>
      <c r="R717" t="s">
        <v>413</v>
      </c>
      <c r="S717" t="s">
        <v>414</v>
      </c>
      <c r="T717" t="s">
        <v>415</v>
      </c>
      <c r="U717" s="10" t="s">
        <v>1061</v>
      </c>
      <c r="V717" s="10" t="s">
        <v>1083</v>
      </c>
      <c r="W717" s="10" t="s">
        <v>1066</v>
      </c>
      <c r="X717" s="10" t="s">
        <v>1059</v>
      </c>
      <c r="Y717" t="s">
        <v>39</v>
      </c>
      <c r="Z717" t="s">
        <v>40</v>
      </c>
      <c r="AA717" t="s">
        <v>63</v>
      </c>
      <c r="AB717" t="s">
        <v>428</v>
      </c>
    </row>
    <row r="718" spans="1:28" x14ac:dyDescent="0.8">
      <c r="A718">
        <v>1267</v>
      </c>
      <c r="B718">
        <v>1914</v>
      </c>
      <c r="C718" s="2">
        <v>44387</v>
      </c>
      <c r="D718" t="s">
        <v>102</v>
      </c>
      <c r="E718" t="s">
        <v>25</v>
      </c>
      <c r="F718" t="s">
        <v>26</v>
      </c>
      <c r="G718" t="s">
        <v>45</v>
      </c>
      <c r="H718" t="s">
        <v>46</v>
      </c>
      <c r="I718" t="s">
        <v>47</v>
      </c>
      <c r="J718" t="s">
        <v>48</v>
      </c>
      <c r="K718" t="s">
        <v>141</v>
      </c>
      <c r="L718" t="s">
        <v>142</v>
      </c>
      <c r="M718" t="s">
        <v>143</v>
      </c>
      <c r="N718" t="s">
        <v>61</v>
      </c>
      <c r="O718" t="s">
        <v>412</v>
      </c>
      <c r="P718" t="s">
        <v>85</v>
      </c>
      <c r="Q718" t="s">
        <v>167</v>
      </c>
      <c r="R718" t="s">
        <v>413</v>
      </c>
      <c r="S718" t="s">
        <v>414</v>
      </c>
      <c r="T718" t="s">
        <v>415</v>
      </c>
      <c r="U718" s="10" t="s">
        <v>1061</v>
      </c>
      <c r="V718" s="10" t="s">
        <v>1083</v>
      </c>
      <c r="W718" s="10" t="s">
        <v>1066</v>
      </c>
      <c r="X718" s="10" t="s">
        <v>1059</v>
      </c>
      <c r="Y718" t="s">
        <v>39</v>
      </c>
      <c r="Z718" t="s">
        <v>40</v>
      </c>
      <c r="AA718" t="s">
        <v>63</v>
      </c>
      <c r="AB718" t="s">
        <v>428</v>
      </c>
    </row>
    <row r="719" spans="1:28" x14ac:dyDescent="0.8">
      <c r="A719">
        <v>1268</v>
      </c>
      <c r="B719">
        <v>1915</v>
      </c>
      <c r="C719" s="2">
        <v>44387</v>
      </c>
      <c r="D719" t="s">
        <v>102</v>
      </c>
      <c r="E719" t="s">
        <v>25</v>
      </c>
      <c r="F719" t="s">
        <v>26</v>
      </c>
      <c r="G719" t="s">
        <v>45</v>
      </c>
      <c r="H719" t="s">
        <v>55</v>
      </c>
      <c r="I719" t="s">
        <v>249</v>
      </c>
      <c r="J719" t="s">
        <v>281</v>
      </c>
      <c r="K719" t="s">
        <v>282</v>
      </c>
      <c r="L719" t="s">
        <v>112</v>
      </c>
      <c r="M719" t="s">
        <v>283</v>
      </c>
      <c r="N719" t="s">
        <v>52</v>
      </c>
      <c r="O719" t="s">
        <v>412</v>
      </c>
      <c r="P719" t="s">
        <v>85</v>
      </c>
      <c r="Q719" t="s">
        <v>167</v>
      </c>
      <c r="R719" t="s">
        <v>413</v>
      </c>
      <c r="S719" t="s">
        <v>414</v>
      </c>
      <c r="T719" t="s">
        <v>415</v>
      </c>
      <c r="U719" s="10" t="s">
        <v>1061</v>
      </c>
      <c r="V719" s="10" t="s">
        <v>1083</v>
      </c>
      <c r="W719" s="10" t="s">
        <v>1066</v>
      </c>
      <c r="X719" s="10" t="s">
        <v>1059</v>
      </c>
      <c r="Y719" t="s">
        <v>39</v>
      </c>
      <c r="Z719" t="s">
        <v>40</v>
      </c>
      <c r="AA719" t="s">
        <v>63</v>
      </c>
      <c r="AB719" t="s">
        <v>428</v>
      </c>
    </row>
    <row r="720" spans="1:28" x14ac:dyDescent="0.8">
      <c r="A720">
        <v>1084</v>
      </c>
      <c r="B720">
        <v>1136</v>
      </c>
      <c r="C720" s="2">
        <v>44387</v>
      </c>
      <c r="D720" t="s">
        <v>54</v>
      </c>
      <c r="E720" t="s">
        <v>25</v>
      </c>
      <c r="F720" t="s">
        <v>26</v>
      </c>
      <c r="G720" t="s">
        <v>45</v>
      </c>
      <c r="H720" t="s">
        <v>55</v>
      </c>
      <c r="I720" t="s">
        <v>56</v>
      </c>
      <c r="J720" t="s">
        <v>57</v>
      </c>
      <c r="K720" t="s">
        <v>58</v>
      </c>
      <c r="L720" t="s">
        <v>65</v>
      </c>
      <c r="M720" t="s">
        <v>66</v>
      </c>
      <c r="N720" t="s">
        <v>52</v>
      </c>
      <c r="O720" t="s">
        <v>412</v>
      </c>
      <c r="P720" t="s">
        <v>85</v>
      </c>
      <c r="Q720" t="s">
        <v>167</v>
      </c>
      <c r="R720" t="s">
        <v>413</v>
      </c>
      <c r="S720" t="s">
        <v>414</v>
      </c>
      <c r="T720" t="s">
        <v>415</v>
      </c>
      <c r="U720" s="10" t="s">
        <v>1061</v>
      </c>
      <c r="V720" s="10" t="s">
        <v>1083</v>
      </c>
      <c r="W720" s="10" t="s">
        <v>1066</v>
      </c>
      <c r="X720" s="10" t="s">
        <v>1059</v>
      </c>
      <c r="Y720" t="s">
        <v>39</v>
      </c>
      <c r="Z720" t="s">
        <v>40</v>
      </c>
      <c r="AA720" t="s">
        <v>63</v>
      </c>
    </row>
    <row r="721" spans="1:28" x14ac:dyDescent="0.8">
      <c r="A721">
        <v>749</v>
      </c>
      <c r="B721">
        <v>1230</v>
      </c>
      <c r="C721" s="2">
        <v>44385</v>
      </c>
      <c r="D721" t="s">
        <v>108</v>
      </c>
      <c r="E721" t="s">
        <v>25</v>
      </c>
      <c r="F721" t="s">
        <v>26</v>
      </c>
      <c r="G721" t="s">
        <v>27</v>
      </c>
      <c r="H721" t="s">
        <v>114</v>
      </c>
      <c r="I721" t="s">
        <v>115</v>
      </c>
      <c r="J721" t="s">
        <v>116</v>
      </c>
      <c r="K721" t="s">
        <v>117</v>
      </c>
      <c r="L721" t="s">
        <v>118</v>
      </c>
      <c r="M721" t="s">
        <v>119</v>
      </c>
      <c r="O721" t="s">
        <v>412</v>
      </c>
      <c r="P721" t="s">
        <v>85</v>
      </c>
      <c r="Q721" t="s">
        <v>167</v>
      </c>
      <c r="R721" t="s">
        <v>413</v>
      </c>
      <c r="S721" t="s">
        <v>414</v>
      </c>
      <c r="T721" t="s">
        <v>415</v>
      </c>
      <c r="U721" s="10" t="s">
        <v>1061</v>
      </c>
      <c r="V721" s="10" t="s">
        <v>1083</v>
      </c>
      <c r="W721" s="10" t="s">
        <v>1066</v>
      </c>
      <c r="X721" s="10" t="s">
        <v>1059</v>
      </c>
      <c r="Y721" t="s">
        <v>39</v>
      </c>
      <c r="Z721" t="s">
        <v>202</v>
      </c>
      <c r="AA721" t="s">
        <v>63</v>
      </c>
      <c r="AB721" t="s">
        <v>429</v>
      </c>
    </row>
    <row r="722" spans="1:28" x14ac:dyDescent="0.8">
      <c r="A722">
        <v>707</v>
      </c>
      <c r="B722">
        <v>1140</v>
      </c>
      <c r="C722" s="2">
        <v>44385</v>
      </c>
      <c r="D722" t="s">
        <v>133</v>
      </c>
      <c r="E722" t="s">
        <v>25</v>
      </c>
      <c r="F722" t="s">
        <v>26</v>
      </c>
      <c r="G722" t="s">
        <v>27</v>
      </c>
      <c r="H722" t="s">
        <v>28</v>
      </c>
      <c r="I722" t="s">
        <v>109</v>
      </c>
      <c r="K722" t="s">
        <v>430</v>
      </c>
      <c r="L722" t="s">
        <v>171</v>
      </c>
      <c r="M722" t="s">
        <v>431</v>
      </c>
      <c r="O722" t="s">
        <v>412</v>
      </c>
      <c r="P722" t="s">
        <v>85</v>
      </c>
      <c r="Q722" t="s">
        <v>167</v>
      </c>
      <c r="R722" t="s">
        <v>413</v>
      </c>
      <c r="S722" t="s">
        <v>414</v>
      </c>
      <c r="T722" t="s">
        <v>415</v>
      </c>
      <c r="U722" s="10" t="s">
        <v>1061</v>
      </c>
      <c r="V722" s="10" t="s">
        <v>1083</v>
      </c>
      <c r="W722" s="10" t="s">
        <v>1066</v>
      </c>
      <c r="X722" s="10" t="s">
        <v>1059</v>
      </c>
      <c r="Y722" t="s">
        <v>39</v>
      </c>
      <c r="Z722" t="s">
        <v>202</v>
      </c>
      <c r="AA722" t="s">
        <v>63</v>
      </c>
      <c r="AB722" t="s">
        <v>432</v>
      </c>
    </row>
    <row r="723" spans="1:28" x14ac:dyDescent="0.8">
      <c r="A723">
        <v>709</v>
      </c>
      <c r="B723">
        <v>1142</v>
      </c>
      <c r="C723" s="2">
        <v>44385</v>
      </c>
      <c r="D723" t="s">
        <v>133</v>
      </c>
      <c r="E723" t="s">
        <v>25</v>
      </c>
      <c r="F723" t="s">
        <v>26</v>
      </c>
      <c r="G723" t="s">
        <v>27</v>
      </c>
      <c r="H723" t="s">
        <v>28</v>
      </c>
      <c r="I723" t="s">
        <v>29</v>
      </c>
      <c r="K723" t="s">
        <v>30</v>
      </c>
      <c r="L723" t="s">
        <v>59</v>
      </c>
      <c r="M723" t="s">
        <v>181</v>
      </c>
      <c r="O723" t="s">
        <v>412</v>
      </c>
      <c r="P723" t="s">
        <v>85</v>
      </c>
      <c r="Q723" t="s">
        <v>167</v>
      </c>
      <c r="R723" t="s">
        <v>413</v>
      </c>
      <c r="S723" t="s">
        <v>414</v>
      </c>
      <c r="T723" t="s">
        <v>415</v>
      </c>
      <c r="U723" s="10" t="s">
        <v>1061</v>
      </c>
      <c r="V723" s="10" t="s">
        <v>1083</v>
      </c>
      <c r="W723" s="10" t="s">
        <v>1066</v>
      </c>
      <c r="X723" s="10" t="s">
        <v>1059</v>
      </c>
      <c r="Y723" t="s">
        <v>39</v>
      </c>
      <c r="Z723" t="s">
        <v>202</v>
      </c>
      <c r="AA723" t="s">
        <v>63</v>
      </c>
      <c r="AB723" t="s">
        <v>432</v>
      </c>
    </row>
    <row r="724" spans="1:28" x14ac:dyDescent="0.8">
      <c r="A724">
        <v>708</v>
      </c>
      <c r="B724">
        <v>1141</v>
      </c>
      <c r="C724" s="2">
        <v>44385</v>
      </c>
      <c r="D724" t="s">
        <v>133</v>
      </c>
      <c r="E724" t="s">
        <v>25</v>
      </c>
      <c r="F724" t="s">
        <v>26</v>
      </c>
      <c r="G724" t="s">
        <v>27</v>
      </c>
      <c r="H724" t="s">
        <v>28</v>
      </c>
      <c r="I724" t="s">
        <v>29</v>
      </c>
      <c r="K724" t="s">
        <v>30</v>
      </c>
      <c r="L724" t="s">
        <v>59</v>
      </c>
      <c r="M724" t="s">
        <v>181</v>
      </c>
      <c r="O724" t="s">
        <v>412</v>
      </c>
      <c r="P724" t="s">
        <v>85</v>
      </c>
      <c r="Q724" t="s">
        <v>167</v>
      </c>
      <c r="R724" t="s">
        <v>413</v>
      </c>
      <c r="S724" t="s">
        <v>414</v>
      </c>
      <c r="T724" t="s">
        <v>415</v>
      </c>
      <c r="U724" s="10" t="s">
        <v>1061</v>
      </c>
      <c r="V724" s="10" t="s">
        <v>1083</v>
      </c>
      <c r="W724" s="10" t="s">
        <v>1066</v>
      </c>
      <c r="X724" s="10" t="s">
        <v>1059</v>
      </c>
      <c r="Y724" t="s">
        <v>39</v>
      </c>
      <c r="Z724" t="s">
        <v>202</v>
      </c>
      <c r="AA724" t="s">
        <v>63</v>
      </c>
      <c r="AB724" t="s">
        <v>432</v>
      </c>
    </row>
    <row r="725" spans="1:28" x14ac:dyDescent="0.8">
      <c r="A725">
        <v>691</v>
      </c>
      <c r="B725">
        <v>1076</v>
      </c>
      <c r="C725" s="2">
        <v>44385</v>
      </c>
      <c r="D725" t="s">
        <v>133</v>
      </c>
      <c r="E725" t="s">
        <v>25</v>
      </c>
      <c r="F725" t="s">
        <v>26</v>
      </c>
      <c r="G725" t="s">
        <v>27</v>
      </c>
      <c r="H725" t="s">
        <v>28</v>
      </c>
      <c r="I725" t="s">
        <v>29</v>
      </c>
      <c r="K725" t="s">
        <v>30</v>
      </c>
      <c r="L725" t="s">
        <v>59</v>
      </c>
      <c r="M725" t="s">
        <v>181</v>
      </c>
      <c r="O725" t="s">
        <v>412</v>
      </c>
      <c r="P725" t="s">
        <v>85</v>
      </c>
      <c r="Q725" t="s">
        <v>167</v>
      </c>
      <c r="R725" t="s">
        <v>413</v>
      </c>
      <c r="S725" t="s">
        <v>414</v>
      </c>
      <c r="T725" t="s">
        <v>415</v>
      </c>
      <c r="U725" s="10" t="s">
        <v>1061</v>
      </c>
      <c r="V725" s="10" t="s">
        <v>1083</v>
      </c>
      <c r="W725" s="10" t="s">
        <v>1066</v>
      </c>
      <c r="X725" s="10" t="s">
        <v>1059</v>
      </c>
      <c r="Y725" t="s">
        <v>39</v>
      </c>
      <c r="Z725" t="s">
        <v>202</v>
      </c>
      <c r="AA725" t="s">
        <v>63</v>
      </c>
    </row>
    <row r="726" spans="1:28" x14ac:dyDescent="0.8">
      <c r="A726">
        <v>1148</v>
      </c>
      <c r="B726">
        <v>1645</v>
      </c>
      <c r="C726" s="2">
        <v>44384</v>
      </c>
      <c r="D726" t="s">
        <v>384</v>
      </c>
      <c r="E726" t="s">
        <v>25</v>
      </c>
      <c r="F726" t="s">
        <v>26</v>
      </c>
      <c r="G726" t="s">
        <v>27</v>
      </c>
      <c r="H726" t="s">
        <v>28</v>
      </c>
      <c r="I726" t="s">
        <v>214</v>
      </c>
      <c r="K726" t="s">
        <v>215</v>
      </c>
      <c r="L726" t="s">
        <v>112</v>
      </c>
      <c r="M726" t="s">
        <v>216</v>
      </c>
      <c r="O726" t="s">
        <v>412</v>
      </c>
      <c r="P726" t="s">
        <v>85</v>
      </c>
      <c r="Q726" t="s">
        <v>167</v>
      </c>
      <c r="R726" t="s">
        <v>413</v>
      </c>
      <c r="S726" t="s">
        <v>414</v>
      </c>
      <c r="T726" t="s">
        <v>415</v>
      </c>
      <c r="U726" s="10" t="s">
        <v>1061</v>
      </c>
      <c r="V726" s="10" t="s">
        <v>1083</v>
      </c>
      <c r="W726" s="10" t="s">
        <v>1066</v>
      </c>
      <c r="X726" s="10" t="s">
        <v>1059</v>
      </c>
      <c r="Y726" t="s">
        <v>39</v>
      </c>
      <c r="Z726" t="s">
        <v>202</v>
      </c>
      <c r="AA726" t="s">
        <v>63</v>
      </c>
    </row>
    <row r="727" spans="1:28" x14ac:dyDescent="0.8">
      <c r="A727">
        <v>1107</v>
      </c>
      <c r="B727">
        <v>1207</v>
      </c>
      <c r="C727" s="2">
        <v>44384</v>
      </c>
      <c r="D727" t="s">
        <v>384</v>
      </c>
      <c r="E727" t="s">
        <v>25</v>
      </c>
      <c r="F727" t="s">
        <v>26</v>
      </c>
      <c r="G727" t="s">
        <v>27</v>
      </c>
      <c r="H727" t="s">
        <v>28</v>
      </c>
      <c r="I727" t="s">
        <v>109</v>
      </c>
      <c r="J727" t="s">
        <v>110</v>
      </c>
      <c r="K727" t="s">
        <v>111</v>
      </c>
      <c r="L727" t="s">
        <v>112</v>
      </c>
      <c r="M727" t="s">
        <v>113</v>
      </c>
      <c r="N727" t="s">
        <v>61</v>
      </c>
      <c r="O727" t="s">
        <v>412</v>
      </c>
      <c r="P727" t="s">
        <v>85</v>
      </c>
      <c r="Q727" t="s">
        <v>167</v>
      </c>
      <c r="R727" t="s">
        <v>413</v>
      </c>
      <c r="S727" t="s">
        <v>414</v>
      </c>
      <c r="T727" t="s">
        <v>415</v>
      </c>
      <c r="U727" s="10" t="s">
        <v>1061</v>
      </c>
      <c r="V727" s="10" t="s">
        <v>1083</v>
      </c>
      <c r="W727" s="10" t="s">
        <v>1066</v>
      </c>
      <c r="X727" s="10" t="s">
        <v>1059</v>
      </c>
      <c r="Y727" t="s">
        <v>39</v>
      </c>
      <c r="Z727" t="s">
        <v>40</v>
      </c>
      <c r="AA727" t="s">
        <v>63</v>
      </c>
    </row>
    <row r="728" spans="1:28" x14ac:dyDescent="0.8">
      <c r="A728">
        <v>1154</v>
      </c>
      <c r="B728">
        <v>1651</v>
      </c>
      <c r="C728" s="2">
        <v>44384</v>
      </c>
      <c r="D728" t="s">
        <v>384</v>
      </c>
      <c r="E728" t="s">
        <v>125</v>
      </c>
      <c r="F728" t="s">
        <v>26</v>
      </c>
      <c r="G728" t="s">
        <v>27</v>
      </c>
      <c r="H728" t="s">
        <v>28</v>
      </c>
      <c r="I728" t="s">
        <v>29</v>
      </c>
      <c r="K728" t="s">
        <v>30</v>
      </c>
      <c r="L728" t="s">
        <v>171</v>
      </c>
      <c r="M728" t="s">
        <v>433</v>
      </c>
      <c r="O728" t="s">
        <v>412</v>
      </c>
      <c r="P728" t="s">
        <v>85</v>
      </c>
      <c r="Q728" t="s">
        <v>167</v>
      </c>
      <c r="R728" t="s">
        <v>413</v>
      </c>
      <c r="S728" t="s">
        <v>414</v>
      </c>
      <c r="T728" t="s">
        <v>415</v>
      </c>
      <c r="U728" s="10" t="s">
        <v>1061</v>
      </c>
      <c r="V728" s="10" t="s">
        <v>1083</v>
      </c>
      <c r="W728" s="10" t="s">
        <v>1066</v>
      </c>
      <c r="X728" s="10" t="s">
        <v>1059</v>
      </c>
      <c r="Y728" t="s">
        <v>39</v>
      </c>
      <c r="Z728" t="s">
        <v>40</v>
      </c>
      <c r="AA728" t="s">
        <v>63</v>
      </c>
    </row>
    <row r="729" spans="1:28" x14ac:dyDescent="0.8">
      <c r="A729">
        <v>1130</v>
      </c>
      <c r="B729">
        <v>1577</v>
      </c>
      <c r="C729" s="2">
        <v>44384</v>
      </c>
      <c r="D729" t="s">
        <v>384</v>
      </c>
      <c r="E729" t="s">
        <v>63</v>
      </c>
      <c r="F729" t="s">
        <v>26</v>
      </c>
      <c r="G729" t="s">
        <v>45</v>
      </c>
      <c r="H729" t="s">
        <v>68</v>
      </c>
      <c r="I729" t="s">
        <v>69</v>
      </c>
      <c r="J729" t="s">
        <v>70</v>
      </c>
      <c r="K729" t="s">
        <v>71</v>
      </c>
      <c r="L729" t="s">
        <v>72</v>
      </c>
      <c r="M729" t="s">
        <v>73</v>
      </c>
      <c r="N729" t="s">
        <v>61</v>
      </c>
      <c r="O729" t="s">
        <v>412</v>
      </c>
      <c r="P729" t="s">
        <v>85</v>
      </c>
      <c r="Q729" t="s">
        <v>167</v>
      </c>
      <c r="R729" t="s">
        <v>413</v>
      </c>
      <c r="S729" t="s">
        <v>414</v>
      </c>
      <c r="T729" t="s">
        <v>415</v>
      </c>
      <c r="U729" s="10" t="s">
        <v>1061</v>
      </c>
      <c r="V729" s="10" t="s">
        <v>1083</v>
      </c>
      <c r="W729" s="10" t="s">
        <v>1066</v>
      </c>
      <c r="X729" s="10" t="s">
        <v>1059</v>
      </c>
      <c r="Y729" t="s">
        <v>39</v>
      </c>
      <c r="Z729" t="s">
        <v>40</v>
      </c>
      <c r="AA729" t="s">
        <v>63</v>
      </c>
    </row>
    <row r="730" spans="1:28" x14ac:dyDescent="0.8">
      <c r="A730">
        <v>1168</v>
      </c>
      <c r="B730">
        <v>1665</v>
      </c>
      <c r="C730" s="2">
        <v>44386</v>
      </c>
      <c r="D730" t="s">
        <v>129</v>
      </c>
      <c r="E730" t="s">
        <v>25</v>
      </c>
      <c r="F730" t="s">
        <v>26</v>
      </c>
      <c r="G730" t="s">
        <v>45</v>
      </c>
      <c r="H730" t="s">
        <v>68</v>
      </c>
      <c r="I730" t="s">
        <v>69</v>
      </c>
      <c r="J730" t="s">
        <v>70</v>
      </c>
      <c r="K730" t="s">
        <v>71</v>
      </c>
      <c r="L730" t="s">
        <v>72</v>
      </c>
      <c r="M730" t="s">
        <v>73</v>
      </c>
      <c r="N730" t="s">
        <v>61</v>
      </c>
      <c r="O730" t="s">
        <v>412</v>
      </c>
      <c r="P730" t="s">
        <v>85</v>
      </c>
      <c r="Q730" t="s">
        <v>167</v>
      </c>
      <c r="R730" t="s">
        <v>413</v>
      </c>
      <c r="S730" t="s">
        <v>414</v>
      </c>
      <c r="T730" t="s">
        <v>415</v>
      </c>
      <c r="U730" s="10" t="s">
        <v>1061</v>
      </c>
      <c r="V730" s="10" t="s">
        <v>1083</v>
      </c>
      <c r="W730" s="10" t="s">
        <v>1066</v>
      </c>
      <c r="X730" s="10" t="s">
        <v>1059</v>
      </c>
      <c r="Y730" t="s">
        <v>39</v>
      </c>
      <c r="Z730" t="s">
        <v>40</v>
      </c>
      <c r="AA730" t="s">
        <v>63</v>
      </c>
    </row>
    <row r="731" spans="1:28" x14ac:dyDescent="0.8">
      <c r="A731">
        <v>337</v>
      </c>
      <c r="B731">
        <v>343</v>
      </c>
      <c r="C731" s="2">
        <v>44385</v>
      </c>
      <c r="D731" t="s">
        <v>213</v>
      </c>
      <c r="E731" t="s">
        <v>25</v>
      </c>
      <c r="F731" t="s">
        <v>26</v>
      </c>
      <c r="G731" t="s">
        <v>27</v>
      </c>
      <c r="H731" t="s">
        <v>28</v>
      </c>
      <c r="I731" t="s">
        <v>214</v>
      </c>
      <c r="K731" t="s">
        <v>215</v>
      </c>
      <c r="L731" t="s">
        <v>112</v>
      </c>
      <c r="M731" t="s">
        <v>216</v>
      </c>
      <c r="O731" t="s">
        <v>412</v>
      </c>
      <c r="P731" t="s">
        <v>85</v>
      </c>
      <c r="Q731" t="s">
        <v>167</v>
      </c>
      <c r="R731" t="s">
        <v>413</v>
      </c>
      <c r="S731" t="s">
        <v>414</v>
      </c>
      <c r="T731" t="s">
        <v>415</v>
      </c>
      <c r="U731" s="10" t="s">
        <v>1061</v>
      </c>
      <c r="V731" s="10" t="s">
        <v>1083</v>
      </c>
      <c r="W731" s="10" t="s">
        <v>1066</v>
      </c>
      <c r="X731" s="10" t="s">
        <v>1059</v>
      </c>
      <c r="Y731" t="s">
        <v>39</v>
      </c>
      <c r="Z731" t="s">
        <v>40</v>
      </c>
      <c r="AA731" t="s">
        <v>53</v>
      </c>
      <c r="AB731" t="s">
        <v>222</v>
      </c>
    </row>
    <row r="732" spans="1:28" x14ac:dyDescent="0.8">
      <c r="A732">
        <v>320</v>
      </c>
      <c r="B732">
        <v>236</v>
      </c>
      <c r="C732" s="2">
        <v>44385</v>
      </c>
      <c r="D732" t="s">
        <v>213</v>
      </c>
      <c r="E732" t="s">
        <v>63</v>
      </c>
      <c r="F732" t="s">
        <v>26</v>
      </c>
      <c r="G732" t="s">
        <v>27</v>
      </c>
      <c r="H732" t="s">
        <v>28</v>
      </c>
      <c r="I732" t="s">
        <v>109</v>
      </c>
      <c r="K732" t="s">
        <v>430</v>
      </c>
      <c r="L732" t="s">
        <v>59</v>
      </c>
      <c r="M732" t="s">
        <v>434</v>
      </c>
      <c r="O732" t="s">
        <v>412</v>
      </c>
      <c r="P732" t="s">
        <v>85</v>
      </c>
      <c r="Q732" t="s">
        <v>167</v>
      </c>
      <c r="R732" t="s">
        <v>413</v>
      </c>
      <c r="S732" t="s">
        <v>414</v>
      </c>
      <c r="T732" t="s">
        <v>415</v>
      </c>
      <c r="U732" s="10" t="s">
        <v>1061</v>
      </c>
      <c r="V732" s="10" t="s">
        <v>1083</v>
      </c>
      <c r="W732" s="10" t="s">
        <v>1066</v>
      </c>
      <c r="X732" s="10" t="s">
        <v>1059</v>
      </c>
      <c r="Y732" t="s">
        <v>39</v>
      </c>
      <c r="Z732" t="s">
        <v>40</v>
      </c>
      <c r="AA732" t="s">
        <v>53</v>
      </c>
      <c r="AB732" t="s">
        <v>435</v>
      </c>
    </row>
    <row r="733" spans="1:28" x14ac:dyDescent="0.8">
      <c r="A733">
        <v>336</v>
      </c>
      <c r="B733">
        <v>342</v>
      </c>
      <c r="C733" s="2">
        <v>44385</v>
      </c>
      <c r="D733" t="s">
        <v>213</v>
      </c>
      <c r="E733" t="s">
        <v>25</v>
      </c>
      <c r="F733" t="s">
        <v>26</v>
      </c>
      <c r="G733" t="s">
        <v>27</v>
      </c>
      <c r="H733" t="s">
        <v>28</v>
      </c>
      <c r="I733" t="s">
        <v>109</v>
      </c>
      <c r="J733" t="s">
        <v>110</v>
      </c>
      <c r="K733" t="s">
        <v>111</v>
      </c>
      <c r="L733" t="s">
        <v>112</v>
      </c>
      <c r="M733" t="s">
        <v>113</v>
      </c>
      <c r="N733" t="s">
        <v>52</v>
      </c>
      <c r="O733" t="s">
        <v>412</v>
      </c>
      <c r="P733" t="s">
        <v>85</v>
      </c>
      <c r="Q733" t="s">
        <v>167</v>
      </c>
      <c r="R733" t="s">
        <v>413</v>
      </c>
      <c r="S733" t="s">
        <v>414</v>
      </c>
      <c r="T733" t="s">
        <v>415</v>
      </c>
      <c r="U733" s="10" t="s">
        <v>1061</v>
      </c>
      <c r="V733" s="10" t="s">
        <v>1083</v>
      </c>
      <c r="W733" s="10" t="s">
        <v>1066</v>
      </c>
      <c r="X733" s="10" t="s">
        <v>1059</v>
      </c>
      <c r="Y733" t="s">
        <v>39</v>
      </c>
      <c r="Z733" t="s">
        <v>40</v>
      </c>
      <c r="AA733" t="s">
        <v>53</v>
      </c>
      <c r="AB733" t="s">
        <v>226</v>
      </c>
    </row>
    <row r="734" spans="1:28" x14ac:dyDescent="0.8">
      <c r="A734">
        <v>334</v>
      </c>
      <c r="B734">
        <v>340</v>
      </c>
      <c r="C734" s="2">
        <v>44385</v>
      </c>
      <c r="D734" t="s">
        <v>213</v>
      </c>
      <c r="E734" t="s">
        <v>44</v>
      </c>
      <c r="F734" t="s">
        <v>26</v>
      </c>
      <c r="G734" t="s">
        <v>27</v>
      </c>
      <c r="H734" t="s">
        <v>28</v>
      </c>
      <c r="I734" t="s">
        <v>109</v>
      </c>
      <c r="J734" t="s">
        <v>110</v>
      </c>
      <c r="K734" t="s">
        <v>111</v>
      </c>
      <c r="L734" t="s">
        <v>112</v>
      </c>
      <c r="M734" t="s">
        <v>113</v>
      </c>
      <c r="N734" t="s">
        <v>52</v>
      </c>
      <c r="O734" t="s">
        <v>412</v>
      </c>
      <c r="P734" t="s">
        <v>85</v>
      </c>
      <c r="Q734" t="s">
        <v>167</v>
      </c>
      <c r="R734" t="s">
        <v>413</v>
      </c>
      <c r="S734" t="s">
        <v>414</v>
      </c>
      <c r="T734" t="s">
        <v>415</v>
      </c>
      <c r="U734" s="10" t="s">
        <v>1061</v>
      </c>
      <c r="V734" s="10" t="s">
        <v>1083</v>
      </c>
      <c r="W734" s="10" t="s">
        <v>1066</v>
      </c>
      <c r="X734" s="10" t="s">
        <v>1059</v>
      </c>
      <c r="Y734" t="s">
        <v>39</v>
      </c>
      <c r="Z734" t="s">
        <v>40</v>
      </c>
      <c r="AA734" t="s">
        <v>53</v>
      </c>
      <c r="AB734" t="s">
        <v>226</v>
      </c>
    </row>
    <row r="735" spans="1:28" x14ac:dyDescent="0.8">
      <c r="A735">
        <v>332</v>
      </c>
      <c r="B735">
        <v>248</v>
      </c>
      <c r="C735" s="2">
        <v>44385</v>
      </c>
      <c r="D735" t="s">
        <v>213</v>
      </c>
      <c r="E735" t="s">
        <v>25</v>
      </c>
      <c r="F735" t="s">
        <v>26</v>
      </c>
      <c r="G735" t="s">
        <v>27</v>
      </c>
      <c r="H735" t="s">
        <v>28</v>
      </c>
      <c r="I735" t="s">
        <v>109</v>
      </c>
      <c r="J735" t="s">
        <v>110</v>
      </c>
      <c r="K735" t="s">
        <v>111</v>
      </c>
      <c r="L735" t="s">
        <v>112</v>
      </c>
      <c r="M735" t="s">
        <v>113</v>
      </c>
      <c r="N735" t="s">
        <v>52</v>
      </c>
      <c r="O735" t="s">
        <v>412</v>
      </c>
      <c r="P735" t="s">
        <v>85</v>
      </c>
      <c r="Q735" t="s">
        <v>167</v>
      </c>
      <c r="R735" t="s">
        <v>413</v>
      </c>
      <c r="S735" t="s">
        <v>414</v>
      </c>
      <c r="T735" t="s">
        <v>415</v>
      </c>
      <c r="U735" s="10" t="s">
        <v>1061</v>
      </c>
      <c r="V735" s="10" t="s">
        <v>1083</v>
      </c>
      <c r="W735" s="10" t="s">
        <v>1066</v>
      </c>
      <c r="X735" s="10" t="s">
        <v>1059</v>
      </c>
      <c r="Y735" t="s">
        <v>39</v>
      </c>
      <c r="Z735" t="s">
        <v>40</v>
      </c>
      <c r="AA735" t="s">
        <v>53</v>
      </c>
      <c r="AB735" t="s">
        <v>226</v>
      </c>
    </row>
    <row r="736" spans="1:28" x14ac:dyDescent="0.8">
      <c r="A736">
        <v>335</v>
      </c>
      <c r="B736">
        <v>341</v>
      </c>
      <c r="C736" s="2">
        <v>44385</v>
      </c>
      <c r="D736" t="s">
        <v>213</v>
      </c>
      <c r="E736" t="s">
        <v>44</v>
      </c>
      <c r="F736" t="s">
        <v>26</v>
      </c>
      <c r="G736" t="s">
        <v>27</v>
      </c>
      <c r="H736" t="s">
        <v>28</v>
      </c>
      <c r="I736" t="s">
        <v>109</v>
      </c>
      <c r="J736" t="s">
        <v>110</v>
      </c>
      <c r="K736" t="s">
        <v>111</v>
      </c>
      <c r="L736" t="s">
        <v>112</v>
      </c>
      <c r="M736" t="s">
        <v>113</v>
      </c>
      <c r="N736" t="s">
        <v>52</v>
      </c>
      <c r="O736" t="s">
        <v>412</v>
      </c>
      <c r="P736" t="s">
        <v>85</v>
      </c>
      <c r="Q736" t="s">
        <v>167</v>
      </c>
      <c r="R736" t="s">
        <v>413</v>
      </c>
      <c r="S736" t="s">
        <v>414</v>
      </c>
      <c r="T736" t="s">
        <v>415</v>
      </c>
      <c r="U736" s="10" t="s">
        <v>1061</v>
      </c>
      <c r="V736" s="10" t="s">
        <v>1083</v>
      </c>
      <c r="W736" s="10" t="s">
        <v>1066</v>
      </c>
      <c r="X736" s="10" t="s">
        <v>1059</v>
      </c>
      <c r="Y736" t="s">
        <v>39</v>
      </c>
      <c r="Z736" t="s">
        <v>40</v>
      </c>
      <c r="AA736" t="s">
        <v>53</v>
      </c>
      <c r="AB736" t="s">
        <v>222</v>
      </c>
    </row>
    <row r="737" spans="1:28" x14ac:dyDescent="0.8">
      <c r="A737">
        <v>333</v>
      </c>
      <c r="B737">
        <v>339</v>
      </c>
      <c r="C737" s="2">
        <v>44385</v>
      </c>
      <c r="D737" t="s">
        <v>213</v>
      </c>
      <c r="E737" t="s">
        <v>25</v>
      </c>
      <c r="F737" t="s">
        <v>26</v>
      </c>
      <c r="G737" t="s">
        <v>27</v>
      </c>
      <c r="H737" t="s">
        <v>28</v>
      </c>
      <c r="I737" t="s">
        <v>109</v>
      </c>
      <c r="J737" t="s">
        <v>110</v>
      </c>
      <c r="K737" t="s">
        <v>111</v>
      </c>
      <c r="L737" t="s">
        <v>112</v>
      </c>
      <c r="M737" t="s">
        <v>113</v>
      </c>
      <c r="N737" t="s">
        <v>52</v>
      </c>
      <c r="O737" t="s">
        <v>412</v>
      </c>
      <c r="P737" t="s">
        <v>85</v>
      </c>
      <c r="Q737" t="s">
        <v>167</v>
      </c>
      <c r="R737" t="s">
        <v>413</v>
      </c>
      <c r="S737" t="s">
        <v>414</v>
      </c>
      <c r="T737" t="s">
        <v>415</v>
      </c>
      <c r="U737" s="10" t="s">
        <v>1061</v>
      </c>
      <c r="V737" s="10" t="s">
        <v>1083</v>
      </c>
      <c r="W737" s="10" t="s">
        <v>1066</v>
      </c>
      <c r="X737" s="10" t="s">
        <v>1059</v>
      </c>
      <c r="Y737" t="s">
        <v>39</v>
      </c>
      <c r="Z737" t="s">
        <v>40</v>
      </c>
      <c r="AA737" t="s">
        <v>53</v>
      </c>
      <c r="AB737" t="s">
        <v>222</v>
      </c>
    </row>
    <row r="738" spans="1:28" x14ac:dyDescent="0.8">
      <c r="A738">
        <v>351</v>
      </c>
      <c r="B738">
        <v>357</v>
      </c>
      <c r="C738" s="2">
        <v>44385</v>
      </c>
      <c r="D738" t="s">
        <v>213</v>
      </c>
      <c r="E738" t="s">
        <v>25</v>
      </c>
      <c r="F738" t="s">
        <v>26</v>
      </c>
      <c r="G738" t="s">
        <v>27</v>
      </c>
      <c r="H738" t="s">
        <v>28</v>
      </c>
      <c r="I738" t="s">
        <v>109</v>
      </c>
      <c r="J738" t="s">
        <v>110</v>
      </c>
      <c r="K738" t="s">
        <v>111</v>
      </c>
      <c r="L738" t="s">
        <v>112</v>
      </c>
      <c r="M738" t="s">
        <v>113</v>
      </c>
      <c r="N738" t="s">
        <v>52</v>
      </c>
      <c r="O738" t="s">
        <v>412</v>
      </c>
      <c r="P738" t="s">
        <v>85</v>
      </c>
      <c r="Q738" t="s">
        <v>167</v>
      </c>
      <c r="R738" t="s">
        <v>413</v>
      </c>
      <c r="S738" t="s">
        <v>414</v>
      </c>
      <c r="T738" t="s">
        <v>415</v>
      </c>
      <c r="U738" s="10" t="s">
        <v>1061</v>
      </c>
      <c r="V738" s="10" t="s">
        <v>1083</v>
      </c>
      <c r="W738" s="10" t="s">
        <v>1066</v>
      </c>
      <c r="X738" s="10" t="s">
        <v>1059</v>
      </c>
      <c r="Y738" t="s">
        <v>39</v>
      </c>
      <c r="Z738" t="s">
        <v>40</v>
      </c>
      <c r="AA738" t="s">
        <v>53</v>
      </c>
      <c r="AB738" t="s">
        <v>436</v>
      </c>
    </row>
    <row r="739" spans="1:28" x14ac:dyDescent="0.8">
      <c r="A739">
        <v>348</v>
      </c>
      <c r="B739">
        <v>354</v>
      </c>
      <c r="C739" s="2">
        <v>44385</v>
      </c>
      <c r="D739" t="s">
        <v>213</v>
      </c>
      <c r="E739" t="s">
        <v>63</v>
      </c>
      <c r="F739" t="s">
        <v>26</v>
      </c>
      <c r="G739" t="s">
        <v>27</v>
      </c>
      <c r="H739" t="s">
        <v>28</v>
      </c>
      <c r="I739" t="s">
        <v>109</v>
      </c>
      <c r="J739" t="s">
        <v>110</v>
      </c>
      <c r="K739" t="s">
        <v>111</v>
      </c>
      <c r="L739" t="s">
        <v>112</v>
      </c>
      <c r="M739" t="s">
        <v>113</v>
      </c>
      <c r="N739" t="s">
        <v>52</v>
      </c>
      <c r="O739" t="s">
        <v>412</v>
      </c>
      <c r="P739" t="s">
        <v>85</v>
      </c>
      <c r="Q739" t="s">
        <v>167</v>
      </c>
      <c r="R739" t="s">
        <v>413</v>
      </c>
      <c r="S739" t="s">
        <v>414</v>
      </c>
      <c r="T739" t="s">
        <v>415</v>
      </c>
      <c r="U739" s="10" t="s">
        <v>1061</v>
      </c>
      <c r="V739" s="10" t="s">
        <v>1083</v>
      </c>
      <c r="W739" s="10" t="s">
        <v>1066</v>
      </c>
      <c r="X739" s="10" t="s">
        <v>1059</v>
      </c>
      <c r="Y739" t="s">
        <v>39</v>
      </c>
      <c r="Z739" t="s">
        <v>40</v>
      </c>
      <c r="AA739" t="s">
        <v>53</v>
      </c>
      <c r="AB739" t="s">
        <v>436</v>
      </c>
    </row>
    <row r="740" spans="1:28" x14ac:dyDescent="0.8">
      <c r="A740">
        <v>352</v>
      </c>
      <c r="B740">
        <v>358</v>
      </c>
      <c r="C740" s="2">
        <v>44385</v>
      </c>
      <c r="D740" t="s">
        <v>213</v>
      </c>
      <c r="E740" t="s">
        <v>25</v>
      </c>
      <c r="F740" t="s">
        <v>26</v>
      </c>
      <c r="G740" t="s">
        <v>27</v>
      </c>
      <c r="H740" t="s">
        <v>28</v>
      </c>
      <c r="I740" t="s">
        <v>109</v>
      </c>
      <c r="J740" t="s">
        <v>110</v>
      </c>
      <c r="K740" t="s">
        <v>111</v>
      </c>
      <c r="L740" t="s">
        <v>112</v>
      </c>
      <c r="M740" t="s">
        <v>113</v>
      </c>
      <c r="N740" t="s">
        <v>61</v>
      </c>
      <c r="O740" t="s">
        <v>412</v>
      </c>
      <c r="P740" t="s">
        <v>85</v>
      </c>
      <c r="Q740" t="s">
        <v>167</v>
      </c>
      <c r="R740" t="s">
        <v>413</v>
      </c>
      <c r="S740" t="s">
        <v>414</v>
      </c>
      <c r="T740" t="s">
        <v>415</v>
      </c>
      <c r="U740" s="10" t="s">
        <v>1061</v>
      </c>
      <c r="V740" s="10" t="s">
        <v>1083</v>
      </c>
      <c r="W740" s="10" t="s">
        <v>1066</v>
      </c>
      <c r="X740" s="10" t="s">
        <v>1059</v>
      </c>
      <c r="Y740" t="s">
        <v>39</v>
      </c>
      <c r="Z740" t="s">
        <v>40</v>
      </c>
      <c r="AA740" t="s">
        <v>53</v>
      </c>
      <c r="AB740" t="s">
        <v>437</v>
      </c>
    </row>
    <row r="741" spans="1:28" x14ac:dyDescent="0.8">
      <c r="A741">
        <v>349</v>
      </c>
      <c r="B741">
        <v>355</v>
      </c>
      <c r="C741" s="2">
        <v>44385</v>
      </c>
      <c r="D741" t="s">
        <v>213</v>
      </c>
      <c r="E741" t="s">
        <v>63</v>
      </c>
      <c r="F741" t="s">
        <v>26</v>
      </c>
      <c r="G741" t="s">
        <v>27</v>
      </c>
      <c r="H741" t="s">
        <v>28</v>
      </c>
      <c r="I741" t="s">
        <v>109</v>
      </c>
      <c r="J741" t="s">
        <v>110</v>
      </c>
      <c r="K741" t="s">
        <v>111</v>
      </c>
      <c r="L741" t="s">
        <v>112</v>
      </c>
      <c r="M741" t="s">
        <v>113</v>
      </c>
      <c r="N741" t="s">
        <v>52</v>
      </c>
      <c r="O741" t="s">
        <v>412</v>
      </c>
      <c r="P741" t="s">
        <v>85</v>
      </c>
      <c r="Q741" t="s">
        <v>167</v>
      </c>
      <c r="R741" t="s">
        <v>413</v>
      </c>
      <c r="S741" t="s">
        <v>414</v>
      </c>
      <c r="T741" t="s">
        <v>415</v>
      </c>
      <c r="U741" s="10" t="s">
        <v>1061</v>
      </c>
      <c r="V741" s="10" t="s">
        <v>1083</v>
      </c>
      <c r="W741" s="10" t="s">
        <v>1066</v>
      </c>
      <c r="X741" s="10" t="s">
        <v>1059</v>
      </c>
      <c r="Y741" t="s">
        <v>39</v>
      </c>
      <c r="Z741" t="s">
        <v>40</v>
      </c>
      <c r="AA741" t="s">
        <v>53</v>
      </c>
      <c r="AB741" t="s">
        <v>437</v>
      </c>
    </row>
    <row r="742" spans="1:28" x14ac:dyDescent="0.8">
      <c r="A742">
        <v>319</v>
      </c>
      <c r="B742">
        <v>235</v>
      </c>
      <c r="C742" s="2">
        <v>44385</v>
      </c>
      <c r="D742" t="s">
        <v>213</v>
      </c>
      <c r="E742" t="s">
        <v>63</v>
      </c>
      <c r="F742" t="s">
        <v>26</v>
      </c>
      <c r="G742" t="s">
        <v>27</v>
      </c>
      <c r="H742" t="s">
        <v>28</v>
      </c>
      <c r="I742" t="s">
        <v>109</v>
      </c>
      <c r="J742" t="s">
        <v>110</v>
      </c>
      <c r="K742" t="s">
        <v>111</v>
      </c>
      <c r="L742" t="s">
        <v>112</v>
      </c>
      <c r="M742" t="s">
        <v>113</v>
      </c>
      <c r="N742" t="s">
        <v>52</v>
      </c>
      <c r="O742" t="s">
        <v>412</v>
      </c>
      <c r="P742" t="s">
        <v>85</v>
      </c>
      <c r="Q742" t="s">
        <v>167</v>
      </c>
      <c r="R742" t="s">
        <v>413</v>
      </c>
      <c r="S742" t="s">
        <v>414</v>
      </c>
      <c r="T742" t="s">
        <v>415</v>
      </c>
      <c r="U742" s="10" t="s">
        <v>1061</v>
      </c>
      <c r="V742" s="10" t="s">
        <v>1083</v>
      </c>
      <c r="W742" s="10" t="s">
        <v>1066</v>
      </c>
      <c r="X742" s="10" t="s">
        <v>1059</v>
      </c>
      <c r="Y742" t="s">
        <v>39</v>
      </c>
      <c r="Z742" t="s">
        <v>40</v>
      </c>
      <c r="AA742" t="s">
        <v>53</v>
      </c>
      <c r="AB742" t="s">
        <v>437</v>
      </c>
    </row>
    <row r="743" spans="1:28" x14ac:dyDescent="0.8">
      <c r="A743">
        <v>350</v>
      </c>
      <c r="B743">
        <v>356</v>
      </c>
      <c r="C743" s="2">
        <v>44385</v>
      </c>
      <c r="D743" t="s">
        <v>213</v>
      </c>
      <c r="E743" t="s">
        <v>63</v>
      </c>
      <c r="F743" t="s">
        <v>26</v>
      </c>
      <c r="G743" t="s">
        <v>27</v>
      </c>
      <c r="H743" t="s">
        <v>28</v>
      </c>
      <c r="I743" t="s">
        <v>109</v>
      </c>
      <c r="J743" t="s">
        <v>110</v>
      </c>
      <c r="K743" t="s">
        <v>111</v>
      </c>
      <c r="L743" t="s">
        <v>112</v>
      </c>
      <c r="M743" t="s">
        <v>113</v>
      </c>
      <c r="N743" t="s">
        <v>52</v>
      </c>
      <c r="O743" t="s">
        <v>412</v>
      </c>
      <c r="P743" t="s">
        <v>85</v>
      </c>
      <c r="Q743" t="s">
        <v>167</v>
      </c>
      <c r="R743" t="s">
        <v>413</v>
      </c>
      <c r="S743" t="s">
        <v>414</v>
      </c>
      <c r="T743" t="s">
        <v>415</v>
      </c>
      <c r="U743" s="10" t="s">
        <v>1061</v>
      </c>
      <c r="V743" s="10" t="s">
        <v>1083</v>
      </c>
      <c r="W743" s="10" t="s">
        <v>1066</v>
      </c>
      <c r="X743" s="10" t="s">
        <v>1059</v>
      </c>
      <c r="Y743" t="s">
        <v>39</v>
      </c>
      <c r="Z743" t="s">
        <v>40</v>
      </c>
      <c r="AA743" t="s">
        <v>53</v>
      </c>
      <c r="AB743" t="s">
        <v>435</v>
      </c>
    </row>
    <row r="744" spans="1:28" x14ac:dyDescent="0.8">
      <c r="A744">
        <v>354</v>
      </c>
      <c r="B744">
        <v>360</v>
      </c>
      <c r="C744" s="2">
        <v>44385</v>
      </c>
      <c r="D744" t="s">
        <v>213</v>
      </c>
      <c r="E744" t="s">
        <v>63</v>
      </c>
      <c r="F744" t="s">
        <v>26</v>
      </c>
      <c r="G744" t="s">
        <v>27</v>
      </c>
      <c r="H744" t="s">
        <v>28</v>
      </c>
      <c r="I744" t="s">
        <v>109</v>
      </c>
      <c r="J744" t="s">
        <v>110</v>
      </c>
      <c r="K744" t="s">
        <v>111</v>
      </c>
      <c r="L744" t="s">
        <v>112</v>
      </c>
      <c r="M744" t="s">
        <v>113</v>
      </c>
      <c r="N744" t="s">
        <v>61</v>
      </c>
      <c r="O744" t="s">
        <v>412</v>
      </c>
      <c r="P744" t="s">
        <v>85</v>
      </c>
      <c r="Q744" t="s">
        <v>167</v>
      </c>
      <c r="R744" t="s">
        <v>413</v>
      </c>
      <c r="S744" t="s">
        <v>414</v>
      </c>
      <c r="T744" t="s">
        <v>415</v>
      </c>
      <c r="U744" s="10" t="s">
        <v>1061</v>
      </c>
      <c r="V744" s="10" t="s">
        <v>1083</v>
      </c>
      <c r="W744" s="10" t="s">
        <v>1066</v>
      </c>
      <c r="X744" s="10" t="s">
        <v>1059</v>
      </c>
      <c r="Y744" t="s">
        <v>39</v>
      </c>
      <c r="Z744" t="s">
        <v>40</v>
      </c>
      <c r="AA744" t="s">
        <v>53</v>
      </c>
      <c r="AB744" t="s">
        <v>438</v>
      </c>
    </row>
    <row r="745" spans="1:28" x14ac:dyDescent="0.8">
      <c r="A745">
        <v>360</v>
      </c>
      <c r="B745">
        <v>366</v>
      </c>
      <c r="C745" s="2">
        <v>44385</v>
      </c>
      <c r="D745" t="s">
        <v>213</v>
      </c>
      <c r="E745" t="s">
        <v>63</v>
      </c>
      <c r="F745" t="s">
        <v>26</v>
      </c>
      <c r="G745" t="s">
        <v>27</v>
      </c>
      <c r="H745" t="s">
        <v>28</v>
      </c>
      <c r="I745" t="s">
        <v>109</v>
      </c>
      <c r="J745" t="s">
        <v>110</v>
      </c>
      <c r="K745" t="s">
        <v>111</v>
      </c>
      <c r="L745" t="s">
        <v>112</v>
      </c>
      <c r="M745" t="s">
        <v>113</v>
      </c>
      <c r="N745" t="s">
        <v>52</v>
      </c>
      <c r="O745" t="s">
        <v>412</v>
      </c>
      <c r="P745" t="s">
        <v>85</v>
      </c>
      <c r="Q745" t="s">
        <v>167</v>
      </c>
      <c r="R745" t="s">
        <v>413</v>
      </c>
      <c r="S745" t="s">
        <v>414</v>
      </c>
      <c r="T745" t="s">
        <v>415</v>
      </c>
      <c r="U745" s="10" t="s">
        <v>1061</v>
      </c>
      <c r="V745" s="10" t="s">
        <v>1083</v>
      </c>
      <c r="W745" s="10" t="s">
        <v>1066</v>
      </c>
      <c r="X745" s="10" t="s">
        <v>1059</v>
      </c>
      <c r="Y745" t="s">
        <v>39</v>
      </c>
      <c r="Z745" t="s">
        <v>40</v>
      </c>
      <c r="AA745" t="s">
        <v>53</v>
      </c>
      <c r="AB745" t="s">
        <v>439</v>
      </c>
    </row>
    <row r="746" spans="1:28" x14ac:dyDescent="0.8">
      <c r="A746">
        <v>355</v>
      </c>
      <c r="B746">
        <v>361</v>
      </c>
      <c r="C746" s="2">
        <v>44385</v>
      </c>
      <c r="D746" t="s">
        <v>213</v>
      </c>
      <c r="E746" t="s">
        <v>63</v>
      </c>
      <c r="F746" t="s">
        <v>26</v>
      </c>
      <c r="G746" t="s">
        <v>27</v>
      </c>
      <c r="H746" t="s">
        <v>28</v>
      </c>
      <c r="I746" t="s">
        <v>109</v>
      </c>
      <c r="J746" t="s">
        <v>110</v>
      </c>
      <c r="K746" t="s">
        <v>111</v>
      </c>
      <c r="L746" t="s">
        <v>112</v>
      </c>
      <c r="M746" t="s">
        <v>113</v>
      </c>
      <c r="N746" t="s">
        <v>52</v>
      </c>
      <c r="O746" t="s">
        <v>412</v>
      </c>
      <c r="P746" t="s">
        <v>85</v>
      </c>
      <c r="Q746" t="s">
        <v>167</v>
      </c>
      <c r="R746" t="s">
        <v>413</v>
      </c>
      <c r="S746" t="s">
        <v>414</v>
      </c>
      <c r="T746" t="s">
        <v>415</v>
      </c>
      <c r="U746" s="10" t="s">
        <v>1061</v>
      </c>
      <c r="V746" s="10" t="s">
        <v>1083</v>
      </c>
      <c r="W746" s="10" t="s">
        <v>1066</v>
      </c>
      <c r="X746" s="10" t="s">
        <v>1059</v>
      </c>
      <c r="Y746" t="s">
        <v>39</v>
      </c>
      <c r="Z746" t="s">
        <v>40</v>
      </c>
      <c r="AA746" t="s">
        <v>53</v>
      </c>
      <c r="AB746" t="s">
        <v>439</v>
      </c>
    </row>
    <row r="747" spans="1:28" x14ac:dyDescent="0.8">
      <c r="A747">
        <v>361</v>
      </c>
      <c r="B747">
        <v>367</v>
      </c>
      <c r="C747" s="2">
        <v>44385</v>
      </c>
      <c r="D747" t="s">
        <v>213</v>
      </c>
      <c r="E747" t="s">
        <v>63</v>
      </c>
      <c r="F747" t="s">
        <v>26</v>
      </c>
      <c r="G747" t="s">
        <v>27</v>
      </c>
      <c r="H747" t="s">
        <v>28</v>
      </c>
      <c r="I747" t="s">
        <v>109</v>
      </c>
      <c r="J747" t="s">
        <v>110</v>
      </c>
      <c r="K747" t="s">
        <v>111</v>
      </c>
      <c r="L747" t="s">
        <v>112</v>
      </c>
      <c r="M747" t="s">
        <v>113</v>
      </c>
      <c r="N747" t="s">
        <v>52</v>
      </c>
      <c r="O747" t="s">
        <v>412</v>
      </c>
      <c r="P747" t="s">
        <v>85</v>
      </c>
      <c r="Q747" t="s">
        <v>167</v>
      </c>
      <c r="R747" t="s">
        <v>413</v>
      </c>
      <c r="S747" t="s">
        <v>414</v>
      </c>
      <c r="T747" t="s">
        <v>415</v>
      </c>
      <c r="U747" s="10" t="s">
        <v>1061</v>
      </c>
      <c r="V747" s="10" t="s">
        <v>1083</v>
      </c>
      <c r="W747" s="10" t="s">
        <v>1066</v>
      </c>
      <c r="X747" s="10" t="s">
        <v>1059</v>
      </c>
      <c r="Y747" t="s">
        <v>39</v>
      </c>
      <c r="Z747" t="s">
        <v>40</v>
      </c>
      <c r="AA747" t="s">
        <v>53</v>
      </c>
      <c r="AB747" t="s">
        <v>440</v>
      </c>
    </row>
    <row r="748" spans="1:28" x14ac:dyDescent="0.8">
      <c r="A748">
        <v>356</v>
      </c>
      <c r="B748">
        <v>362</v>
      </c>
      <c r="C748" s="2">
        <v>44385</v>
      </c>
      <c r="D748" t="s">
        <v>213</v>
      </c>
      <c r="E748" t="s">
        <v>63</v>
      </c>
      <c r="F748" t="s">
        <v>26</v>
      </c>
      <c r="G748" t="s">
        <v>27</v>
      </c>
      <c r="H748" t="s">
        <v>28</v>
      </c>
      <c r="I748" t="s">
        <v>109</v>
      </c>
      <c r="J748" t="s">
        <v>110</v>
      </c>
      <c r="K748" t="s">
        <v>111</v>
      </c>
      <c r="L748" t="s">
        <v>112</v>
      </c>
      <c r="M748" t="s">
        <v>113</v>
      </c>
      <c r="N748" t="s">
        <v>52</v>
      </c>
      <c r="O748" t="s">
        <v>412</v>
      </c>
      <c r="P748" t="s">
        <v>85</v>
      </c>
      <c r="Q748" t="s">
        <v>167</v>
      </c>
      <c r="R748" t="s">
        <v>413</v>
      </c>
      <c r="S748" t="s">
        <v>414</v>
      </c>
      <c r="T748" t="s">
        <v>415</v>
      </c>
      <c r="U748" s="10" t="s">
        <v>1061</v>
      </c>
      <c r="V748" s="10" t="s">
        <v>1083</v>
      </c>
      <c r="W748" s="10" t="s">
        <v>1066</v>
      </c>
      <c r="X748" s="10" t="s">
        <v>1059</v>
      </c>
      <c r="Y748" t="s">
        <v>39</v>
      </c>
      <c r="Z748" t="s">
        <v>40</v>
      </c>
      <c r="AA748" t="s">
        <v>53</v>
      </c>
      <c r="AB748" t="s">
        <v>440</v>
      </c>
    </row>
    <row r="749" spans="1:28" x14ac:dyDescent="0.8">
      <c r="A749">
        <v>362</v>
      </c>
      <c r="B749">
        <v>368</v>
      </c>
      <c r="C749" s="2">
        <v>44385</v>
      </c>
      <c r="D749" t="s">
        <v>213</v>
      </c>
      <c r="E749" t="s">
        <v>63</v>
      </c>
      <c r="F749" t="s">
        <v>26</v>
      </c>
      <c r="G749" t="s">
        <v>27</v>
      </c>
      <c r="H749" t="s">
        <v>28</v>
      </c>
      <c r="I749" t="s">
        <v>109</v>
      </c>
      <c r="J749" t="s">
        <v>110</v>
      </c>
      <c r="K749" t="s">
        <v>111</v>
      </c>
      <c r="L749" t="s">
        <v>112</v>
      </c>
      <c r="M749" t="s">
        <v>113</v>
      </c>
      <c r="N749" t="s">
        <v>52</v>
      </c>
      <c r="O749" t="s">
        <v>412</v>
      </c>
      <c r="P749" t="s">
        <v>85</v>
      </c>
      <c r="Q749" t="s">
        <v>167</v>
      </c>
      <c r="R749" t="s">
        <v>413</v>
      </c>
      <c r="S749" t="s">
        <v>414</v>
      </c>
      <c r="T749" t="s">
        <v>415</v>
      </c>
      <c r="U749" s="10" t="s">
        <v>1061</v>
      </c>
      <c r="V749" s="10" t="s">
        <v>1083</v>
      </c>
      <c r="W749" s="10" t="s">
        <v>1066</v>
      </c>
      <c r="X749" s="10" t="s">
        <v>1059</v>
      </c>
      <c r="Y749" t="s">
        <v>39</v>
      </c>
      <c r="Z749" t="s">
        <v>40</v>
      </c>
      <c r="AA749" t="s">
        <v>53</v>
      </c>
      <c r="AB749" t="s">
        <v>441</v>
      </c>
    </row>
    <row r="750" spans="1:28" x14ac:dyDescent="0.8">
      <c r="A750">
        <v>357</v>
      </c>
      <c r="B750">
        <v>363</v>
      </c>
      <c r="C750" s="2">
        <v>44385</v>
      </c>
      <c r="D750" t="s">
        <v>213</v>
      </c>
      <c r="E750" t="s">
        <v>63</v>
      </c>
      <c r="F750" t="s">
        <v>26</v>
      </c>
      <c r="G750" t="s">
        <v>27</v>
      </c>
      <c r="H750" t="s">
        <v>28</v>
      </c>
      <c r="I750" t="s">
        <v>109</v>
      </c>
      <c r="J750" t="s">
        <v>110</v>
      </c>
      <c r="K750" t="s">
        <v>111</v>
      </c>
      <c r="L750" t="s">
        <v>112</v>
      </c>
      <c r="M750" t="s">
        <v>113</v>
      </c>
      <c r="N750" t="s">
        <v>52</v>
      </c>
      <c r="O750" t="s">
        <v>412</v>
      </c>
      <c r="P750" t="s">
        <v>85</v>
      </c>
      <c r="Q750" t="s">
        <v>167</v>
      </c>
      <c r="R750" t="s">
        <v>413</v>
      </c>
      <c r="S750" t="s">
        <v>414</v>
      </c>
      <c r="T750" t="s">
        <v>415</v>
      </c>
      <c r="U750" s="10" t="s">
        <v>1061</v>
      </c>
      <c r="V750" s="10" t="s">
        <v>1083</v>
      </c>
      <c r="W750" s="10" t="s">
        <v>1066</v>
      </c>
      <c r="X750" s="10" t="s">
        <v>1059</v>
      </c>
      <c r="Y750" t="s">
        <v>39</v>
      </c>
      <c r="Z750" t="s">
        <v>40</v>
      </c>
      <c r="AA750" t="s">
        <v>53</v>
      </c>
      <c r="AB750" t="s">
        <v>441</v>
      </c>
    </row>
    <row r="751" spans="1:28" x14ac:dyDescent="0.8">
      <c r="A751">
        <v>325</v>
      </c>
      <c r="B751">
        <v>241</v>
      </c>
      <c r="C751" s="2">
        <v>44385</v>
      </c>
      <c r="D751" t="s">
        <v>213</v>
      </c>
      <c r="E751" t="s">
        <v>63</v>
      </c>
      <c r="F751" t="s">
        <v>26</v>
      </c>
      <c r="G751" t="s">
        <v>27</v>
      </c>
      <c r="H751" t="s">
        <v>28</v>
      </c>
      <c r="I751" t="s">
        <v>109</v>
      </c>
      <c r="J751" t="s">
        <v>110</v>
      </c>
      <c r="K751" t="s">
        <v>111</v>
      </c>
      <c r="L751" t="s">
        <v>112</v>
      </c>
      <c r="M751" t="s">
        <v>113</v>
      </c>
      <c r="N751" t="s">
        <v>52</v>
      </c>
      <c r="O751" t="s">
        <v>412</v>
      </c>
      <c r="P751" t="s">
        <v>85</v>
      </c>
      <c r="Q751" t="s">
        <v>167</v>
      </c>
      <c r="R751" t="s">
        <v>413</v>
      </c>
      <c r="S751" t="s">
        <v>414</v>
      </c>
      <c r="T751" t="s">
        <v>415</v>
      </c>
      <c r="U751" s="10" t="s">
        <v>1061</v>
      </c>
      <c r="V751" s="10" t="s">
        <v>1083</v>
      </c>
      <c r="W751" s="10" t="s">
        <v>1066</v>
      </c>
      <c r="X751" s="10" t="s">
        <v>1059</v>
      </c>
      <c r="Y751" t="s">
        <v>39</v>
      </c>
      <c r="Z751" t="s">
        <v>40</v>
      </c>
      <c r="AA751" t="s">
        <v>53</v>
      </c>
    </row>
    <row r="752" spans="1:28" x14ac:dyDescent="0.8">
      <c r="A752">
        <v>324</v>
      </c>
      <c r="B752">
        <v>240</v>
      </c>
      <c r="C752" s="2">
        <v>44385</v>
      </c>
      <c r="D752" t="s">
        <v>213</v>
      </c>
      <c r="E752" t="s">
        <v>103</v>
      </c>
      <c r="F752" t="s">
        <v>26</v>
      </c>
      <c r="G752" t="s">
        <v>27</v>
      </c>
      <c r="H752" t="s">
        <v>28</v>
      </c>
      <c r="I752" t="s">
        <v>109</v>
      </c>
      <c r="J752" t="s">
        <v>110</v>
      </c>
      <c r="K752" t="s">
        <v>111</v>
      </c>
      <c r="L752" t="s">
        <v>112</v>
      </c>
      <c r="M752" t="s">
        <v>113</v>
      </c>
      <c r="N752" t="s">
        <v>52</v>
      </c>
      <c r="O752" t="s">
        <v>412</v>
      </c>
      <c r="P752" t="s">
        <v>85</v>
      </c>
      <c r="Q752" t="s">
        <v>167</v>
      </c>
      <c r="R752" t="s">
        <v>413</v>
      </c>
      <c r="S752" t="s">
        <v>414</v>
      </c>
      <c r="T752" t="s">
        <v>415</v>
      </c>
      <c r="U752" s="10" t="s">
        <v>1061</v>
      </c>
      <c r="V752" s="10" t="s">
        <v>1083</v>
      </c>
      <c r="W752" s="10" t="s">
        <v>1066</v>
      </c>
      <c r="X752" s="10" t="s">
        <v>1059</v>
      </c>
      <c r="Y752" t="s">
        <v>39</v>
      </c>
      <c r="Z752" t="s">
        <v>40</v>
      </c>
      <c r="AA752" t="s">
        <v>53</v>
      </c>
    </row>
    <row r="753" spans="1:28" x14ac:dyDescent="0.8">
      <c r="A753">
        <v>323</v>
      </c>
      <c r="B753">
        <v>239</v>
      </c>
      <c r="C753" s="2">
        <v>44385</v>
      </c>
      <c r="D753" t="s">
        <v>213</v>
      </c>
      <c r="E753" t="s">
        <v>63</v>
      </c>
      <c r="F753" t="s">
        <v>26</v>
      </c>
      <c r="G753" t="s">
        <v>27</v>
      </c>
      <c r="H753" t="s">
        <v>28</v>
      </c>
      <c r="I753" t="s">
        <v>109</v>
      </c>
      <c r="J753" t="s">
        <v>110</v>
      </c>
      <c r="K753" t="s">
        <v>111</v>
      </c>
      <c r="L753" t="s">
        <v>112</v>
      </c>
      <c r="M753" t="s">
        <v>113</v>
      </c>
      <c r="N753" t="s">
        <v>52</v>
      </c>
      <c r="O753" t="s">
        <v>412</v>
      </c>
      <c r="P753" t="s">
        <v>85</v>
      </c>
      <c r="Q753" t="s">
        <v>167</v>
      </c>
      <c r="R753" t="s">
        <v>413</v>
      </c>
      <c r="S753" t="s">
        <v>414</v>
      </c>
      <c r="T753" t="s">
        <v>415</v>
      </c>
      <c r="U753" s="10" t="s">
        <v>1061</v>
      </c>
      <c r="V753" s="10" t="s">
        <v>1083</v>
      </c>
      <c r="W753" s="10" t="s">
        <v>1066</v>
      </c>
      <c r="X753" s="10" t="s">
        <v>1059</v>
      </c>
      <c r="Y753" t="s">
        <v>39</v>
      </c>
      <c r="Z753" t="s">
        <v>40</v>
      </c>
      <c r="AA753" t="s">
        <v>53</v>
      </c>
    </row>
    <row r="754" spans="1:28" x14ac:dyDescent="0.8">
      <c r="A754">
        <v>317</v>
      </c>
      <c r="B754">
        <v>233</v>
      </c>
      <c r="C754" s="2">
        <v>44385</v>
      </c>
      <c r="D754" t="s">
        <v>213</v>
      </c>
      <c r="E754" t="s">
        <v>103</v>
      </c>
      <c r="F754" t="s">
        <v>26</v>
      </c>
      <c r="G754" t="s">
        <v>27</v>
      </c>
      <c r="H754" t="s">
        <v>28</v>
      </c>
      <c r="I754" t="s">
        <v>109</v>
      </c>
      <c r="J754" t="s">
        <v>110</v>
      </c>
      <c r="K754" t="s">
        <v>111</v>
      </c>
      <c r="L754" t="s">
        <v>112</v>
      </c>
      <c r="M754" t="s">
        <v>113</v>
      </c>
      <c r="N754" t="s">
        <v>52</v>
      </c>
      <c r="O754" t="s">
        <v>412</v>
      </c>
      <c r="P754" t="s">
        <v>85</v>
      </c>
      <c r="Q754" t="s">
        <v>167</v>
      </c>
      <c r="R754" t="s">
        <v>413</v>
      </c>
      <c r="S754" t="s">
        <v>414</v>
      </c>
      <c r="T754" t="s">
        <v>415</v>
      </c>
      <c r="U754" s="10" t="s">
        <v>1061</v>
      </c>
      <c r="V754" s="10" t="s">
        <v>1083</v>
      </c>
      <c r="W754" s="10" t="s">
        <v>1066</v>
      </c>
      <c r="X754" s="10" t="s">
        <v>1059</v>
      </c>
      <c r="Y754" t="s">
        <v>39</v>
      </c>
      <c r="Z754" t="s">
        <v>40</v>
      </c>
      <c r="AA754" t="s">
        <v>53</v>
      </c>
    </row>
    <row r="755" spans="1:28" x14ac:dyDescent="0.8">
      <c r="A755">
        <v>342</v>
      </c>
      <c r="B755">
        <v>348</v>
      </c>
      <c r="C755" s="2">
        <v>44385</v>
      </c>
      <c r="D755" t="s">
        <v>213</v>
      </c>
      <c r="E755" t="s">
        <v>25</v>
      </c>
      <c r="F755" t="s">
        <v>26</v>
      </c>
      <c r="G755" t="s">
        <v>27</v>
      </c>
      <c r="H755" t="s">
        <v>28</v>
      </c>
      <c r="I755" t="s">
        <v>223</v>
      </c>
      <c r="K755" t="s">
        <v>224</v>
      </c>
      <c r="L755" t="s">
        <v>112</v>
      </c>
      <c r="M755" t="s">
        <v>442</v>
      </c>
      <c r="O755" t="s">
        <v>412</v>
      </c>
      <c r="P755" t="s">
        <v>85</v>
      </c>
      <c r="Q755" t="s">
        <v>167</v>
      </c>
      <c r="R755" t="s">
        <v>413</v>
      </c>
      <c r="S755" t="s">
        <v>414</v>
      </c>
      <c r="T755" t="s">
        <v>415</v>
      </c>
      <c r="U755" s="10" t="s">
        <v>1061</v>
      </c>
      <c r="V755" s="10" t="s">
        <v>1083</v>
      </c>
      <c r="W755" s="10" t="s">
        <v>1066</v>
      </c>
      <c r="X755" s="10" t="s">
        <v>1059</v>
      </c>
      <c r="Y755" t="s">
        <v>39</v>
      </c>
      <c r="Z755" t="s">
        <v>40</v>
      </c>
      <c r="AA755" t="s">
        <v>53</v>
      </c>
      <c r="AB755" t="s">
        <v>226</v>
      </c>
    </row>
    <row r="756" spans="1:28" x14ac:dyDescent="0.8">
      <c r="A756">
        <v>318</v>
      </c>
      <c r="B756">
        <v>234</v>
      </c>
      <c r="C756" s="2">
        <v>44385</v>
      </c>
      <c r="D756" t="s">
        <v>213</v>
      </c>
      <c r="E756" t="s">
        <v>63</v>
      </c>
      <c r="F756" t="s">
        <v>26</v>
      </c>
      <c r="G756" t="s">
        <v>27</v>
      </c>
      <c r="H756" t="s">
        <v>28</v>
      </c>
      <c r="I756" t="s">
        <v>223</v>
      </c>
      <c r="K756" t="s">
        <v>224</v>
      </c>
      <c r="L756" t="s">
        <v>112</v>
      </c>
      <c r="M756" t="s">
        <v>442</v>
      </c>
      <c r="O756" t="s">
        <v>412</v>
      </c>
      <c r="P756" t="s">
        <v>85</v>
      </c>
      <c r="Q756" t="s">
        <v>167</v>
      </c>
      <c r="R756" t="s">
        <v>413</v>
      </c>
      <c r="S756" t="s">
        <v>414</v>
      </c>
      <c r="T756" t="s">
        <v>415</v>
      </c>
      <c r="U756" s="10" t="s">
        <v>1061</v>
      </c>
      <c r="V756" s="10" t="s">
        <v>1083</v>
      </c>
      <c r="W756" s="10" t="s">
        <v>1066</v>
      </c>
      <c r="X756" s="10" t="s">
        <v>1059</v>
      </c>
      <c r="Y756" t="s">
        <v>39</v>
      </c>
      <c r="Z756" t="s">
        <v>40</v>
      </c>
      <c r="AA756" t="s">
        <v>53</v>
      </c>
      <c r="AB756" t="s">
        <v>436</v>
      </c>
    </row>
    <row r="757" spans="1:28" x14ac:dyDescent="0.8">
      <c r="A757">
        <v>359</v>
      </c>
      <c r="B757">
        <v>365</v>
      </c>
      <c r="C757" s="2">
        <v>44385</v>
      </c>
      <c r="D757" t="s">
        <v>213</v>
      </c>
      <c r="E757" t="s">
        <v>63</v>
      </c>
      <c r="F757" t="s">
        <v>26</v>
      </c>
      <c r="G757" t="s">
        <v>27</v>
      </c>
      <c r="H757" t="s">
        <v>28</v>
      </c>
      <c r="I757" t="s">
        <v>223</v>
      </c>
      <c r="K757" t="s">
        <v>224</v>
      </c>
      <c r="L757" t="s">
        <v>112</v>
      </c>
      <c r="M757" t="s">
        <v>442</v>
      </c>
      <c r="O757" t="s">
        <v>412</v>
      </c>
      <c r="P757" t="s">
        <v>85</v>
      </c>
      <c r="Q757" t="s">
        <v>167</v>
      </c>
      <c r="R757" t="s">
        <v>413</v>
      </c>
      <c r="S757" t="s">
        <v>414</v>
      </c>
      <c r="T757" t="s">
        <v>415</v>
      </c>
      <c r="U757" s="10" t="s">
        <v>1061</v>
      </c>
      <c r="V757" s="10" t="s">
        <v>1083</v>
      </c>
      <c r="W757" s="10" t="s">
        <v>1066</v>
      </c>
      <c r="X757" s="10" t="s">
        <v>1059</v>
      </c>
      <c r="Y757" t="s">
        <v>39</v>
      </c>
      <c r="Z757" t="s">
        <v>40</v>
      </c>
      <c r="AA757" t="s">
        <v>53</v>
      </c>
      <c r="AB757" t="s">
        <v>438</v>
      </c>
    </row>
    <row r="758" spans="1:28" x14ac:dyDescent="0.8">
      <c r="A758">
        <v>327</v>
      </c>
      <c r="B758">
        <v>243</v>
      </c>
      <c r="C758" s="2">
        <v>44385</v>
      </c>
      <c r="D758" t="s">
        <v>213</v>
      </c>
      <c r="E758" t="s">
        <v>63</v>
      </c>
      <c r="F758" t="s">
        <v>26</v>
      </c>
      <c r="G758" t="s">
        <v>27</v>
      </c>
      <c r="H758" t="s">
        <v>28</v>
      </c>
      <c r="I758" t="s">
        <v>223</v>
      </c>
      <c r="K758" t="s">
        <v>224</v>
      </c>
      <c r="L758" t="s">
        <v>112</v>
      </c>
      <c r="M758" t="s">
        <v>442</v>
      </c>
      <c r="O758" t="s">
        <v>412</v>
      </c>
      <c r="P758" t="s">
        <v>85</v>
      </c>
      <c r="Q758" t="s">
        <v>167</v>
      </c>
      <c r="R758" t="s">
        <v>413</v>
      </c>
      <c r="S758" t="s">
        <v>414</v>
      </c>
      <c r="T758" t="s">
        <v>415</v>
      </c>
      <c r="U758" s="10" t="s">
        <v>1061</v>
      </c>
      <c r="V758" s="10" t="s">
        <v>1083</v>
      </c>
      <c r="W758" s="10" t="s">
        <v>1066</v>
      </c>
      <c r="X758" s="10" t="s">
        <v>1059</v>
      </c>
      <c r="Y758" t="s">
        <v>39</v>
      </c>
      <c r="Z758" t="s">
        <v>40</v>
      </c>
      <c r="AA758" t="s">
        <v>53</v>
      </c>
    </row>
    <row r="759" spans="1:28" x14ac:dyDescent="0.8">
      <c r="A759">
        <v>371</v>
      </c>
      <c r="B759">
        <v>467</v>
      </c>
      <c r="C759" s="2">
        <v>44385</v>
      </c>
      <c r="D759" t="s">
        <v>213</v>
      </c>
      <c r="E759" t="s">
        <v>25</v>
      </c>
      <c r="F759" t="s">
        <v>26</v>
      </c>
      <c r="G759" t="s">
        <v>27</v>
      </c>
      <c r="H759" t="s">
        <v>114</v>
      </c>
      <c r="I759" t="s">
        <v>115</v>
      </c>
      <c r="J759" t="s">
        <v>174</v>
      </c>
      <c r="K759" t="s">
        <v>175</v>
      </c>
      <c r="L759" t="s">
        <v>176</v>
      </c>
      <c r="M759" t="s">
        <v>177</v>
      </c>
      <c r="O759" t="s">
        <v>412</v>
      </c>
      <c r="P759" t="s">
        <v>85</v>
      </c>
      <c r="Q759" t="s">
        <v>167</v>
      </c>
      <c r="R759" t="s">
        <v>413</v>
      </c>
      <c r="S759" t="s">
        <v>414</v>
      </c>
      <c r="T759" t="s">
        <v>415</v>
      </c>
      <c r="U759" s="10" t="s">
        <v>1061</v>
      </c>
      <c r="V759" s="10" t="s">
        <v>1083</v>
      </c>
      <c r="W759" s="10" t="s">
        <v>1066</v>
      </c>
      <c r="X759" s="10" t="s">
        <v>1059</v>
      </c>
      <c r="Y759" t="s">
        <v>39</v>
      </c>
      <c r="Z759" t="s">
        <v>40</v>
      </c>
      <c r="AA759" t="s">
        <v>53</v>
      </c>
      <c r="AB759" t="s">
        <v>222</v>
      </c>
    </row>
    <row r="760" spans="1:28" x14ac:dyDescent="0.8">
      <c r="A760">
        <v>370</v>
      </c>
      <c r="B760">
        <v>466</v>
      </c>
      <c r="C760" s="2">
        <v>44385</v>
      </c>
      <c r="D760" t="s">
        <v>213</v>
      </c>
      <c r="E760" t="s">
        <v>25</v>
      </c>
      <c r="F760" t="s">
        <v>26</v>
      </c>
      <c r="G760" t="s">
        <v>27</v>
      </c>
      <c r="H760" t="s">
        <v>114</v>
      </c>
      <c r="I760" t="s">
        <v>115</v>
      </c>
      <c r="J760" t="s">
        <v>120</v>
      </c>
      <c r="K760" t="s">
        <v>121</v>
      </c>
      <c r="L760" t="s">
        <v>122</v>
      </c>
      <c r="M760" t="s">
        <v>123</v>
      </c>
      <c r="O760" t="s">
        <v>412</v>
      </c>
      <c r="P760" t="s">
        <v>85</v>
      </c>
      <c r="Q760" t="s">
        <v>167</v>
      </c>
      <c r="R760" t="s">
        <v>413</v>
      </c>
      <c r="S760" t="s">
        <v>414</v>
      </c>
      <c r="T760" t="s">
        <v>415</v>
      </c>
      <c r="U760" s="10" t="s">
        <v>1061</v>
      </c>
      <c r="V760" s="10" t="s">
        <v>1083</v>
      </c>
      <c r="W760" s="10" t="s">
        <v>1066</v>
      </c>
      <c r="X760" s="10" t="s">
        <v>1059</v>
      </c>
      <c r="Y760" t="s">
        <v>39</v>
      </c>
      <c r="Z760" t="s">
        <v>40</v>
      </c>
      <c r="AA760" t="s">
        <v>53</v>
      </c>
      <c r="AB760" t="s">
        <v>226</v>
      </c>
    </row>
    <row r="761" spans="1:28" x14ac:dyDescent="0.8">
      <c r="A761">
        <v>343</v>
      </c>
      <c r="B761">
        <v>349</v>
      </c>
      <c r="C761" s="2">
        <v>44385</v>
      </c>
      <c r="D761" t="s">
        <v>213</v>
      </c>
      <c r="E761" t="s">
        <v>25</v>
      </c>
      <c r="F761" t="s">
        <v>26</v>
      </c>
      <c r="G761" t="s">
        <v>27</v>
      </c>
      <c r="H761" t="s">
        <v>114</v>
      </c>
      <c r="I761" t="s">
        <v>115</v>
      </c>
      <c r="J761" t="s">
        <v>120</v>
      </c>
      <c r="K761" t="s">
        <v>121</v>
      </c>
      <c r="L761" t="s">
        <v>122</v>
      </c>
      <c r="M761" t="s">
        <v>123</v>
      </c>
      <c r="O761" t="s">
        <v>412</v>
      </c>
      <c r="P761" t="s">
        <v>85</v>
      </c>
      <c r="Q761" t="s">
        <v>167</v>
      </c>
      <c r="R761" t="s">
        <v>413</v>
      </c>
      <c r="S761" t="s">
        <v>414</v>
      </c>
      <c r="T761" t="s">
        <v>415</v>
      </c>
      <c r="U761" s="10" t="s">
        <v>1061</v>
      </c>
      <c r="V761" s="10" t="s">
        <v>1083</v>
      </c>
      <c r="W761" s="10" t="s">
        <v>1066</v>
      </c>
      <c r="X761" s="10" t="s">
        <v>1059</v>
      </c>
      <c r="Y761" t="s">
        <v>39</v>
      </c>
      <c r="Z761" t="s">
        <v>40</v>
      </c>
      <c r="AA761" t="s">
        <v>53</v>
      </c>
      <c r="AB761" t="s">
        <v>222</v>
      </c>
    </row>
    <row r="762" spans="1:28" x14ac:dyDescent="0.8">
      <c r="A762">
        <v>363</v>
      </c>
      <c r="B762">
        <v>369</v>
      </c>
      <c r="C762" s="2">
        <v>44385</v>
      </c>
      <c r="D762" t="s">
        <v>213</v>
      </c>
      <c r="E762" t="s">
        <v>63</v>
      </c>
      <c r="F762" t="s">
        <v>26</v>
      </c>
      <c r="G762" t="s">
        <v>27</v>
      </c>
      <c r="H762" t="s">
        <v>114</v>
      </c>
      <c r="I762" t="s">
        <v>115</v>
      </c>
      <c r="J762" t="s">
        <v>120</v>
      </c>
      <c r="K762" t="s">
        <v>121</v>
      </c>
      <c r="L762" t="s">
        <v>122</v>
      </c>
      <c r="M762" t="s">
        <v>123</v>
      </c>
      <c r="O762" t="s">
        <v>412</v>
      </c>
      <c r="P762" t="s">
        <v>85</v>
      </c>
      <c r="Q762" t="s">
        <v>167</v>
      </c>
      <c r="R762" t="s">
        <v>413</v>
      </c>
      <c r="S762" t="s">
        <v>414</v>
      </c>
      <c r="T762" t="s">
        <v>415</v>
      </c>
      <c r="U762" s="10" t="s">
        <v>1061</v>
      </c>
      <c r="V762" s="10" t="s">
        <v>1083</v>
      </c>
      <c r="W762" s="10" t="s">
        <v>1066</v>
      </c>
      <c r="X762" s="10" t="s">
        <v>1059</v>
      </c>
      <c r="Y762" t="s">
        <v>39</v>
      </c>
      <c r="Z762" t="s">
        <v>40</v>
      </c>
      <c r="AA762" t="s">
        <v>53</v>
      </c>
      <c r="AB762" t="s">
        <v>443</v>
      </c>
    </row>
    <row r="763" spans="1:28" x14ac:dyDescent="0.8">
      <c r="A763">
        <v>358</v>
      </c>
      <c r="B763">
        <v>364</v>
      </c>
      <c r="C763" s="2">
        <v>44385</v>
      </c>
      <c r="D763" t="s">
        <v>213</v>
      </c>
      <c r="E763" t="s">
        <v>63</v>
      </c>
      <c r="F763" t="s">
        <v>26</v>
      </c>
      <c r="G763" t="s">
        <v>27</v>
      </c>
      <c r="H763" t="s">
        <v>114</v>
      </c>
      <c r="I763" t="s">
        <v>115</v>
      </c>
      <c r="J763" t="s">
        <v>120</v>
      </c>
      <c r="K763" t="s">
        <v>121</v>
      </c>
      <c r="L763" t="s">
        <v>122</v>
      </c>
      <c r="M763" t="s">
        <v>123</v>
      </c>
      <c r="O763" t="s">
        <v>412</v>
      </c>
      <c r="P763" t="s">
        <v>85</v>
      </c>
      <c r="Q763" t="s">
        <v>167</v>
      </c>
      <c r="R763" t="s">
        <v>413</v>
      </c>
      <c r="S763" t="s">
        <v>414</v>
      </c>
      <c r="T763" t="s">
        <v>415</v>
      </c>
      <c r="U763" s="10" t="s">
        <v>1061</v>
      </c>
      <c r="V763" s="10" t="s">
        <v>1083</v>
      </c>
      <c r="W763" s="10" t="s">
        <v>1066</v>
      </c>
      <c r="X763" s="10" t="s">
        <v>1059</v>
      </c>
      <c r="Y763" t="s">
        <v>39</v>
      </c>
      <c r="Z763" t="s">
        <v>40</v>
      </c>
      <c r="AA763" t="s">
        <v>53</v>
      </c>
      <c r="AB763" t="s">
        <v>443</v>
      </c>
    </row>
    <row r="764" spans="1:28" x14ac:dyDescent="0.8">
      <c r="A764">
        <v>353</v>
      </c>
      <c r="B764">
        <v>359</v>
      </c>
      <c r="C764" s="2">
        <v>44385</v>
      </c>
      <c r="D764" t="s">
        <v>213</v>
      </c>
      <c r="E764" t="s">
        <v>25</v>
      </c>
      <c r="F764" t="s">
        <v>26</v>
      </c>
      <c r="G764" t="s">
        <v>45</v>
      </c>
      <c r="H764" t="s">
        <v>46</v>
      </c>
      <c r="I764" t="s">
        <v>47</v>
      </c>
      <c r="J764" t="s">
        <v>48</v>
      </c>
      <c r="K764" t="s">
        <v>49</v>
      </c>
      <c r="L764" t="s">
        <v>91</v>
      </c>
      <c r="M764" t="s">
        <v>92</v>
      </c>
      <c r="N764" t="s">
        <v>61</v>
      </c>
      <c r="O764" t="s">
        <v>412</v>
      </c>
      <c r="P764" t="s">
        <v>85</v>
      </c>
      <c r="Q764" t="s">
        <v>167</v>
      </c>
      <c r="R764" t="s">
        <v>413</v>
      </c>
      <c r="S764" t="s">
        <v>414</v>
      </c>
      <c r="T764" t="s">
        <v>415</v>
      </c>
      <c r="U764" s="10" t="s">
        <v>1061</v>
      </c>
      <c r="V764" s="10" t="s">
        <v>1083</v>
      </c>
      <c r="W764" s="10" t="s">
        <v>1066</v>
      </c>
      <c r="X764" s="10" t="s">
        <v>1059</v>
      </c>
      <c r="Y764" t="s">
        <v>39</v>
      </c>
      <c r="Z764" t="s">
        <v>40</v>
      </c>
      <c r="AA764" t="s">
        <v>53</v>
      </c>
      <c r="AB764" t="s">
        <v>435</v>
      </c>
    </row>
    <row r="765" spans="1:28" x14ac:dyDescent="0.8">
      <c r="A765">
        <v>304</v>
      </c>
      <c r="B765">
        <v>120</v>
      </c>
      <c r="C765" s="2">
        <v>44385</v>
      </c>
      <c r="D765" t="s">
        <v>213</v>
      </c>
      <c r="E765" t="s">
        <v>25</v>
      </c>
      <c r="F765" t="s">
        <v>26</v>
      </c>
      <c r="G765" t="s">
        <v>45</v>
      </c>
      <c r="H765" t="s">
        <v>46</v>
      </c>
      <c r="I765" t="s">
        <v>47</v>
      </c>
      <c r="J765" t="s">
        <v>48</v>
      </c>
      <c r="K765" t="s">
        <v>49</v>
      </c>
      <c r="L765" t="s">
        <v>91</v>
      </c>
      <c r="M765" t="s">
        <v>92</v>
      </c>
      <c r="N765" t="s">
        <v>61</v>
      </c>
      <c r="O765" t="s">
        <v>412</v>
      </c>
      <c r="P765" t="s">
        <v>85</v>
      </c>
      <c r="Q765" t="s">
        <v>167</v>
      </c>
      <c r="R765" t="s">
        <v>413</v>
      </c>
      <c r="S765" t="s">
        <v>414</v>
      </c>
      <c r="T765" t="s">
        <v>415</v>
      </c>
      <c r="U765" s="10" t="s">
        <v>1061</v>
      </c>
      <c r="V765" s="10" t="s">
        <v>1083</v>
      </c>
      <c r="W765" s="10" t="s">
        <v>1066</v>
      </c>
      <c r="X765" s="10" t="s">
        <v>1059</v>
      </c>
      <c r="Y765" t="s">
        <v>140</v>
      </c>
      <c r="Z765" t="s">
        <v>40</v>
      </c>
      <c r="AA765" t="s">
        <v>53</v>
      </c>
    </row>
    <row r="766" spans="1:28" x14ac:dyDescent="0.8">
      <c r="A766">
        <v>303</v>
      </c>
      <c r="B766">
        <v>119</v>
      </c>
      <c r="C766" s="2">
        <v>44385</v>
      </c>
      <c r="D766" t="s">
        <v>213</v>
      </c>
      <c r="E766" t="s">
        <v>25</v>
      </c>
      <c r="F766" t="s">
        <v>26</v>
      </c>
      <c r="G766" t="s">
        <v>45</v>
      </c>
      <c r="H766" t="s">
        <v>46</v>
      </c>
      <c r="I766" t="s">
        <v>47</v>
      </c>
      <c r="J766" t="s">
        <v>48</v>
      </c>
      <c r="K766" t="s">
        <v>49</v>
      </c>
      <c r="L766" t="s">
        <v>91</v>
      </c>
      <c r="M766" t="s">
        <v>92</v>
      </c>
      <c r="N766" t="s">
        <v>61</v>
      </c>
      <c r="O766" t="s">
        <v>412</v>
      </c>
      <c r="P766" t="s">
        <v>85</v>
      </c>
      <c r="Q766" t="s">
        <v>167</v>
      </c>
      <c r="R766" t="s">
        <v>413</v>
      </c>
      <c r="S766" t="s">
        <v>414</v>
      </c>
      <c r="T766" t="s">
        <v>415</v>
      </c>
      <c r="U766" s="10" t="s">
        <v>1061</v>
      </c>
      <c r="V766" s="10" t="s">
        <v>1083</v>
      </c>
      <c r="W766" s="10" t="s">
        <v>1066</v>
      </c>
      <c r="X766" s="10" t="s">
        <v>1059</v>
      </c>
      <c r="Y766" t="s">
        <v>140</v>
      </c>
      <c r="Z766" t="s">
        <v>62</v>
      </c>
      <c r="AA766" t="s">
        <v>53</v>
      </c>
    </row>
    <row r="767" spans="1:28" x14ac:dyDescent="0.8">
      <c r="A767">
        <v>346</v>
      </c>
      <c r="B767">
        <v>352</v>
      </c>
      <c r="C767" s="2">
        <v>44385</v>
      </c>
      <c r="D767" t="s">
        <v>213</v>
      </c>
      <c r="E767" t="s">
        <v>103</v>
      </c>
      <c r="F767" t="s">
        <v>26</v>
      </c>
      <c r="G767" t="s">
        <v>94</v>
      </c>
      <c r="H767" t="s">
        <v>95</v>
      </c>
      <c r="I767" t="s">
        <v>96</v>
      </c>
      <c r="J767" t="s">
        <v>97</v>
      </c>
      <c r="K767" t="s">
        <v>98</v>
      </c>
      <c r="L767" t="s">
        <v>99</v>
      </c>
      <c r="M767" t="s">
        <v>100</v>
      </c>
      <c r="N767" t="s">
        <v>101</v>
      </c>
      <c r="O767" t="s">
        <v>412</v>
      </c>
      <c r="P767" t="s">
        <v>85</v>
      </c>
      <c r="Q767" t="s">
        <v>167</v>
      </c>
      <c r="R767" t="s">
        <v>413</v>
      </c>
      <c r="S767" t="s">
        <v>414</v>
      </c>
      <c r="T767" t="s">
        <v>415</v>
      </c>
      <c r="U767" s="10" t="s">
        <v>1061</v>
      </c>
      <c r="V767" s="10" t="s">
        <v>1083</v>
      </c>
      <c r="W767" s="10" t="s">
        <v>1066</v>
      </c>
      <c r="X767" s="10" t="s">
        <v>1059</v>
      </c>
      <c r="Y767" t="s">
        <v>39</v>
      </c>
      <c r="Z767" t="s">
        <v>40</v>
      </c>
      <c r="AA767" t="s">
        <v>53</v>
      </c>
    </row>
    <row r="768" spans="1:28" x14ac:dyDescent="0.8">
      <c r="A768">
        <v>1672</v>
      </c>
      <c r="B768">
        <v>445</v>
      </c>
      <c r="C768" s="2">
        <v>44388</v>
      </c>
      <c r="D768" t="s">
        <v>124</v>
      </c>
      <c r="E768" t="s">
        <v>63</v>
      </c>
      <c r="F768" t="s">
        <v>26</v>
      </c>
      <c r="G768" t="s">
        <v>27</v>
      </c>
      <c r="H768" t="s">
        <v>114</v>
      </c>
      <c r="I768" t="s">
        <v>115</v>
      </c>
      <c r="J768" t="s">
        <v>120</v>
      </c>
      <c r="K768" t="s">
        <v>121</v>
      </c>
      <c r="L768" t="s">
        <v>122</v>
      </c>
      <c r="M768" t="s">
        <v>123</v>
      </c>
      <c r="O768" t="s">
        <v>412</v>
      </c>
      <c r="P768" t="s">
        <v>85</v>
      </c>
      <c r="Q768" t="s">
        <v>167</v>
      </c>
      <c r="R768" t="s">
        <v>413</v>
      </c>
      <c r="S768" t="s">
        <v>414</v>
      </c>
      <c r="T768" t="s">
        <v>415</v>
      </c>
      <c r="U768" s="10" t="s">
        <v>1061</v>
      </c>
      <c r="V768" s="10" t="s">
        <v>1083</v>
      </c>
      <c r="W768" s="10" t="s">
        <v>1066</v>
      </c>
      <c r="X768" s="10" t="s">
        <v>1059</v>
      </c>
      <c r="Y768" t="s">
        <v>39</v>
      </c>
      <c r="Z768" t="s">
        <v>40</v>
      </c>
      <c r="AA768" t="s">
        <v>41</v>
      </c>
    </row>
    <row r="769" spans="1:28" x14ac:dyDescent="0.8">
      <c r="A769">
        <v>1671</v>
      </c>
      <c r="B769">
        <v>444</v>
      </c>
      <c r="C769" s="2">
        <v>44388</v>
      </c>
      <c r="D769" t="s">
        <v>124</v>
      </c>
      <c r="E769" t="s">
        <v>25</v>
      </c>
      <c r="F769" t="s">
        <v>26</v>
      </c>
      <c r="G769" t="s">
        <v>27</v>
      </c>
      <c r="H769" t="s">
        <v>114</v>
      </c>
      <c r="I769" t="s">
        <v>115</v>
      </c>
      <c r="J769" t="s">
        <v>120</v>
      </c>
      <c r="K769" t="s">
        <v>121</v>
      </c>
      <c r="L769" t="s">
        <v>122</v>
      </c>
      <c r="M769" t="s">
        <v>123</v>
      </c>
      <c r="O769" t="s">
        <v>412</v>
      </c>
      <c r="P769" t="s">
        <v>85</v>
      </c>
      <c r="Q769" t="s">
        <v>167</v>
      </c>
      <c r="R769" t="s">
        <v>413</v>
      </c>
      <c r="S769" t="s">
        <v>414</v>
      </c>
      <c r="T769" t="s">
        <v>415</v>
      </c>
      <c r="U769" s="10" t="s">
        <v>1061</v>
      </c>
      <c r="V769" s="10" t="s">
        <v>1083</v>
      </c>
      <c r="W769" s="10" t="s">
        <v>1066</v>
      </c>
      <c r="X769" s="10" t="s">
        <v>1059</v>
      </c>
      <c r="Y769" t="s">
        <v>39</v>
      </c>
      <c r="Z769" t="s">
        <v>40</v>
      </c>
      <c r="AA769" t="s">
        <v>41</v>
      </c>
    </row>
    <row r="770" spans="1:28" x14ac:dyDescent="0.8">
      <c r="A770">
        <v>1590</v>
      </c>
      <c r="B770">
        <v>577</v>
      </c>
      <c r="C770" s="2">
        <v>44388</v>
      </c>
      <c r="D770" t="s">
        <v>124</v>
      </c>
      <c r="E770" t="s">
        <v>63</v>
      </c>
      <c r="F770" t="s">
        <v>26</v>
      </c>
      <c r="G770" t="s">
        <v>45</v>
      </c>
      <c r="H770" t="s">
        <v>68</v>
      </c>
      <c r="I770" t="s">
        <v>69</v>
      </c>
      <c r="J770" t="s">
        <v>70</v>
      </c>
      <c r="K770" t="s">
        <v>71</v>
      </c>
      <c r="L770" t="s">
        <v>72</v>
      </c>
      <c r="M770" t="s">
        <v>73</v>
      </c>
      <c r="N770" t="s">
        <v>61</v>
      </c>
      <c r="O770" t="s">
        <v>412</v>
      </c>
      <c r="P770" t="s">
        <v>85</v>
      </c>
      <c r="Q770" t="s">
        <v>167</v>
      </c>
      <c r="R770" t="s">
        <v>413</v>
      </c>
      <c r="S770" t="s">
        <v>414</v>
      </c>
      <c r="T770" t="s">
        <v>415</v>
      </c>
      <c r="U770" s="10" t="s">
        <v>1061</v>
      </c>
      <c r="V770" s="10" t="s">
        <v>1083</v>
      </c>
      <c r="W770" s="10" t="s">
        <v>1066</v>
      </c>
      <c r="X770" s="10" t="s">
        <v>1059</v>
      </c>
      <c r="Y770" t="s">
        <v>39</v>
      </c>
      <c r="Z770" t="s">
        <v>40</v>
      </c>
      <c r="AA770" t="s">
        <v>125</v>
      </c>
    </row>
    <row r="771" spans="1:28" x14ac:dyDescent="0.8">
      <c r="A771">
        <v>562</v>
      </c>
      <c r="B771">
        <v>193</v>
      </c>
      <c r="C771" s="2">
        <v>44388</v>
      </c>
      <c r="D771" t="s">
        <v>124</v>
      </c>
      <c r="E771" t="s">
        <v>63</v>
      </c>
      <c r="F771" t="s">
        <v>26</v>
      </c>
      <c r="G771" t="s">
        <v>45</v>
      </c>
      <c r="H771" t="s">
        <v>55</v>
      </c>
      <c r="I771" t="s">
        <v>56</v>
      </c>
      <c r="J771" t="s">
        <v>57</v>
      </c>
      <c r="K771" t="s">
        <v>58</v>
      </c>
      <c r="L771" t="s">
        <v>59</v>
      </c>
      <c r="M771" t="s">
        <v>60</v>
      </c>
      <c r="N771" t="s">
        <v>61</v>
      </c>
      <c r="O771" t="s">
        <v>412</v>
      </c>
      <c r="P771" t="s">
        <v>85</v>
      </c>
      <c r="Q771" t="s">
        <v>167</v>
      </c>
      <c r="R771" t="s">
        <v>413</v>
      </c>
      <c r="S771" t="s">
        <v>414</v>
      </c>
      <c r="T771" t="s">
        <v>415</v>
      </c>
      <c r="U771" s="10" t="s">
        <v>1061</v>
      </c>
      <c r="V771" s="10" t="s">
        <v>1083</v>
      </c>
      <c r="W771" s="10" t="s">
        <v>1066</v>
      </c>
      <c r="X771" s="10" t="s">
        <v>1059</v>
      </c>
      <c r="Y771" t="s">
        <v>39</v>
      </c>
      <c r="Z771" t="s">
        <v>40</v>
      </c>
      <c r="AA771" t="s">
        <v>63</v>
      </c>
    </row>
    <row r="772" spans="1:28" x14ac:dyDescent="0.8">
      <c r="A772">
        <v>197</v>
      </c>
      <c r="B772">
        <v>1423</v>
      </c>
      <c r="C772" s="2">
        <v>44388</v>
      </c>
      <c r="D772" t="s">
        <v>124</v>
      </c>
      <c r="E772" t="s">
        <v>25</v>
      </c>
      <c r="F772" t="s">
        <v>26</v>
      </c>
      <c r="G772" t="s">
        <v>45</v>
      </c>
      <c r="H772" t="s">
        <v>55</v>
      </c>
      <c r="I772" t="s">
        <v>56</v>
      </c>
      <c r="J772" t="s">
        <v>57</v>
      </c>
      <c r="K772" t="s">
        <v>58</v>
      </c>
      <c r="L772" t="s">
        <v>59</v>
      </c>
      <c r="M772" t="s">
        <v>60</v>
      </c>
      <c r="N772" t="s">
        <v>61</v>
      </c>
      <c r="O772" t="s">
        <v>412</v>
      </c>
      <c r="P772" t="s">
        <v>85</v>
      </c>
      <c r="Q772" t="s">
        <v>167</v>
      </c>
      <c r="R772" t="s">
        <v>413</v>
      </c>
      <c r="S772" t="s">
        <v>414</v>
      </c>
      <c r="T772" t="s">
        <v>415</v>
      </c>
      <c r="U772" s="10" t="s">
        <v>1061</v>
      </c>
      <c r="V772" s="10" t="s">
        <v>1083</v>
      </c>
      <c r="W772" s="10" t="s">
        <v>1066</v>
      </c>
      <c r="X772" s="10" t="s">
        <v>1059</v>
      </c>
      <c r="Y772" t="s">
        <v>140</v>
      </c>
      <c r="Z772" t="s">
        <v>40</v>
      </c>
      <c r="AA772" t="s">
        <v>53</v>
      </c>
    </row>
    <row r="773" spans="1:28" x14ac:dyDescent="0.8">
      <c r="A773">
        <v>193</v>
      </c>
      <c r="B773">
        <v>1419</v>
      </c>
      <c r="C773" s="2">
        <v>44388</v>
      </c>
      <c r="D773" t="s">
        <v>124</v>
      </c>
      <c r="E773" t="s">
        <v>25</v>
      </c>
      <c r="F773" t="s">
        <v>26</v>
      </c>
      <c r="G773" t="s">
        <v>45</v>
      </c>
      <c r="H773" t="s">
        <v>55</v>
      </c>
      <c r="I773" t="s">
        <v>56</v>
      </c>
      <c r="J773" t="s">
        <v>57</v>
      </c>
      <c r="K773" t="s">
        <v>58</v>
      </c>
      <c r="L773" t="s">
        <v>59</v>
      </c>
      <c r="M773" t="s">
        <v>60</v>
      </c>
      <c r="N773" t="s">
        <v>61</v>
      </c>
      <c r="O773" t="s">
        <v>412</v>
      </c>
      <c r="P773" t="s">
        <v>85</v>
      </c>
      <c r="Q773" t="s">
        <v>167</v>
      </c>
      <c r="R773" t="s">
        <v>413</v>
      </c>
      <c r="S773" t="s">
        <v>414</v>
      </c>
      <c r="T773" t="s">
        <v>415</v>
      </c>
      <c r="U773" s="10" t="s">
        <v>1061</v>
      </c>
      <c r="V773" s="10" t="s">
        <v>1083</v>
      </c>
      <c r="W773" s="10" t="s">
        <v>1066</v>
      </c>
      <c r="X773" s="10" t="s">
        <v>1059</v>
      </c>
      <c r="Y773" t="s">
        <v>140</v>
      </c>
      <c r="Z773" t="s">
        <v>40</v>
      </c>
      <c r="AA773" t="s">
        <v>53</v>
      </c>
    </row>
    <row r="774" spans="1:28" x14ac:dyDescent="0.8">
      <c r="A774">
        <v>198</v>
      </c>
      <c r="B774">
        <v>1424</v>
      </c>
      <c r="C774" s="2">
        <v>44388</v>
      </c>
      <c r="D774" t="s">
        <v>124</v>
      </c>
      <c r="E774" t="s">
        <v>25</v>
      </c>
      <c r="F774" t="s">
        <v>26</v>
      </c>
      <c r="G774" t="s">
        <v>45</v>
      </c>
      <c r="H774" t="s">
        <v>46</v>
      </c>
      <c r="I774" t="s">
        <v>47</v>
      </c>
      <c r="J774" t="s">
        <v>48</v>
      </c>
      <c r="K774" t="s">
        <v>49</v>
      </c>
      <c r="L774" t="s">
        <v>91</v>
      </c>
      <c r="M774" t="s">
        <v>92</v>
      </c>
      <c r="N774" t="s">
        <v>61</v>
      </c>
      <c r="O774" t="s">
        <v>412</v>
      </c>
      <c r="P774" t="s">
        <v>85</v>
      </c>
      <c r="Q774" t="s">
        <v>167</v>
      </c>
      <c r="R774" t="s">
        <v>413</v>
      </c>
      <c r="S774" t="s">
        <v>414</v>
      </c>
      <c r="T774" t="s">
        <v>415</v>
      </c>
      <c r="U774" s="10" t="s">
        <v>1061</v>
      </c>
      <c r="V774" s="10" t="s">
        <v>1083</v>
      </c>
      <c r="W774" s="10" t="s">
        <v>1066</v>
      </c>
      <c r="X774" s="10" t="s">
        <v>1059</v>
      </c>
      <c r="Y774" t="s">
        <v>140</v>
      </c>
      <c r="Z774" t="s">
        <v>40</v>
      </c>
      <c r="AA774" t="s">
        <v>53</v>
      </c>
    </row>
    <row r="775" spans="1:28" x14ac:dyDescent="0.8">
      <c r="A775">
        <v>657</v>
      </c>
      <c r="B775">
        <v>994</v>
      </c>
      <c r="C775" s="2">
        <v>44384</v>
      </c>
      <c r="D775" t="s">
        <v>306</v>
      </c>
      <c r="E775" t="s">
        <v>25</v>
      </c>
      <c r="F775" t="s">
        <v>26</v>
      </c>
      <c r="G775" t="s">
        <v>27</v>
      </c>
      <c r="H775" t="s">
        <v>114</v>
      </c>
      <c r="I775" t="s">
        <v>115</v>
      </c>
      <c r="J775" t="s">
        <v>185</v>
      </c>
      <c r="K775" t="s">
        <v>186</v>
      </c>
      <c r="L775" t="s">
        <v>421</v>
      </c>
      <c r="M775" t="s">
        <v>422</v>
      </c>
      <c r="O775" t="s">
        <v>412</v>
      </c>
      <c r="P775" t="s">
        <v>85</v>
      </c>
      <c r="Q775" t="s">
        <v>167</v>
      </c>
      <c r="R775" t="s">
        <v>413</v>
      </c>
      <c r="S775" t="s">
        <v>414</v>
      </c>
      <c r="T775" t="s">
        <v>415</v>
      </c>
      <c r="U775" s="10" t="s">
        <v>1061</v>
      </c>
      <c r="V775" s="10" t="s">
        <v>1083</v>
      </c>
      <c r="W775" s="10" t="s">
        <v>1066</v>
      </c>
      <c r="X775" s="10" t="s">
        <v>1059</v>
      </c>
      <c r="Y775" t="s">
        <v>39</v>
      </c>
      <c r="Z775" t="s">
        <v>202</v>
      </c>
      <c r="AA775" t="s">
        <v>63</v>
      </c>
    </row>
    <row r="776" spans="1:28" x14ac:dyDescent="0.8">
      <c r="A776">
        <v>649</v>
      </c>
      <c r="B776">
        <v>986</v>
      </c>
      <c r="C776" s="2">
        <v>44384</v>
      </c>
      <c r="D776" t="s">
        <v>306</v>
      </c>
      <c r="E776" t="s">
        <v>25</v>
      </c>
      <c r="F776" t="s">
        <v>26</v>
      </c>
      <c r="G776" t="s">
        <v>27</v>
      </c>
      <c r="H776" t="s">
        <v>114</v>
      </c>
      <c r="I776" t="s">
        <v>115</v>
      </c>
      <c r="J776" t="s">
        <v>185</v>
      </c>
      <c r="K776" t="s">
        <v>186</v>
      </c>
      <c r="L776" t="s">
        <v>421</v>
      </c>
      <c r="M776" t="s">
        <v>422</v>
      </c>
      <c r="O776" t="s">
        <v>412</v>
      </c>
      <c r="P776" t="s">
        <v>85</v>
      </c>
      <c r="Q776" t="s">
        <v>167</v>
      </c>
      <c r="R776" t="s">
        <v>413</v>
      </c>
      <c r="S776" t="s">
        <v>414</v>
      </c>
      <c r="T776" t="s">
        <v>415</v>
      </c>
      <c r="U776" s="10" t="s">
        <v>1061</v>
      </c>
      <c r="V776" s="10" t="s">
        <v>1083</v>
      </c>
      <c r="W776" s="10" t="s">
        <v>1066</v>
      </c>
      <c r="X776" s="10" t="s">
        <v>1059</v>
      </c>
      <c r="Y776" t="s">
        <v>39</v>
      </c>
      <c r="Z776" t="s">
        <v>202</v>
      </c>
      <c r="AA776" t="s">
        <v>63</v>
      </c>
    </row>
    <row r="777" spans="1:28" x14ac:dyDescent="0.8">
      <c r="A777">
        <v>631</v>
      </c>
      <c r="B777">
        <v>168</v>
      </c>
      <c r="C777" s="2">
        <v>44384</v>
      </c>
      <c r="D777" t="s">
        <v>306</v>
      </c>
      <c r="E777" t="s">
        <v>25</v>
      </c>
      <c r="F777" t="s">
        <v>26</v>
      </c>
      <c r="G777" t="s">
        <v>27</v>
      </c>
      <c r="H777" t="s">
        <v>114</v>
      </c>
      <c r="I777" t="s">
        <v>115</v>
      </c>
      <c r="J777" t="s">
        <v>185</v>
      </c>
      <c r="K777" t="s">
        <v>186</v>
      </c>
      <c r="L777" t="s">
        <v>421</v>
      </c>
      <c r="M777" t="s">
        <v>422</v>
      </c>
      <c r="O777" t="s">
        <v>412</v>
      </c>
      <c r="P777" t="s">
        <v>85</v>
      </c>
      <c r="Q777" t="s">
        <v>167</v>
      </c>
      <c r="R777" t="s">
        <v>413</v>
      </c>
      <c r="S777" t="s">
        <v>414</v>
      </c>
      <c r="T777" t="s">
        <v>415</v>
      </c>
      <c r="U777" s="10" t="s">
        <v>1061</v>
      </c>
      <c r="V777" s="10" t="s">
        <v>1083</v>
      </c>
      <c r="W777" s="10" t="s">
        <v>1066</v>
      </c>
      <c r="X777" s="10" t="s">
        <v>1059</v>
      </c>
      <c r="Y777" t="s">
        <v>39</v>
      </c>
      <c r="Z777" t="s">
        <v>202</v>
      </c>
      <c r="AA777" t="s">
        <v>63</v>
      </c>
    </row>
    <row r="778" spans="1:28" x14ac:dyDescent="0.8">
      <c r="A778">
        <v>397</v>
      </c>
      <c r="B778">
        <v>493</v>
      </c>
      <c r="C778" s="2">
        <v>44384</v>
      </c>
      <c r="D778" t="s">
        <v>306</v>
      </c>
      <c r="E778" t="s">
        <v>150</v>
      </c>
      <c r="F778" t="s">
        <v>26</v>
      </c>
      <c r="G778" t="s">
        <v>45</v>
      </c>
      <c r="H778" t="s">
        <v>68</v>
      </c>
      <c r="I778" t="s">
        <v>69</v>
      </c>
      <c r="J778" t="s">
        <v>70</v>
      </c>
      <c r="K778" t="s">
        <v>71</v>
      </c>
      <c r="L778" t="s">
        <v>72</v>
      </c>
      <c r="M778" t="s">
        <v>73</v>
      </c>
      <c r="N778" t="s">
        <v>61</v>
      </c>
      <c r="O778" t="s">
        <v>412</v>
      </c>
      <c r="P778" t="s">
        <v>85</v>
      </c>
      <c r="Q778" t="s">
        <v>167</v>
      </c>
      <c r="R778" t="s">
        <v>413</v>
      </c>
      <c r="S778" t="s">
        <v>414</v>
      </c>
      <c r="T778" t="s">
        <v>415</v>
      </c>
      <c r="U778" s="10" t="s">
        <v>1061</v>
      </c>
      <c r="V778" s="10" t="s">
        <v>1083</v>
      </c>
      <c r="W778" s="10" t="s">
        <v>1066</v>
      </c>
      <c r="X778" s="10" t="s">
        <v>1059</v>
      </c>
      <c r="Y778" t="s">
        <v>39</v>
      </c>
      <c r="Z778" t="s">
        <v>40</v>
      </c>
      <c r="AA778" t="s">
        <v>53</v>
      </c>
      <c r="AB778" t="s">
        <v>438</v>
      </c>
    </row>
    <row r="779" spans="1:28" x14ac:dyDescent="0.8">
      <c r="A779">
        <v>395</v>
      </c>
      <c r="B779">
        <v>491</v>
      </c>
      <c r="C779" s="2">
        <v>44384</v>
      </c>
      <c r="D779" t="s">
        <v>306</v>
      </c>
      <c r="E779" t="s">
        <v>63</v>
      </c>
      <c r="F779" t="s">
        <v>26</v>
      </c>
      <c r="G779" t="s">
        <v>45</v>
      </c>
      <c r="H779" t="s">
        <v>68</v>
      </c>
      <c r="I779" t="s">
        <v>69</v>
      </c>
      <c r="J779" t="s">
        <v>70</v>
      </c>
      <c r="K779" t="s">
        <v>71</v>
      </c>
      <c r="L779" t="s">
        <v>72</v>
      </c>
      <c r="M779" t="s">
        <v>73</v>
      </c>
      <c r="N779" t="s">
        <v>61</v>
      </c>
      <c r="O779" t="s">
        <v>412</v>
      </c>
      <c r="P779" t="s">
        <v>85</v>
      </c>
      <c r="Q779" t="s">
        <v>167</v>
      </c>
      <c r="R779" t="s">
        <v>413</v>
      </c>
      <c r="S779" t="s">
        <v>414</v>
      </c>
      <c r="T779" t="s">
        <v>415</v>
      </c>
      <c r="U779" s="10" t="s">
        <v>1061</v>
      </c>
      <c r="V779" s="10" t="s">
        <v>1083</v>
      </c>
      <c r="W779" s="10" t="s">
        <v>1066</v>
      </c>
      <c r="X779" s="10" t="s">
        <v>1059</v>
      </c>
      <c r="Y779" t="s">
        <v>39</v>
      </c>
      <c r="Z779" t="s">
        <v>40</v>
      </c>
      <c r="AA779" t="s">
        <v>53</v>
      </c>
    </row>
    <row r="780" spans="1:28" x14ac:dyDescent="0.8">
      <c r="A780">
        <v>378</v>
      </c>
      <c r="B780">
        <v>474</v>
      </c>
      <c r="C780" s="2">
        <v>44384</v>
      </c>
      <c r="D780" t="s">
        <v>306</v>
      </c>
      <c r="E780" t="s">
        <v>125</v>
      </c>
      <c r="F780" t="s">
        <v>26</v>
      </c>
      <c r="G780" t="s">
        <v>45</v>
      </c>
      <c r="H780" t="s">
        <v>68</v>
      </c>
      <c r="I780" t="s">
        <v>69</v>
      </c>
      <c r="J780" t="s">
        <v>70</v>
      </c>
      <c r="K780" t="s">
        <v>71</v>
      </c>
      <c r="L780" t="s">
        <v>72</v>
      </c>
      <c r="M780" t="s">
        <v>73</v>
      </c>
      <c r="N780" t="s">
        <v>61</v>
      </c>
      <c r="O780" t="s">
        <v>412</v>
      </c>
      <c r="P780" t="s">
        <v>85</v>
      </c>
      <c r="Q780" t="s">
        <v>167</v>
      </c>
      <c r="R780" t="s">
        <v>413</v>
      </c>
      <c r="S780" t="s">
        <v>414</v>
      </c>
      <c r="T780" t="s">
        <v>415</v>
      </c>
      <c r="U780" s="10" t="s">
        <v>1061</v>
      </c>
      <c r="V780" s="10" t="s">
        <v>1083</v>
      </c>
      <c r="W780" s="10" t="s">
        <v>1066</v>
      </c>
      <c r="X780" s="10" t="s">
        <v>1059</v>
      </c>
      <c r="Y780" t="s">
        <v>140</v>
      </c>
      <c r="Z780" t="s">
        <v>40</v>
      </c>
      <c r="AA780" t="s">
        <v>53</v>
      </c>
    </row>
    <row r="781" spans="1:28" x14ac:dyDescent="0.8">
      <c r="A781">
        <v>633</v>
      </c>
      <c r="B781">
        <v>970</v>
      </c>
      <c r="C781" s="2">
        <v>44384</v>
      </c>
      <c r="D781" t="s">
        <v>306</v>
      </c>
      <c r="E781" t="s">
        <v>63</v>
      </c>
      <c r="F781" t="s">
        <v>26</v>
      </c>
      <c r="G781" t="s">
        <v>45</v>
      </c>
      <c r="H781" t="s">
        <v>46</v>
      </c>
      <c r="I781" t="s">
        <v>47</v>
      </c>
      <c r="J781" t="s">
        <v>48</v>
      </c>
      <c r="K781" t="s">
        <v>49</v>
      </c>
      <c r="L781" t="s">
        <v>91</v>
      </c>
      <c r="M781" t="s">
        <v>92</v>
      </c>
      <c r="N781" t="s">
        <v>61</v>
      </c>
      <c r="O781" t="s">
        <v>412</v>
      </c>
      <c r="P781" t="s">
        <v>85</v>
      </c>
      <c r="Q781" t="s">
        <v>167</v>
      </c>
      <c r="R781" t="s">
        <v>413</v>
      </c>
      <c r="S781" t="s">
        <v>414</v>
      </c>
      <c r="T781" t="s">
        <v>415</v>
      </c>
      <c r="U781" s="10" t="s">
        <v>1061</v>
      </c>
      <c r="V781" s="10" t="s">
        <v>1083</v>
      </c>
      <c r="W781" s="10" t="s">
        <v>1066</v>
      </c>
      <c r="X781" s="10" t="s">
        <v>1059</v>
      </c>
      <c r="Y781" t="s">
        <v>39</v>
      </c>
      <c r="Z781" t="s">
        <v>40</v>
      </c>
      <c r="AA781" t="s">
        <v>63</v>
      </c>
      <c r="AB781" t="s">
        <v>444</v>
      </c>
    </row>
    <row r="782" spans="1:28" x14ac:dyDescent="0.8">
      <c r="A782">
        <v>632</v>
      </c>
      <c r="B782">
        <v>169</v>
      </c>
      <c r="C782" s="2">
        <v>44384</v>
      </c>
      <c r="D782" t="s">
        <v>306</v>
      </c>
      <c r="E782" t="s">
        <v>63</v>
      </c>
      <c r="F782" t="s">
        <v>26</v>
      </c>
      <c r="G782" t="s">
        <v>45</v>
      </c>
      <c r="H782" t="s">
        <v>46</v>
      </c>
      <c r="I782" t="s">
        <v>47</v>
      </c>
      <c r="J782" t="s">
        <v>48</v>
      </c>
      <c r="K782" t="s">
        <v>49</v>
      </c>
      <c r="L782" t="s">
        <v>91</v>
      </c>
      <c r="M782" t="s">
        <v>92</v>
      </c>
      <c r="N782" t="s">
        <v>61</v>
      </c>
      <c r="O782" t="s">
        <v>412</v>
      </c>
      <c r="P782" t="s">
        <v>85</v>
      </c>
      <c r="Q782" t="s">
        <v>167</v>
      </c>
      <c r="R782" t="s">
        <v>413</v>
      </c>
      <c r="S782" t="s">
        <v>414</v>
      </c>
      <c r="T782" t="s">
        <v>415</v>
      </c>
      <c r="U782" s="10" t="s">
        <v>1061</v>
      </c>
      <c r="V782" s="10" t="s">
        <v>1083</v>
      </c>
      <c r="W782" s="10" t="s">
        <v>1066</v>
      </c>
      <c r="X782" s="10" t="s">
        <v>1059</v>
      </c>
      <c r="Y782" t="s">
        <v>39</v>
      </c>
      <c r="Z782" t="s">
        <v>40</v>
      </c>
      <c r="AA782" t="s">
        <v>63</v>
      </c>
      <c r="AB782" t="s">
        <v>444</v>
      </c>
    </row>
    <row r="783" spans="1:28" x14ac:dyDescent="0.8">
      <c r="A783">
        <v>635</v>
      </c>
      <c r="B783">
        <v>972</v>
      </c>
      <c r="C783" s="2">
        <v>44384</v>
      </c>
      <c r="D783" t="s">
        <v>306</v>
      </c>
      <c r="E783" t="s">
        <v>25</v>
      </c>
      <c r="F783" t="s">
        <v>26</v>
      </c>
      <c r="G783" t="s">
        <v>45</v>
      </c>
      <c r="H783" t="s">
        <v>46</v>
      </c>
      <c r="I783" t="s">
        <v>47</v>
      </c>
      <c r="J783" t="s">
        <v>48</v>
      </c>
      <c r="K783" t="s">
        <v>49</v>
      </c>
      <c r="L783" t="s">
        <v>91</v>
      </c>
      <c r="M783" t="s">
        <v>92</v>
      </c>
      <c r="N783" t="s">
        <v>61</v>
      </c>
      <c r="O783" t="s">
        <v>412</v>
      </c>
      <c r="P783" t="s">
        <v>85</v>
      </c>
      <c r="Q783" t="s">
        <v>167</v>
      </c>
      <c r="R783" t="s">
        <v>413</v>
      </c>
      <c r="S783" t="s">
        <v>414</v>
      </c>
      <c r="T783" t="s">
        <v>415</v>
      </c>
      <c r="U783" s="10" t="s">
        <v>1061</v>
      </c>
      <c r="V783" s="10" t="s">
        <v>1083</v>
      </c>
      <c r="W783" s="10" t="s">
        <v>1066</v>
      </c>
      <c r="X783" s="10" t="s">
        <v>1059</v>
      </c>
      <c r="Y783" t="s">
        <v>39</v>
      </c>
      <c r="Z783" t="s">
        <v>62</v>
      </c>
      <c r="AA783" t="s">
        <v>63</v>
      </c>
      <c r="AB783" t="s">
        <v>445</v>
      </c>
    </row>
    <row r="784" spans="1:28" x14ac:dyDescent="0.8">
      <c r="A784">
        <v>634</v>
      </c>
      <c r="B784">
        <v>971</v>
      </c>
      <c r="C784" s="2">
        <v>44384</v>
      </c>
      <c r="D784" t="s">
        <v>306</v>
      </c>
      <c r="E784" t="s">
        <v>25</v>
      </c>
      <c r="F784" t="s">
        <v>26</v>
      </c>
      <c r="G784" t="s">
        <v>45</v>
      </c>
      <c r="H784" t="s">
        <v>46</v>
      </c>
      <c r="I784" t="s">
        <v>47</v>
      </c>
      <c r="J784" t="s">
        <v>48</v>
      </c>
      <c r="K784" t="s">
        <v>49</v>
      </c>
      <c r="L784" t="s">
        <v>91</v>
      </c>
      <c r="M784" t="s">
        <v>92</v>
      </c>
      <c r="N784" t="s">
        <v>61</v>
      </c>
      <c r="O784" t="s">
        <v>412</v>
      </c>
      <c r="P784" t="s">
        <v>85</v>
      </c>
      <c r="Q784" t="s">
        <v>167</v>
      </c>
      <c r="R784" t="s">
        <v>413</v>
      </c>
      <c r="S784" t="s">
        <v>414</v>
      </c>
      <c r="T784" t="s">
        <v>415</v>
      </c>
      <c r="U784" s="10" t="s">
        <v>1061</v>
      </c>
      <c r="V784" s="10" t="s">
        <v>1083</v>
      </c>
      <c r="W784" s="10" t="s">
        <v>1066</v>
      </c>
      <c r="X784" s="10" t="s">
        <v>1059</v>
      </c>
      <c r="Y784" t="s">
        <v>39</v>
      </c>
      <c r="Z784" t="s">
        <v>62</v>
      </c>
      <c r="AA784" t="s">
        <v>63</v>
      </c>
      <c r="AB784" t="s">
        <v>445</v>
      </c>
    </row>
    <row r="785" spans="1:28" x14ac:dyDescent="0.8">
      <c r="A785">
        <v>656</v>
      </c>
      <c r="B785">
        <v>993</v>
      </c>
      <c r="C785" s="2">
        <v>44384</v>
      </c>
      <c r="D785" t="s">
        <v>306</v>
      </c>
      <c r="E785" t="s">
        <v>25</v>
      </c>
      <c r="F785" t="s">
        <v>26</v>
      </c>
      <c r="G785" t="s">
        <v>45</v>
      </c>
      <c r="H785" t="s">
        <v>46</v>
      </c>
      <c r="I785" t="s">
        <v>47</v>
      </c>
      <c r="J785" t="s">
        <v>48</v>
      </c>
      <c r="K785" t="s">
        <v>49</v>
      </c>
      <c r="L785" t="s">
        <v>91</v>
      </c>
      <c r="M785" t="s">
        <v>92</v>
      </c>
      <c r="N785" t="s">
        <v>61</v>
      </c>
      <c r="O785" t="s">
        <v>412</v>
      </c>
      <c r="P785" t="s">
        <v>85</v>
      </c>
      <c r="Q785" t="s">
        <v>167</v>
      </c>
      <c r="R785" t="s">
        <v>413</v>
      </c>
      <c r="S785" t="s">
        <v>414</v>
      </c>
      <c r="T785" t="s">
        <v>415</v>
      </c>
      <c r="U785" s="10" t="s">
        <v>1061</v>
      </c>
      <c r="V785" s="10" t="s">
        <v>1083</v>
      </c>
      <c r="W785" s="10" t="s">
        <v>1066</v>
      </c>
      <c r="X785" s="10" t="s">
        <v>1059</v>
      </c>
      <c r="Y785" t="s">
        <v>39</v>
      </c>
      <c r="Z785" t="s">
        <v>40</v>
      </c>
      <c r="AA785" t="s">
        <v>63</v>
      </c>
      <c r="AB785" t="s">
        <v>446</v>
      </c>
    </row>
    <row r="786" spans="1:28" x14ac:dyDescent="0.8">
      <c r="A786">
        <v>655</v>
      </c>
      <c r="B786">
        <v>992</v>
      </c>
      <c r="C786" s="2">
        <v>44384</v>
      </c>
      <c r="D786" t="s">
        <v>306</v>
      </c>
      <c r="E786" t="s">
        <v>25</v>
      </c>
      <c r="F786" t="s">
        <v>26</v>
      </c>
      <c r="G786" t="s">
        <v>45</v>
      </c>
      <c r="H786" t="s">
        <v>46</v>
      </c>
      <c r="I786" t="s">
        <v>47</v>
      </c>
      <c r="J786" t="s">
        <v>48</v>
      </c>
      <c r="K786" t="s">
        <v>49</v>
      </c>
      <c r="L786" t="s">
        <v>91</v>
      </c>
      <c r="M786" t="s">
        <v>92</v>
      </c>
      <c r="N786" t="s">
        <v>61</v>
      </c>
      <c r="O786" t="s">
        <v>412</v>
      </c>
      <c r="P786" t="s">
        <v>85</v>
      </c>
      <c r="Q786" t="s">
        <v>167</v>
      </c>
      <c r="R786" t="s">
        <v>413</v>
      </c>
      <c r="S786" t="s">
        <v>414</v>
      </c>
      <c r="T786" t="s">
        <v>415</v>
      </c>
      <c r="U786" s="10" t="s">
        <v>1061</v>
      </c>
      <c r="V786" s="10" t="s">
        <v>1083</v>
      </c>
      <c r="W786" s="10" t="s">
        <v>1066</v>
      </c>
      <c r="X786" s="10" t="s">
        <v>1059</v>
      </c>
      <c r="Y786" t="s">
        <v>39</v>
      </c>
      <c r="Z786" t="s">
        <v>40</v>
      </c>
      <c r="AA786" t="s">
        <v>63</v>
      </c>
      <c r="AB786" t="s">
        <v>446</v>
      </c>
    </row>
    <row r="787" spans="1:28" x14ac:dyDescent="0.8">
      <c r="A787">
        <v>398</v>
      </c>
      <c r="B787">
        <v>494</v>
      </c>
      <c r="C787" s="2">
        <v>44384</v>
      </c>
      <c r="D787" t="s">
        <v>306</v>
      </c>
      <c r="E787" t="s">
        <v>150</v>
      </c>
      <c r="F787" t="s">
        <v>26</v>
      </c>
      <c r="G787" t="s">
        <v>45</v>
      </c>
      <c r="H787" t="s">
        <v>46</v>
      </c>
      <c r="I787" t="s">
        <v>47</v>
      </c>
      <c r="J787" t="s">
        <v>48</v>
      </c>
      <c r="K787" t="s">
        <v>49</v>
      </c>
      <c r="L787" t="s">
        <v>91</v>
      </c>
      <c r="M787" t="s">
        <v>92</v>
      </c>
      <c r="N787" t="s">
        <v>61</v>
      </c>
      <c r="O787" t="s">
        <v>412</v>
      </c>
      <c r="P787" t="s">
        <v>85</v>
      </c>
      <c r="Q787" t="s">
        <v>167</v>
      </c>
      <c r="R787" t="s">
        <v>413</v>
      </c>
      <c r="S787" t="s">
        <v>414</v>
      </c>
      <c r="T787" t="s">
        <v>415</v>
      </c>
      <c r="U787" s="10" t="s">
        <v>1061</v>
      </c>
      <c r="V787" s="10" t="s">
        <v>1083</v>
      </c>
      <c r="W787" s="10" t="s">
        <v>1066</v>
      </c>
      <c r="X787" s="10" t="s">
        <v>1059</v>
      </c>
      <c r="Y787" t="s">
        <v>39</v>
      </c>
      <c r="Z787" t="s">
        <v>40</v>
      </c>
      <c r="AA787" t="s">
        <v>53</v>
      </c>
      <c r="AB787" t="s">
        <v>439</v>
      </c>
    </row>
    <row r="788" spans="1:28" x14ac:dyDescent="0.8">
      <c r="A788">
        <v>399</v>
      </c>
      <c r="B788">
        <v>495</v>
      </c>
      <c r="C788" s="2">
        <v>44384</v>
      </c>
      <c r="D788" t="s">
        <v>306</v>
      </c>
      <c r="E788" t="s">
        <v>150</v>
      </c>
      <c r="F788" t="s">
        <v>26</v>
      </c>
      <c r="G788" t="s">
        <v>45</v>
      </c>
      <c r="H788" t="s">
        <v>46</v>
      </c>
      <c r="I788" t="s">
        <v>47</v>
      </c>
      <c r="J788" t="s">
        <v>48</v>
      </c>
      <c r="K788" t="s">
        <v>49</v>
      </c>
      <c r="L788" t="s">
        <v>91</v>
      </c>
      <c r="M788" t="s">
        <v>92</v>
      </c>
      <c r="N788" t="s">
        <v>61</v>
      </c>
      <c r="O788" t="s">
        <v>412</v>
      </c>
      <c r="P788" t="s">
        <v>85</v>
      </c>
      <c r="Q788" t="s">
        <v>167</v>
      </c>
      <c r="R788" t="s">
        <v>413</v>
      </c>
      <c r="S788" t="s">
        <v>414</v>
      </c>
      <c r="T788" t="s">
        <v>415</v>
      </c>
      <c r="U788" s="10" t="s">
        <v>1061</v>
      </c>
      <c r="V788" s="10" t="s">
        <v>1083</v>
      </c>
      <c r="W788" s="10" t="s">
        <v>1066</v>
      </c>
      <c r="X788" s="10" t="s">
        <v>1059</v>
      </c>
      <c r="Y788" t="s">
        <v>39</v>
      </c>
      <c r="Z788" t="s">
        <v>40</v>
      </c>
      <c r="AA788" t="s">
        <v>53</v>
      </c>
      <c r="AB788" t="s">
        <v>440</v>
      </c>
    </row>
    <row r="789" spans="1:28" x14ac:dyDescent="0.8">
      <c r="A789">
        <v>400</v>
      </c>
      <c r="B789">
        <v>496</v>
      </c>
      <c r="C789" s="2">
        <v>44384</v>
      </c>
      <c r="D789" t="s">
        <v>306</v>
      </c>
      <c r="E789" t="s">
        <v>150</v>
      </c>
      <c r="F789" t="s">
        <v>26</v>
      </c>
      <c r="G789" t="s">
        <v>45</v>
      </c>
      <c r="H789" t="s">
        <v>46</v>
      </c>
      <c r="I789" t="s">
        <v>47</v>
      </c>
      <c r="J789" t="s">
        <v>48</v>
      </c>
      <c r="K789" t="s">
        <v>49</v>
      </c>
      <c r="L789" t="s">
        <v>91</v>
      </c>
      <c r="M789" t="s">
        <v>92</v>
      </c>
      <c r="N789" t="s">
        <v>61</v>
      </c>
      <c r="O789" t="s">
        <v>412</v>
      </c>
      <c r="P789" t="s">
        <v>85</v>
      </c>
      <c r="Q789" t="s">
        <v>167</v>
      </c>
      <c r="R789" t="s">
        <v>413</v>
      </c>
      <c r="S789" t="s">
        <v>414</v>
      </c>
      <c r="T789" t="s">
        <v>415</v>
      </c>
      <c r="U789" s="10" t="s">
        <v>1061</v>
      </c>
      <c r="V789" s="10" t="s">
        <v>1083</v>
      </c>
      <c r="W789" s="10" t="s">
        <v>1066</v>
      </c>
      <c r="X789" s="10" t="s">
        <v>1059</v>
      </c>
      <c r="Y789" t="s">
        <v>39</v>
      </c>
      <c r="Z789" t="s">
        <v>40</v>
      </c>
      <c r="AA789" t="s">
        <v>53</v>
      </c>
      <c r="AB789" t="s">
        <v>441</v>
      </c>
    </row>
    <row r="790" spans="1:28" x14ac:dyDescent="0.8">
      <c r="A790">
        <v>629</v>
      </c>
      <c r="B790">
        <v>166</v>
      </c>
      <c r="C790" s="2">
        <v>44384</v>
      </c>
      <c r="D790" t="s">
        <v>306</v>
      </c>
      <c r="E790" t="s">
        <v>25</v>
      </c>
      <c r="F790" t="s">
        <v>26</v>
      </c>
      <c r="G790" t="s">
        <v>45</v>
      </c>
      <c r="H790" t="s">
        <v>46</v>
      </c>
      <c r="I790" t="s">
        <v>47</v>
      </c>
      <c r="J790" t="s">
        <v>48</v>
      </c>
      <c r="K790" t="s">
        <v>49</v>
      </c>
      <c r="L790" t="s">
        <v>91</v>
      </c>
      <c r="M790" t="s">
        <v>92</v>
      </c>
      <c r="N790" t="s">
        <v>61</v>
      </c>
      <c r="O790" t="s">
        <v>412</v>
      </c>
      <c r="P790" t="s">
        <v>85</v>
      </c>
      <c r="Q790" t="s">
        <v>167</v>
      </c>
      <c r="R790" t="s">
        <v>413</v>
      </c>
      <c r="S790" t="s">
        <v>414</v>
      </c>
      <c r="T790" t="s">
        <v>415</v>
      </c>
      <c r="U790" s="10" t="s">
        <v>1061</v>
      </c>
      <c r="V790" s="10" t="s">
        <v>1083</v>
      </c>
      <c r="W790" s="10" t="s">
        <v>1066</v>
      </c>
      <c r="X790" s="10" t="s">
        <v>1059</v>
      </c>
      <c r="Y790" t="s">
        <v>39</v>
      </c>
      <c r="Z790" t="s">
        <v>62</v>
      </c>
      <c r="AA790" t="s">
        <v>63</v>
      </c>
    </row>
    <row r="791" spans="1:28" x14ac:dyDescent="0.8">
      <c r="A791">
        <v>381</v>
      </c>
      <c r="B791">
        <v>477</v>
      </c>
      <c r="C791" s="2">
        <v>44384</v>
      </c>
      <c r="D791" t="s">
        <v>306</v>
      </c>
      <c r="E791" t="s">
        <v>63</v>
      </c>
      <c r="F791" t="s">
        <v>26</v>
      </c>
      <c r="G791" t="s">
        <v>45</v>
      </c>
      <c r="H791" t="s">
        <v>46</v>
      </c>
      <c r="I791" t="s">
        <v>47</v>
      </c>
      <c r="J791" t="s">
        <v>48</v>
      </c>
      <c r="K791" t="s">
        <v>49</v>
      </c>
      <c r="L791" t="s">
        <v>91</v>
      </c>
      <c r="M791" t="s">
        <v>92</v>
      </c>
      <c r="N791" t="s">
        <v>61</v>
      </c>
      <c r="O791" t="s">
        <v>412</v>
      </c>
      <c r="P791" t="s">
        <v>85</v>
      </c>
      <c r="Q791" t="s">
        <v>167</v>
      </c>
      <c r="R791" t="s">
        <v>413</v>
      </c>
      <c r="S791" t="s">
        <v>414</v>
      </c>
      <c r="T791" t="s">
        <v>415</v>
      </c>
      <c r="U791" s="10" t="s">
        <v>1061</v>
      </c>
      <c r="V791" s="10" t="s">
        <v>1083</v>
      </c>
      <c r="W791" s="10" t="s">
        <v>1066</v>
      </c>
      <c r="X791" s="10" t="s">
        <v>1059</v>
      </c>
      <c r="Y791" t="s">
        <v>140</v>
      </c>
      <c r="Z791" t="s">
        <v>40</v>
      </c>
      <c r="AA791" t="s">
        <v>53</v>
      </c>
    </row>
    <row r="792" spans="1:28" x14ac:dyDescent="0.8">
      <c r="A792">
        <v>650</v>
      </c>
      <c r="B792">
        <v>987</v>
      </c>
      <c r="C792" s="2">
        <v>44384</v>
      </c>
      <c r="D792" t="s">
        <v>306</v>
      </c>
      <c r="E792" t="s">
        <v>63</v>
      </c>
      <c r="F792" t="s">
        <v>26</v>
      </c>
      <c r="G792" t="s">
        <v>45</v>
      </c>
      <c r="H792" t="s">
        <v>46</v>
      </c>
      <c r="I792" t="s">
        <v>47</v>
      </c>
      <c r="J792" t="s">
        <v>48</v>
      </c>
      <c r="K792" t="s">
        <v>49</v>
      </c>
      <c r="L792" t="s">
        <v>91</v>
      </c>
      <c r="M792" t="s">
        <v>92</v>
      </c>
      <c r="N792" t="s">
        <v>61</v>
      </c>
      <c r="O792" t="s">
        <v>412</v>
      </c>
      <c r="P792" t="s">
        <v>85</v>
      </c>
      <c r="Q792" t="s">
        <v>167</v>
      </c>
      <c r="R792" t="s">
        <v>413</v>
      </c>
      <c r="S792" t="s">
        <v>414</v>
      </c>
      <c r="T792" t="s">
        <v>415</v>
      </c>
      <c r="U792" s="10" t="s">
        <v>1061</v>
      </c>
      <c r="V792" s="10" t="s">
        <v>1083</v>
      </c>
      <c r="W792" s="10" t="s">
        <v>1066</v>
      </c>
      <c r="X792" s="10" t="s">
        <v>1059</v>
      </c>
      <c r="Y792" t="s">
        <v>39</v>
      </c>
      <c r="Z792" t="s">
        <v>40</v>
      </c>
      <c r="AA792" t="s">
        <v>63</v>
      </c>
    </row>
    <row r="793" spans="1:28" x14ac:dyDescent="0.8">
      <c r="A793">
        <v>396</v>
      </c>
      <c r="B793">
        <v>492</v>
      </c>
      <c r="C793" s="2">
        <v>44384</v>
      </c>
      <c r="D793" t="s">
        <v>306</v>
      </c>
      <c r="E793" t="s">
        <v>63</v>
      </c>
      <c r="F793" t="s">
        <v>26</v>
      </c>
      <c r="G793" t="s">
        <v>45</v>
      </c>
      <c r="H793" t="s">
        <v>46</v>
      </c>
      <c r="I793" t="s">
        <v>47</v>
      </c>
      <c r="J793" t="s">
        <v>48</v>
      </c>
      <c r="K793" t="s">
        <v>49</v>
      </c>
      <c r="L793" t="s">
        <v>91</v>
      </c>
      <c r="M793" t="s">
        <v>92</v>
      </c>
      <c r="N793" t="s">
        <v>61</v>
      </c>
      <c r="O793" t="s">
        <v>412</v>
      </c>
      <c r="P793" t="s">
        <v>85</v>
      </c>
      <c r="Q793" t="s">
        <v>167</v>
      </c>
      <c r="R793" t="s">
        <v>413</v>
      </c>
      <c r="S793" t="s">
        <v>414</v>
      </c>
      <c r="T793" t="s">
        <v>415</v>
      </c>
      <c r="U793" s="10" t="s">
        <v>1061</v>
      </c>
      <c r="V793" s="10" t="s">
        <v>1083</v>
      </c>
      <c r="W793" s="10" t="s">
        <v>1066</v>
      </c>
      <c r="X793" s="10" t="s">
        <v>1059</v>
      </c>
      <c r="Y793" t="s">
        <v>39</v>
      </c>
      <c r="Z793" t="s">
        <v>40</v>
      </c>
      <c r="AA793" t="s">
        <v>53</v>
      </c>
    </row>
    <row r="794" spans="1:28" x14ac:dyDescent="0.8">
      <c r="A794">
        <v>654</v>
      </c>
      <c r="B794">
        <v>991</v>
      </c>
      <c r="C794" s="2">
        <v>44384</v>
      </c>
      <c r="D794" t="s">
        <v>306</v>
      </c>
      <c r="E794" t="s">
        <v>25</v>
      </c>
      <c r="F794" t="s">
        <v>26</v>
      </c>
      <c r="G794" t="s">
        <v>45</v>
      </c>
      <c r="H794" t="s">
        <v>46</v>
      </c>
      <c r="I794" t="s">
        <v>47</v>
      </c>
      <c r="J794" t="s">
        <v>48</v>
      </c>
      <c r="K794" t="s">
        <v>141</v>
      </c>
      <c r="L794" t="s">
        <v>293</v>
      </c>
      <c r="M794" t="s">
        <v>294</v>
      </c>
      <c r="N794" t="s">
        <v>52</v>
      </c>
      <c r="O794" t="s">
        <v>412</v>
      </c>
      <c r="P794" t="s">
        <v>85</v>
      </c>
      <c r="Q794" t="s">
        <v>167</v>
      </c>
      <c r="R794" t="s">
        <v>413</v>
      </c>
      <c r="S794" t="s">
        <v>414</v>
      </c>
      <c r="T794" t="s">
        <v>415</v>
      </c>
      <c r="U794" s="10" t="s">
        <v>1061</v>
      </c>
      <c r="V794" s="10" t="s">
        <v>1083</v>
      </c>
      <c r="W794" s="10" t="s">
        <v>1066</v>
      </c>
      <c r="X794" s="10" t="s">
        <v>1059</v>
      </c>
      <c r="Y794" t="s">
        <v>39</v>
      </c>
      <c r="Z794" t="s">
        <v>40</v>
      </c>
      <c r="AA794" t="s">
        <v>63</v>
      </c>
      <c r="AB794" t="s">
        <v>447</v>
      </c>
    </row>
    <row r="795" spans="1:28" x14ac:dyDescent="0.8">
      <c r="A795">
        <v>659</v>
      </c>
      <c r="B795">
        <v>996</v>
      </c>
      <c r="C795" s="2">
        <v>44384</v>
      </c>
      <c r="D795" t="s">
        <v>306</v>
      </c>
      <c r="E795" t="s">
        <v>25</v>
      </c>
      <c r="F795" t="s">
        <v>26</v>
      </c>
      <c r="G795" t="s">
        <v>45</v>
      </c>
      <c r="H795" t="s">
        <v>46</v>
      </c>
      <c r="I795" t="s">
        <v>47</v>
      </c>
      <c r="J795" t="s">
        <v>48</v>
      </c>
      <c r="K795" t="s">
        <v>141</v>
      </c>
      <c r="L795" t="s">
        <v>293</v>
      </c>
      <c r="M795" t="s">
        <v>294</v>
      </c>
      <c r="N795" t="s">
        <v>52</v>
      </c>
      <c r="O795" t="s">
        <v>412</v>
      </c>
      <c r="P795" t="s">
        <v>85</v>
      </c>
      <c r="Q795" t="s">
        <v>167</v>
      </c>
      <c r="R795" t="s">
        <v>413</v>
      </c>
      <c r="S795" t="s">
        <v>414</v>
      </c>
      <c r="T795" t="s">
        <v>415</v>
      </c>
      <c r="U795" s="10" t="s">
        <v>1061</v>
      </c>
      <c r="V795" s="10" t="s">
        <v>1083</v>
      </c>
      <c r="W795" s="10" t="s">
        <v>1066</v>
      </c>
      <c r="X795" s="10" t="s">
        <v>1059</v>
      </c>
      <c r="Y795" t="s">
        <v>39</v>
      </c>
      <c r="Z795" t="s">
        <v>40</v>
      </c>
      <c r="AA795" t="s">
        <v>63</v>
      </c>
      <c r="AB795" t="s">
        <v>448</v>
      </c>
    </row>
    <row r="796" spans="1:28" x14ac:dyDescent="0.8">
      <c r="A796">
        <v>401</v>
      </c>
      <c r="B796">
        <v>497</v>
      </c>
      <c r="C796" s="2">
        <v>44384</v>
      </c>
      <c r="D796" t="s">
        <v>306</v>
      </c>
      <c r="E796" t="s">
        <v>150</v>
      </c>
      <c r="F796" t="s">
        <v>26</v>
      </c>
      <c r="G796" t="s">
        <v>45</v>
      </c>
      <c r="H796" t="s">
        <v>46</v>
      </c>
      <c r="I796" t="s">
        <v>47</v>
      </c>
      <c r="J796" t="s">
        <v>48</v>
      </c>
      <c r="K796" t="s">
        <v>141</v>
      </c>
      <c r="L796" t="s">
        <v>293</v>
      </c>
      <c r="M796" t="s">
        <v>294</v>
      </c>
      <c r="N796" t="s">
        <v>52</v>
      </c>
      <c r="O796" t="s">
        <v>412</v>
      </c>
      <c r="P796" t="s">
        <v>85</v>
      </c>
      <c r="Q796" t="s">
        <v>167</v>
      </c>
      <c r="R796" t="s">
        <v>413</v>
      </c>
      <c r="S796" t="s">
        <v>414</v>
      </c>
      <c r="T796" t="s">
        <v>415</v>
      </c>
      <c r="U796" s="10" t="s">
        <v>1061</v>
      </c>
      <c r="V796" s="10" t="s">
        <v>1083</v>
      </c>
      <c r="W796" s="10" t="s">
        <v>1066</v>
      </c>
      <c r="X796" s="10" t="s">
        <v>1059</v>
      </c>
      <c r="Y796" t="s">
        <v>39</v>
      </c>
      <c r="Z796" t="s">
        <v>40</v>
      </c>
      <c r="AA796" t="s">
        <v>53</v>
      </c>
      <c r="AB796" t="s">
        <v>443</v>
      </c>
    </row>
    <row r="797" spans="1:28" x14ac:dyDescent="0.8">
      <c r="A797">
        <v>653</v>
      </c>
      <c r="B797">
        <v>990</v>
      </c>
      <c r="C797" s="2">
        <v>44384</v>
      </c>
      <c r="D797" t="s">
        <v>306</v>
      </c>
      <c r="E797" t="s">
        <v>25</v>
      </c>
      <c r="F797" t="s">
        <v>26</v>
      </c>
      <c r="G797" t="s">
        <v>45</v>
      </c>
      <c r="H797" t="s">
        <v>46</v>
      </c>
      <c r="I797" t="s">
        <v>47</v>
      </c>
      <c r="J797" t="s">
        <v>48</v>
      </c>
      <c r="K797" t="s">
        <v>141</v>
      </c>
      <c r="L797" t="s">
        <v>142</v>
      </c>
      <c r="M797" t="s">
        <v>143</v>
      </c>
      <c r="N797" t="s">
        <v>61</v>
      </c>
      <c r="O797" t="s">
        <v>412</v>
      </c>
      <c r="P797" t="s">
        <v>85</v>
      </c>
      <c r="Q797" t="s">
        <v>167</v>
      </c>
      <c r="R797" t="s">
        <v>413</v>
      </c>
      <c r="S797" t="s">
        <v>414</v>
      </c>
      <c r="T797" t="s">
        <v>415</v>
      </c>
      <c r="U797" s="10" t="s">
        <v>1061</v>
      </c>
      <c r="V797" s="10" t="s">
        <v>1083</v>
      </c>
      <c r="W797" s="10" t="s">
        <v>1066</v>
      </c>
      <c r="X797" s="10" t="s">
        <v>1059</v>
      </c>
      <c r="Y797" t="s">
        <v>39</v>
      </c>
      <c r="Z797" t="s">
        <v>40</v>
      </c>
      <c r="AA797" t="s">
        <v>63</v>
      </c>
      <c r="AB797" t="s">
        <v>447</v>
      </c>
    </row>
    <row r="798" spans="1:28" x14ac:dyDescent="0.8">
      <c r="A798">
        <v>955</v>
      </c>
      <c r="B798">
        <v>589</v>
      </c>
      <c r="C798" s="2">
        <v>44384</v>
      </c>
      <c r="D798" t="s">
        <v>242</v>
      </c>
      <c r="E798" t="s">
        <v>125</v>
      </c>
      <c r="F798" t="s">
        <v>26</v>
      </c>
      <c r="G798" t="s">
        <v>27</v>
      </c>
      <c r="H798" t="s">
        <v>28</v>
      </c>
      <c r="I798" t="s">
        <v>214</v>
      </c>
      <c r="K798" t="s">
        <v>215</v>
      </c>
      <c r="L798" t="s">
        <v>65</v>
      </c>
      <c r="M798" t="s">
        <v>449</v>
      </c>
      <c r="O798" t="s">
        <v>412</v>
      </c>
      <c r="P798" t="s">
        <v>85</v>
      </c>
      <c r="Q798" t="s">
        <v>167</v>
      </c>
      <c r="R798" t="s">
        <v>413</v>
      </c>
      <c r="S798" t="s">
        <v>414</v>
      </c>
      <c r="T798" t="s">
        <v>415</v>
      </c>
      <c r="U798" s="10" t="s">
        <v>1061</v>
      </c>
      <c r="V798" s="10" t="s">
        <v>1083</v>
      </c>
      <c r="W798" s="10" t="s">
        <v>1066</v>
      </c>
      <c r="X798" s="10" t="s">
        <v>1059</v>
      </c>
      <c r="Y798" t="s">
        <v>39</v>
      </c>
      <c r="Z798" t="s">
        <v>40</v>
      </c>
      <c r="AA798" t="s">
        <v>63</v>
      </c>
      <c r="AB798" t="s">
        <v>450</v>
      </c>
    </row>
    <row r="799" spans="1:28" x14ac:dyDescent="0.8">
      <c r="A799">
        <v>957</v>
      </c>
      <c r="B799">
        <v>1265</v>
      </c>
      <c r="C799" s="2">
        <v>44384</v>
      </c>
      <c r="D799" t="s">
        <v>242</v>
      </c>
      <c r="E799" t="s">
        <v>125</v>
      </c>
      <c r="F799" t="s">
        <v>26</v>
      </c>
      <c r="G799" t="s">
        <v>27</v>
      </c>
      <c r="H799" t="s">
        <v>114</v>
      </c>
      <c r="I799" t="s">
        <v>115</v>
      </c>
      <c r="J799" t="s">
        <v>174</v>
      </c>
      <c r="K799" t="s">
        <v>175</v>
      </c>
      <c r="L799" t="s">
        <v>176</v>
      </c>
      <c r="M799" t="s">
        <v>177</v>
      </c>
      <c r="O799" t="s">
        <v>412</v>
      </c>
      <c r="P799" t="s">
        <v>85</v>
      </c>
      <c r="Q799" t="s">
        <v>167</v>
      </c>
      <c r="R799" t="s">
        <v>413</v>
      </c>
      <c r="S799" t="s">
        <v>414</v>
      </c>
      <c r="T799" t="s">
        <v>415</v>
      </c>
      <c r="U799" s="10" t="s">
        <v>1061</v>
      </c>
      <c r="V799" s="10" t="s">
        <v>1083</v>
      </c>
      <c r="W799" s="10" t="s">
        <v>1066</v>
      </c>
      <c r="X799" s="10" t="s">
        <v>1059</v>
      </c>
      <c r="Y799" t="s">
        <v>39</v>
      </c>
      <c r="Z799" t="s">
        <v>40</v>
      </c>
      <c r="AA799" t="s">
        <v>63</v>
      </c>
      <c r="AB799" t="s">
        <v>450</v>
      </c>
    </row>
    <row r="800" spans="1:28" x14ac:dyDescent="0.8">
      <c r="A800">
        <v>956</v>
      </c>
      <c r="B800">
        <v>590</v>
      </c>
      <c r="C800" s="2">
        <v>44384</v>
      </c>
      <c r="D800" t="s">
        <v>242</v>
      </c>
      <c r="E800" t="s">
        <v>125</v>
      </c>
      <c r="F800" t="s">
        <v>26</v>
      </c>
      <c r="G800" t="s">
        <v>27</v>
      </c>
      <c r="H800" t="s">
        <v>114</v>
      </c>
      <c r="I800" t="s">
        <v>115</v>
      </c>
      <c r="J800" t="s">
        <v>174</v>
      </c>
      <c r="K800" t="s">
        <v>175</v>
      </c>
      <c r="L800" t="s">
        <v>176</v>
      </c>
      <c r="M800" t="s">
        <v>177</v>
      </c>
      <c r="O800" t="s">
        <v>412</v>
      </c>
      <c r="P800" t="s">
        <v>85</v>
      </c>
      <c r="Q800" t="s">
        <v>167</v>
      </c>
      <c r="R800" t="s">
        <v>413</v>
      </c>
      <c r="S800" t="s">
        <v>414</v>
      </c>
      <c r="T800" t="s">
        <v>415</v>
      </c>
      <c r="U800" s="10" t="s">
        <v>1061</v>
      </c>
      <c r="V800" s="10" t="s">
        <v>1083</v>
      </c>
      <c r="W800" s="10" t="s">
        <v>1066</v>
      </c>
      <c r="X800" s="10" t="s">
        <v>1059</v>
      </c>
      <c r="Y800" t="s">
        <v>39</v>
      </c>
      <c r="Z800" t="s">
        <v>40</v>
      </c>
      <c r="AA800" t="s">
        <v>63</v>
      </c>
      <c r="AB800" t="s">
        <v>450</v>
      </c>
    </row>
    <row r="801" spans="1:28" x14ac:dyDescent="0.8">
      <c r="A801">
        <v>952</v>
      </c>
      <c r="B801">
        <v>586</v>
      </c>
      <c r="C801" s="2">
        <v>44384</v>
      </c>
      <c r="D801" t="s">
        <v>242</v>
      </c>
      <c r="E801" t="s">
        <v>63</v>
      </c>
      <c r="F801" t="s">
        <v>26</v>
      </c>
      <c r="G801" t="s">
        <v>27</v>
      </c>
      <c r="H801" t="s">
        <v>114</v>
      </c>
      <c r="I801" t="s">
        <v>115</v>
      </c>
      <c r="J801" t="s">
        <v>120</v>
      </c>
      <c r="K801" t="s">
        <v>121</v>
      </c>
      <c r="L801" t="s">
        <v>122</v>
      </c>
      <c r="M801" t="s">
        <v>123</v>
      </c>
      <c r="O801" t="s">
        <v>412</v>
      </c>
      <c r="P801" t="s">
        <v>85</v>
      </c>
      <c r="Q801" t="s">
        <v>167</v>
      </c>
      <c r="R801" t="s">
        <v>413</v>
      </c>
      <c r="S801" t="s">
        <v>414</v>
      </c>
      <c r="T801" t="s">
        <v>415</v>
      </c>
      <c r="U801" s="10" t="s">
        <v>1061</v>
      </c>
      <c r="V801" s="10" t="s">
        <v>1083</v>
      </c>
      <c r="W801" s="10" t="s">
        <v>1066</v>
      </c>
      <c r="X801" s="10" t="s">
        <v>1059</v>
      </c>
      <c r="Y801" t="s">
        <v>39</v>
      </c>
      <c r="Z801" t="s">
        <v>40</v>
      </c>
      <c r="AA801" t="s">
        <v>63</v>
      </c>
    </row>
    <row r="802" spans="1:28" x14ac:dyDescent="0.8">
      <c r="A802">
        <v>950</v>
      </c>
      <c r="B802">
        <v>584</v>
      </c>
      <c r="C802" s="2">
        <v>44384</v>
      </c>
      <c r="D802" t="s">
        <v>242</v>
      </c>
      <c r="E802" t="s">
        <v>63</v>
      </c>
      <c r="F802" t="s">
        <v>26</v>
      </c>
      <c r="G802" t="s">
        <v>27</v>
      </c>
      <c r="H802" t="s">
        <v>114</v>
      </c>
      <c r="I802" t="s">
        <v>115</v>
      </c>
      <c r="J802" t="s">
        <v>120</v>
      </c>
      <c r="K802" t="s">
        <v>121</v>
      </c>
      <c r="L802" t="s">
        <v>122</v>
      </c>
      <c r="M802" t="s">
        <v>123</v>
      </c>
      <c r="O802" t="s">
        <v>412</v>
      </c>
      <c r="P802" t="s">
        <v>85</v>
      </c>
      <c r="Q802" t="s">
        <v>167</v>
      </c>
      <c r="R802" t="s">
        <v>413</v>
      </c>
      <c r="S802" t="s">
        <v>414</v>
      </c>
      <c r="T802" t="s">
        <v>415</v>
      </c>
      <c r="U802" s="10" t="s">
        <v>1061</v>
      </c>
      <c r="V802" s="10" t="s">
        <v>1083</v>
      </c>
      <c r="W802" s="10" t="s">
        <v>1066</v>
      </c>
      <c r="X802" s="10" t="s">
        <v>1059</v>
      </c>
      <c r="Y802" t="s">
        <v>39</v>
      </c>
      <c r="Z802" t="s">
        <v>40</v>
      </c>
      <c r="AA802" t="s">
        <v>63</v>
      </c>
    </row>
    <row r="803" spans="1:28" x14ac:dyDescent="0.8">
      <c r="A803">
        <v>925</v>
      </c>
      <c r="B803">
        <v>1101</v>
      </c>
      <c r="C803" s="2">
        <v>44384</v>
      </c>
      <c r="D803" t="s">
        <v>242</v>
      </c>
      <c r="E803" t="s">
        <v>150</v>
      </c>
      <c r="F803" t="s">
        <v>26</v>
      </c>
      <c r="G803" t="s">
        <v>27</v>
      </c>
      <c r="H803" t="s">
        <v>114</v>
      </c>
      <c r="I803" t="s">
        <v>115</v>
      </c>
      <c r="J803" t="s">
        <v>120</v>
      </c>
      <c r="K803" t="s">
        <v>121</v>
      </c>
      <c r="L803" t="s">
        <v>122</v>
      </c>
      <c r="M803" t="s">
        <v>123</v>
      </c>
      <c r="O803" t="s">
        <v>412</v>
      </c>
      <c r="P803" t="s">
        <v>85</v>
      </c>
      <c r="Q803" t="s">
        <v>167</v>
      </c>
      <c r="R803" t="s">
        <v>413</v>
      </c>
      <c r="S803" t="s">
        <v>414</v>
      </c>
      <c r="T803" t="s">
        <v>415</v>
      </c>
      <c r="U803" s="10" t="s">
        <v>1061</v>
      </c>
      <c r="V803" s="10" t="s">
        <v>1083</v>
      </c>
      <c r="W803" s="10" t="s">
        <v>1066</v>
      </c>
      <c r="X803" s="10" t="s">
        <v>1059</v>
      </c>
      <c r="Y803" t="s">
        <v>39</v>
      </c>
      <c r="Z803" t="s">
        <v>40</v>
      </c>
      <c r="AA803" t="s">
        <v>63</v>
      </c>
    </row>
    <row r="804" spans="1:28" x14ac:dyDescent="0.8">
      <c r="A804">
        <v>943</v>
      </c>
      <c r="B804">
        <v>1119</v>
      </c>
      <c r="C804" s="2">
        <v>44384</v>
      </c>
      <c r="D804" t="s">
        <v>242</v>
      </c>
      <c r="E804" t="s">
        <v>63</v>
      </c>
      <c r="F804" t="s">
        <v>26</v>
      </c>
      <c r="G804" t="s">
        <v>45</v>
      </c>
      <c r="H804" t="s">
        <v>68</v>
      </c>
      <c r="I804" t="s">
        <v>69</v>
      </c>
      <c r="J804" t="s">
        <v>70</v>
      </c>
      <c r="K804" t="s">
        <v>71</v>
      </c>
      <c r="L804" t="s">
        <v>72</v>
      </c>
      <c r="M804" t="s">
        <v>73</v>
      </c>
      <c r="N804" t="s">
        <v>61</v>
      </c>
      <c r="O804" t="s">
        <v>412</v>
      </c>
      <c r="P804" t="s">
        <v>85</v>
      </c>
      <c r="Q804" t="s">
        <v>167</v>
      </c>
      <c r="R804" t="s">
        <v>413</v>
      </c>
      <c r="S804" t="s">
        <v>414</v>
      </c>
      <c r="T804" t="s">
        <v>415</v>
      </c>
      <c r="U804" s="10" t="s">
        <v>1061</v>
      </c>
      <c r="V804" s="10" t="s">
        <v>1083</v>
      </c>
      <c r="W804" s="10" t="s">
        <v>1066</v>
      </c>
      <c r="X804" s="10" t="s">
        <v>1059</v>
      </c>
      <c r="Y804" t="s">
        <v>39</v>
      </c>
      <c r="Z804" t="s">
        <v>40</v>
      </c>
      <c r="AA804" t="s">
        <v>63</v>
      </c>
    </row>
    <row r="805" spans="1:28" x14ac:dyDescent="0.8">
      <c r="A805">
        <v>918</v>
      </c>
      <c r="B805">
        <v>336</v>
      </c>
      <c r="C805" s="2">
        <v>44384</v>
      </c>
      <c r="D805" t="s">
        <v>242</v>
      </c>
      <c r="E805" t="s">
        <v>150</v>
      </c>
      <c r="F805" t="s">
        <v>26</v>
      </c>
      <c r="G805" t="s">
        <v>45</v>
      </c>
      <c r="H805" t="s">
        <v>68</v>
      </c>
      <c r="I805" t="s">
        <v>69</v>
      </c>
      <c r="J805" t="s">
        <v>70</v>
      </c>
      <c r="K805" t="s">
        <v>71</v>
      </c>
      <c r="L805" t="s">
        <v>72</v>
      </c>
      <c r="M805" t="s">
        <v>73</v>
      </c>
      <c r="N805" t="s">
        <v>61</v>
      </c>
      <c r="O805" t="s">
        <v>412</v>
      </c>
      <c r="P805" t="s">
        <v>85</v>
      </c>
      <c r="Q805" t="s">
        <v>167</v>
      </c>
      <c r="R805" t="s">
        <v>413</v>
      </c>
      <c r="S805" t="s">
        <v>414</v>
      </c>
      <c r="T805" t="s">
        <v>415</v>
      </c>
      <c r="U805" s="10" t="s">
        <v>1061</v>
      </c>
      <c r="V805" s="10" t="s">
        <v>1083</v>
      </c>
      <c r="W805" s="10" t="s">
        <v>1066</v>
      </c>
      <c r="X805" s="10" t="s">
        <v>1059</v>
      </c>
      <c r="Y805" t="s">
        <v>39</v>
      </c>
      <c r="Z805" t="s">
        <v>40</v>
      </c>
      <c r="AA805" t="s">
        <v>63</v>
      </c>
    </row>
    <row r="806" spans="1:28" x14ac:dyDescent="0.8">
      <c r="A806">
        <v>916</v>
      </c>
      <c r="B806">
        <v>334</v>
      </c>
      <c r="C806" s="2">
        <v>44384</v>
      </c>
      <c r="D806" t="s">
        <v>242</v>
      </c>
      <c r="E806" t="s">
        <v>150</v>
      </c>
      <c r="F806" t="s">
        <v>26</v>
      </c>
      <c r="G806" t="s">
        <v>45</v>
      </c>
      <c r="H806" t="s">
        <v>68</v>
      </c>
      <c r="I806" t="s">
        <v>69</v>
      </c>
      <c r="J806" t="s">
        <v>70</v>
      </c>
      <c r="K806" t="s">
        <v>71</v>
      </c>
      <c r="L806" t="s">
        <v>72</v>
      </c>
      <c r="M806" t="s">
        <v>73</v>
      </c>
      <c r="N806" t="s">
        <v>61</v>
      </c>
      <c r="O806" t="s">
        <v>412</v>
      </c>
      <c r="P806" t="s">
        <v>85</v>
      </c>
      <c r="Q806" t="s">
        <v>167</v>
      </c>
      <c r="R806" t="s">
        <v>413</v>
      </c>
      <c r="S806" t="s">
        <v>414</v>
      </c>
      <c r="T806" t="s">
        <v>415</v>
      </c>
      <c r="U806" s="10" t="s">
        <v>1061</v>
      </c>
      <c r="V806" s="10" t="s">
        <v>1083</v>
      </c>
      <c r="W806" s="10" t="s">
        <v>1066</v>
      </c>
      <c r="X806" s="10" t="s">
        <v>1059</v>
      </c>
      <c r="Y806" t="s">
        <v>39</v>
      </c>
      <c r="Z806" t="s">
        <v>40</v>
      </c>
      <c r="AA806" t="s">
        <v>63</v>
      </c>
    </row>
    <row r="807" spans="1:28" x14ac:dyDescent="0.8">
      <c r="A807">
        <v>777</v>
      </c>
      <c r="B807">
        <v>1306</v>
      </c>
      <c r="C807" s="2">
        <v>44387</v>
      </c>
      <c r="D807" t="s">
        <v>149</v>
      </c>
      <c r="E807" t="s">
        <v>25</v>
      </c>
      <c r="F807" t="s">
        <v>26</v>
      </c>
      <c r="G807" t="s">
        <v>45</v>
      </c>
      <c r="H807" t="s">
        <v>46</v>
      </c>
      <c r="I807" t="s">
        <v>47</v>
      </c>
      <c r="J807" t="s">
        <v>48</v>
      </c>
      <c r="K807" t="s">
        <v>141</v>
      </c>
      <c r="L807" t="s">
        <v>142</v>
      </c>
      <c r="M807" t="s">
        <v>143</v>
      </c>
      <c r="N807" t="s">
        <v>61</v>
      </c>
      <c r="O807" t="s">
        <v>846</v>
      </c>
      <c r="P807" t="s">
        <v>34</v>
      </c>
      <c r="Q807" t="s">
        <v>847</v>
      </c>
      <c r="R807" t="s">
        <v>848</v>
      </c>
      <c r="S807" t="s">
        <v>849</v>
      </c>
      <c r="T807" t="s">
        <v>850</v>
      </c>
      <c r="U807" s="10" t="s">
        <v>1061</v>
      </c>
      <c r="V807" s="10" t="s">
        <v>1083</v>
      </c>
      <c r="W807" s="10" t="s">
        <v>1065</v>
      </c>
      <c r="X807" s="10" t="s">
        <v>1059</v>
      </c>
      <c r="Y807" t="s">
        <v>140</v>
      </c>
      <c r="Z807" t="s">
        <v>40</v>
      </c>
      <c r="AA807" t="s">
        <v>63</v>
      </c>
    </row>
    <row r="808" spans="1:28" x14ac:dyDescent="0.8">
      <c r="A808">
        <v>1697</v>
      </c>
      <c r="B808">
        <v>576</v>
      </c>
      <c r="C808" s="2">
        <v>44388</v>
      </c>
      <c r="D808" t="s">
        <v>328</v>
      </c>
      <c r="E808" t="s">
        <v>125</v>
      </c>
      <c r="F808" t="s">
        <v>26</v>
      </c>
      <c r="G808" t="s">
        <v>45</v>
      </c>
      <c r="H808" t="s">
        <v>68</v>
      </c>
      <c r="I808" t="s">
        <v>69</v>
      </c>
      <c r="J808" t="s">
        <v>70</v>
      </c>
      <c r="K808" t="s">
        <v>71</v>
      </c>
      <c r="L808" t="s">
        <v>72</v>
      </c>
      <c r="M808" t="s">
        <v>73</v>
      </c>
      <c r="N808" t="s">
        <v>61</v>
      </c>
      <c r="O808" t="s">
        <v>1006</v>
      </c>
      <c r="P808" t="s">
        <v>85</v>
      </c>
      <c r="Q808" t="s">
        <v>359</v>
      </c>
      <c r="R808" t="s">
        <v>1003</v>
      </c>
      <c r="S808" t="s">
        <v>220</v>
      </c>
      <c r="T808" t="s">
        <v>1007</v>
      </c>
      <c r="U808" s="10" t="s">
        <v>1061</v>
      </c>
      <c r="V808" s="10" t="s">
        <v>1083</v>
      </c>
      <c r="W808" s="10" t="s">
        <v>1141</v>
      </c>
      <c r="X808" s="10" t="s">
        <v>1080</v>
      </c>
      <c r="Y808" t="s">
        <v>39</v>
      </c>
      <c r="Z808" t="s">
        <v>40</v>
      </c>
      <c r="AA808" t="s">
        <v>41</v>
      </c>
    </row>
    <row r="809" spans="1:28" x14ac:dyDescent="0.8">
      <c r="A809">
        <v>1369</v>
      </c>
      <c r="B809">
        <v>2066</v>
      </c>
      <c r="C809" s="2">
        <v>44386</v>
      </c>
      <c r="D809" t="s">
        <v>67</v>
      </c>
      <c r="E809" t="s">
        <v>53</v>
      </c>
      <c r="F809" t="s">
        <v>26</v>
      </c>
      <c r="G809" t="s">
        <v>45</v>
      </c>
      <c r="H809" t="s">
        <v>68</v>
      </c>
      <c r="I809" t="s">
        <v>69</v>
      </c>
      <c r="J809" t="s">
        <v>70</v>
      </c>
      <c r="K809" t="s">
        <v>71</v>
      </c>
      <c r="L809" t="s">
        <v>72</v>
      </c>
      <c r="M809" t="s">
        <v>73</v>
      </c>
      <c r="N809" t="s">
        <v>61</v>
      </c>
      <c r="O809" t="s">
        <v>1006</v>
      </c>
      <c r="P809" t="s">
        <v>85</v>
      </c>
      <c r="Q809" t="s">
        <v>359</v>
      </c>
      <c r="R809" t="s">
        <v>1003</v>
      </c>
      <c r="S809" t="s">
        <v>220</v>
      </c>
      <c r="T809" t="s">
        <v>1007</v>
      </c>
      <c r="U809" s="10" t="s">
        <v>1061</v>
      </c>
      <c r="V809" s="10" t="s">
        <v>1083</v>
      </c>
      <c r="W809" s="10" t="s">
        <v>1141</v>
      </c>
      <c r="X809" s="10" t="s">
        <v>1080</v>
      </c>
      <c r="Y809" t="s">
        <v>39</v>
      </c>
      <c r="Z809" t="s">
        <v>40</v>
      </c>
      <c r="AA809" t="s">
        <v>63</v>
      </c>
    </row>
    <row r="810" spans="1:28" x14ac:dyDescent="0.8">
      <c r="A810">
        <v>1364</v>
      </c>
      <c r="B810">
        <v>2061</v>
      </c>
      <c r="C810" s="2">
        <v>44386</v>
      </c>
      <c r="D810" t="s">
        <v>67</v>
      </c>
      <c r="E810" t="s">
        <v>53</v>
      </c>
      <c r="F810" t="s">
        <v>26</v>
      </c>
      <c r="G810" t="s">
        <v>45</v>
      </c>
      <c r="H810" t="s">
        <v>55</v>
      </c>
      <c r="I810" t="s">
        <v>56</v>
      </c>
      <c r="J810" t="s">
        <v>57</v>
      </c>
      <c r="K810" t="s">
        <v>58</v>
      </c>
      <c r="L810" t="s">
        <v>171</v>
      </c>
      <c r="M810" t="s">
        <v>172</v>
      </c>
      <c r="N810" t="s">
        <v>52</v>
      </c>
      <c r="O810" t="s">
        <v>1006</v>
      </c>
      <c r="P810" t="s">
        <v>85</v>
      </c>
      <c r="Q810" t="s">
        <v>359</v>
      </c>
      <c r="R810" t="s">
        <v>1003</v>
      </c>
      <c r="S810" t="s">
        <v>220</v>
      </c>
      <c r="T810" t="s">
        <v>1007</v>
      </c>
      <c r="U810" s="10" t="s">
        <v>1061</v>
      </c>
      <c r="V810" s="10" t="s">
        <v>1083</v>
      </c>
      <c r="W810" s="10" t="s">
        <v>1141</v>
      </c>
      <c r="X810" s="10" t="s">
        <v>1080</v>
      </c>
      <c r="Y810" t="s">
        <v>39</v>
      </c>
      <c r="Z810" t="s">
        <v>40</v>
      </c>
      <c r="AA810" t="s">
        <v>63</v>
      </c>
    </row>
    <row r="811" spans="1:28" x14ac:dyDescent="0.8">
      <c r="A811">
        <v>1659</v>
      </c>
      <c r="B811">
        <v>430</v>
      </c>
      <c r="C811" s="2">
        <v>44388</v>
      </c>
      <c r="D811" t="s">
        <v>235</v>
      </c>
      <c r="E811" t="s">
        <v>53</v>
      </c>
      <c r="F811" t="s">
        <v>26</v>
      </c>
      <c r="G811" t="s">
        <v>45</v>
      </c>
      <c r="H811" t="s">
        <v>68</v>
      </c>
      <c r="I811" t="s">
        <v>69</v>
      </c>
      <c r="J811" t="s">
        <v>70</v>
      </c>
      <c r="K811" t="s">
        <v>71</v>
      </c>
      <c r="L811" t="s">
        <v>72</v>
      </c>
      <c r="M811" t="s">
        <v>73</v>
      </c>
      <c r="N811" t="s">
        <v>61</v>
      </c>
      <c r="O811" t="s">
        <v>1006</v>
      </c>
      <c r="P811" t="s">
        <v>85</v>
      </c>
      <c r="Q811" t="s">
        <v>359</v>
      </c>
      <c r="R811" t="s">
        <v>1003</v>
      </c>
      <c r="S811" t="s">
        <v>220</v>
      </c>
      <c r="T811" t="s">
        <v>1007</v>
      </c>
      <c r="U811" s="10" t="s">
        <v>1061</v>
      </c>
      <c r="V811" s="10" t="s">
        <v>1083</v>
      </c>
      <c r="W811" s="10" t="s">
        <v>1141</v>
      </c>
      <c r="X811" s="10" t="s">
        <v>1080</v>
      </c>
      <c r="Y811" t="s">
        <v>39</v>
      </c>
      <c r="Z811" t="s">
        <v>40</v>
      </c>
      <c r="AA811" t="s">
        <v>41</v>
      </c>
    </row>
    <row r="812" spans="1:28" x14ac:dyDescent="0.8">
      <c r="A812">
        <v>1652</v>
      </c>
      <c r="B812">
        <v>423</v>
      </c>
      <c r="C812" s="2">
        <v>44388</v>
      </c>
      <c r="D812" t="s">
        <v>235</v>
      </c>
      <c r="E812" t="s">
        <v>53</v>
      </c>
      <c r="F812" t="s">
        <v>26</v>
      </c>
      <c r="G812" t="s">
        <v>45</v>
      </c>
      <c r="H812" t="s">
        <v>68</v>
      </c>
      <c r="I812" t="s">
        <v>69</v>
      </c>
      <c r="J812" t="s">
        <v>70</v>
      </c>
      <c r="K812" t="s">
        <v>71</v>
      </c>
      <c r="L812" t="s">
        <v>72</v>
      </c>
      <c r="M812" t="s">
        <v>73</v>
      </c>
      <c r="N812" t="s">
        <v>61</v>
      </c>
      <c r="O812" t="s">
        <v>1006</v>
      </c>
      <c r="P812" t="s">
        <v>85</v>
      </c>
      <c r="Q812" t="s">
        <v>359</v>
      </c>
      <c r="R812" t="s">
        <v>1003</v>
      </c>
      <c r="S812" t="s">
        <v>220</v>
      </c>
      <c r="T812" t="s">
        <v>1007</v>
      </c>
      <c r="U812" s="10" t="s">
        <v>1061</v>
      </c>
      <c r="V812" s="10" t="s">
        <v>1083</v>
      </c>
      <c r="W812" s="10" t="s">
        <v>1141</v>
      </c>
      <c r="X812" s="10" t="s">
        <v>1080</v>
      </c>
      <c r="Y812" t="s">
        <v>39</v>
      </c>
      <c r="Z812" t="s">
        <v>40</v>
      </c>
      <c r="AA812" t="s">
        <v>41</v>
      </c>
    </row>
    <row r="813" spans="1:28" x14ac:dyDescent="0.8">
      <c r="A813">
        <v>1073</v>
      </c>
      <c r="B813">
        <v>376</v>
      </c>
      <c r="C813" s="2">
        <v>44387</v>
      </c>
      <c r="D813" t="s">
        <v>54</v>
      </c>
      <c r="E813" t="s">
        <v>25</v>
      </c>
      <c r="F813" t="s">
        <v>26</v>
      </c>
      <c r="G813" t="s">
        <v>27</v>
      </c>
      <c r="H813" t="s">
        <v>114</v>
      </c>
      <c r="I813" t="s">
        <v>115</v>
      </c>
      <c r="J813" t="s">
        <v>174</v>
      </c>
      <c r="K813" t="s">
        <v>175</v>
      </c>
      <c r="L813" t="s">
        <v>176</v>
      </c>
      <c r="M813" t="s">
        <v>177</v>
      </c>
      <c r="O813" t="s">
        <v>1006</v>
      </c>
      <c r="P813" t="s">
        <v>85</v>
      </c>
      <c r="Q813" t="s">
        <v>359</v>
      </c>
      <c r="R813" t="s">
        <v>1003</v>
      </c>
      <c r="S813" t="s">
        <v>220</v>
      </c>
      <c r="T813" t="s">
        <v>1007</v>
      </c>
      <c r="U813" s="10" t="s">
        <v>1061</v>
      </c>
      <c r="V813" s="10" t="s">
        <v>1083</v>
      </c>
      <c r="W813" s="10" t="s">
        <v>1141</v>
      </c>
      <c r="X813" s="10" t="s">
        <v>1080</v>
      </c>
      <c r="Y813" t="s">
        <v>39</v>
      </c>
      <c r="Z813" t="s">
        <v>40</v>
      </c>
      <c r="AA813" t="s">
        <v>63</v>
      </c>
    </row>
    <row r="814" spans="1:28" x14ac:dyDescent="0.8">
      <c r="A814">
        <v>1081</v>
      </c>
      <c r="B814">
        <v>503</v>
      </c>
      <c r="C814" s="2">
        <v>44387</v>
      </c>
      <c r="D814" t="s">
        <v>54</v>
      </c>
      <c r="E814" t="s">
        <v>103</v>
      </c>
      <c r="F814" t="s">
        <v>26</v>
      </c>
      <c r="G814" t="s">
        <v>45</v>
      </c>
      <c r="H814" t="s">
        <v>55</v>
      </c>
      <c r="I814" t="s">
        <v>69</v>
      </c>
      <c r="J814" t="s">
        <v>284</v>
      </c>
      <c r="K814" t="s">
        <v>285</v>
      </c>
      <c r="L814" t="s">
        <v>290</v>
      </c>
      <c r="M814" t="s">
        <v>291</v>
      </c>
      <c r="N814" t="s">
        <v>61</v>
      </c>
      <c r="O814" t="s">
        <v>1006</v>
      </c>
      <c r="P814" t="s">
        <v>85</v>
      </c>
      <c r="Q814" t="s">
        <v>359</v>
      </c>
      <c r="R814" t="s">
        <v>1003</v>
      </c>
      <c r="S814" t="s">
        <v>220</v>
      </c>
      <c r="T814" t="s">
        <v>1007</v>
      </c>
      <c r="U814" s="10" t="s">
        <v>1061</v>
      </c>
      <c r="V814" s="10" t="s">
        <v>1083</v>
      </c>
      <c r="W814" s="10" t="s">
        <v>1141</v>
      </c>
      <c r="X814" s="10" t="s">
        <v>1080</v>
      </c>
      <c r="Y814" t="s">
        <v>39</v>
      </c>
      <c r="Z814" t="s">
        <v>40</v>
      </c>
      <c r="AA814" t="s">
        <v>63</v>
      </c>
      <c r="AB814" t="s">
        <v>1008</v>
      </c>
    </row>
    <row r="815" spans="1:28" x14ac:dyDescent="0.8">
      <c r="A815">
        <v>1082</v>
      </c>
      <c r="B815">
        <v>504</v>
      </c>
      <c r="C815" s="2">
        <v>44387</v>
      </c>
      <c r="D815" t="s">
        <v>54</v>
      </c>
      <c r="E815" t="s">
        <v>103</v>
      </c>
      <c r="F815" t="s">
        <v>26</v>
      </c>
      <c r="G815" t="s">
        <v>45</v>
      </c>
      <c r="H815" t="s">
        <v>46</v>
      </c>
      <c r="I815" t="s">
        <v>47</v>
      </c>
      <c r="J815" t="s">
        <v>48</v>
      </c>
      <c r="K815" t="s">
        <v>141</v>
      </c>
      <c r="L815" t="s">
        <v>142</v>
      </c>
      <c r="M815" t="s">
        <v>143</v>
      </c>
      <c r="N815" t="s">
        <v>61</v>
      </c>
      <c r="O815" t="s">
        <v>1006</v>
      </c>
      <c r="P815" t="s">
        <v>85</v>
      </c>
      <c r="Q815" t="s">
        <v>359</v>
      </c>
      <c r="R815" t="s">
        <v>1003</v>
      </c>
      <c r="S815" t="s">
        <v>220</v>
      </c>
      <c r="T815" t="s">
        <v>1007</v>
      </c>
      <c r="U815" s="10" t="s">
        <v>1061</v>
      </c>
      <c r="V815" s="10" t="s">
        <v>1083</v>
      </c>
      <c r="W815" s="10" t="s">
        <v>1141</v>
      </c>
      <c r="X815" s="10" t="s">
        <v>1080</v>
      </c>
      <c r="Y815" t="s">
        <v>39</v>
      </c>
      <c r="Z815" t="s">
        <v>40</v>
      </c>
      <c r="AA815" t="s">
        <v>63</v>
      </c>
      <c r="AB815" t="s">
        <v>1008</v>
      </c>
    </row>
    <row r="816" spans="1:28" x14ac:dyDescent="0.8">
      <c r="A816">
        <v>1309</v>
      </c>
      <c r="B816">
        <v>2006</v>
      </c>
      <c r="C816" s="2">
        <v>44385</v>
      </c>
      <c r="D816" t="s">
        <v>104</v>
      </c>
      <c r="E816" t="s">
        <v>63</v>
      </c>
      <c r="F816" t="s">
        <v>26</v>
      </c>
      <c r="G816" t="s">
        <v>27</v>
      </c>
      <c r="H816" t="s">
        <v>28</v>
      </c>
      <c r="I816" t="s">
        <v>29</v>
      </c>
      <c r="K816" t="s">
        <v>30</v>
      </c>
      <c r="L816" t="s">
        <v>112</v>
      </c>
      <c r="M816" t="s">
        <v>1009</v>
      </c>
      <c r="O816" t="s">
        <v>1006</v>
      </c>
      <c r="P816" t="s">
        <v>85</v>
      </c>
      <c r="Q816" t="s">
        <v>359</v>
      </c>
      <c r="R816" t="s">
        <v>1003</v>
      </c>
      <c r="S816" t="s">
        <v>220</v>
      </c>
      <c r="T816" t="s">
        <v>1007</v>
      </c>
      <c r="U816" s="10" t="s">
        <v>1061</v>
      </c>
      <c r="V816" s="10" t="s">
        <v>1083</v>
      </c>
      <c r="W816" s="10" t="s">
        <v>1141</v>
      </c>
      <c r="X816" s="10" t="s">
        <v>1080</v>
      </c>
      <c r="Y816" t="s">
        <v>39</v>
      </c>
      <c r="Z816" t="s">
        <v>40</v>
      </c>
      <c r="AA816" t="s">
        <v>63</v>
      </c>
    </row>
    <row r="817" spans="1:28" x14ac:dyDescent="0.8">
      <c r="A817">
        <v>768</v>
      </c>
      <c r="B817">
        <v>1249</v>
      </c>
      <c r="C817" s="2">
        <v>44385</v>
      </c>
      <c r="D817" t="s">
        <v>108</v>
      </c>
      <c r="E817" t="s">
        <v>103</v>
      </c>
      <c r="F817" t="s">
        <v>26</v>
      </c>
      <c r="G817" t="s">
        <v>27</v>
      </c>
      <c r="H817" t="s">
        <v>114</v>
      </c>
      <c r="I817" t="s">
        <v>115</v>
      </c>
      <c r="J817" t="s">
        <v>174</v>
      </c>
      <c r="K817" t="s">
        <v>175</v>
      </c>
      <c r="L817" t="s">
        <v>176</v>
      </c>
      <c r="M817" t="s">
        <v>177</v>
      </c>
      <c r="O817" t="s">
        <v>1006</v>
      </c>
      <c r="P817" t="s">
        <v>85</v>
      </c>
      <c r="Q817" t="s">
        <v>359</v>
      </c>
      <c r="R817" t="s">
        <v>1003</v>
      </c>
      <c r="S817" t="s">
        <v>220</v>
      </c>
      <c r="T817" t="s">
        <v>1007</v>
      </c>
      <c r="U817" s="10" t="s">
        <v>1061</v>
      </c>
      <c r="V817" s="10" t="s">
        <v>1083</v>
      </c>
      <c r="W817" s="10" t="s">
        <v>1141</v>
      </c>
      <c r="X817" s="10" t="s">
        <v>1080</v>
      </c>
      <c r="Y817" t="s">
        <v>39</v>
      </c>
      <c r="Z817" t="s">
        <v>40</v>
      </c>
      <c r="AA817" t="s">
        <v>63</v>
      </c>
    </row>
    <row r="818" spans="1:28" x14ac:dyDescent="0.8">
      <c r="A818">
        <v>733</v>
      </c>
      <c r="B818">
        <v>1166</v>
      </c>
      <c r="C818" s="2">
        <v>44385</v>
      </c>
      <c r="D818" t="s">
        <v>108</v>
      </c>
      <c r="E818" t="s">
        <v>63</v>
      </c>
      <c r="F818" t="s">
        <v>26</v>
      </c>
      <c r="G818" t="s">
        <v>45</v>
      </c>
      <c r="H818" t="s">
        <v>68</v>
      </c>
      <c r="I818" t="s">
        <v>69</v>
      </c>
      <c r="J818" t="s">
        <v>70</v>
      </c>
      <c r="K818" t="s">
        <v>71</v>
      </c>
      <c r="L818" t="s">
        <v>72</v>
      </c>
      <c r="M818" t="s">
        <v>73</v>
      </c>
      <c r="N818" t="s">
        <v>61</v>
      </c>
      <c r="O818" t="s">
        <v>1006</v>
      </c>
      <c r="P818" t="s">
        <v>85</v>
      </c>
      <c r="Q818" t="s">
        <v>359</v>
      </c>
      <c r="R818" t="s">
        <v>1003</v>
      </c>
      <c r="S818" t="s">
        <v>220</v>
      </c>
      <c r="T818" t="s">
        <v>1007</v>
      </c>
      <c r="U818" s="10" t="s">
        <v>1061</v>
      </c>
      <c r="V818" s="10" t="s">
        <v>1083</v>
      </c>
      <c r="W818" s="10" t="s">
        <v>1141</v>
      </c>
      <c r="X818" s="10" t="s">
        <v>1080</v>
      </c>
      <c r="Y818" t="s">
        <v>39</v>
      </c>
      <c r="Z818" t="s">
        <v>40</v>
      </c>
      <c r="AA818" t="s">
        <v>63</v>
      </c>
    </row>
    <row r="819" spans="1:28" x14ac:dyDescent="0.8">
      <c r="A819">
        <v>752</v>
      </c>
      <c r="B819">
        <v>1233</v>
      </c>
      <c r="C819" s="2">
        <v>44385</v>
      </c>
      <c r="D819" t="s">
        <v>108</v>
      </c>
      <c r="E819" t="s">
        <v>103</v>
      </c>
      <c r="F819" t="s">
        <v>26</v>
      </c>
      <c r="G819" t="s">
        <v>45</v>
      </c>
      <c r="H819" t="s">
        <v>46</v>
      </c>
      <c r="I819" t="s">
        <v>47</v>
      </c>
      <c r="J819" t="s">
        <v>48</v>
      </c>
      <c r="K819" t="s">
        <v>141</v>
      </c>
      <c r="L819" t="s">
        <v>293</v>
      </c>
      <c r="M819" t="s">
        <v>294</v>
      </c>
      <c r="N819" t="s">
        <v>52</v>
      </c>
      <c r="O819" t="s">
        <v>1006</v>
      </c>
      <c r="P819" t="s">
        <v>85</v>
      </c>
      <c r="Q819" t="s">
        <v>359</v>
      </c>
      <c r="R819" t="s">
        <v>1003</v>
      </c>
      <c r="S819" t="s">
        <v>220</v>
      </c>
      <c r="T819" t="s">
        <v>1007</v>
      </c>
      <c r="U819" s="10" t="s">
        <v>1061</v>
      </c>
      <c r="V819" s="10" t="s">
        <v>1083</v>
      </c>
      <c r="W819" s="10" t="s">
        <v>1141</v>
      </c>
      <c r="X819" s="10" t="s">
        <v>1080</v>
      </c>
      <c r="Y819" t="s">
        <v>39</v>
      </c>
      <c r="Z819" t="s">
        <v>40</v>
      </c>
      <c r="AA819" t="s">
        <v>63</v>
      </c>
    </row>
    <row r="820" spans="1:28" x14ac:dyDescent="0.8">
      <c r="A820">
        <v>1197</v>
      </c>
      <c r="B820">
        <v>1744</v>
      </c>
      <c r="C820" s="2">
        <v>44386</v>
      </c>
      <c r="D820" t="s">
        <v>129</v>
      </c>
      <c r="E820" t="s">
        <v>53</v>
      </c>
      <c r="F820" t="s">
        <v>26</v>
      </c>
      <c r="G820" t="s">
        <v>45</v>
      </c>
      <c r="H820" t="s">
        <v>68</v>
      </c>
      <c r="I820" t="s">
        <v>69</v>
      </c>
      <c r="J820" t="s">
        <v>70</v>
      </c>
      <c r="K820" t="s">
        <v>71</v>
      </c>
      <c r="L820" t="s">
        <v>72</v>
      </c>
      <c r="M820" t="s">
        <v>73</v>
      </c>
      <c r="N820" t="s">
        <v>61</v>
      </c>
      <c r="O820" t="s">
        <v>1006</v>
      </c>
      <c r="P820" t="s">
        <v>85</v>
      </c>
      <c r="Q820" t="s">
        <v>359</v>
      </c>
      <c r="R820" t="s">
        <v>1003</v>
      </c>
      <c r="S820" t="s">
        <v>220</v>
      </c>
      <c r="T820" t="s">
        <v>1007</v>
      </c>
      <c r="U820" s="10" t="s">
        <v>1061</v>
      </c>
      <c r="V820" s="10" t="s">
        <v>1083</v>
      </c>
      <c r="W820" s="10" t="s">
        <v>1141</v>
      </c>
      <c r="X820" s="10" t="s">
        <v>1080</v>
      </c>
      <c r="Y820" t="s">
        <v>39</v>
      </c>
      <c r="Z820" t="s">
        <v>40</v>
      </c>
      <c r="AA820" t="s">
        <v>63</v>
      </c>
    </row>
    <row r="821" spans="1:28" x14ac:dyDescent="0.8">
      <c r="A821">
        <v>1174</v>
      </c>
      <c r="B821">
        <v>1671</v>
      </c>
      <c r="C821" s="2">
        <v>44386</v>
      </c>
      <c r="D821" t="s">
        <v>129</v>
      </c>
      <c r="E821" t="s">
        <v>25</v>
      </c>
      <c r="F821" t="s">
        <v>26</v>
      </c>
      <c r="G821" t="s">
        <v>45</v>
      </c>
      <c r="H821" t="s">
        <v>55</v>
      </c>
      <c r="I821" t="s">
        <v>249</v>
      </c>
      <c r="J821" t="s">
        <v>281</v>
      </c>
      <c r="K821" t="s">
        <v>282</v>
      </c>
      <c r="L821" t="s">
        <v>59</v>
      </c>
      <c r="M821" t="s">
        <v>1010</v>
      </c>
      <c r="N821" t="s">
        <v>61</v>
      </c>
      <c r="O821" t="s">
        <v>1006</v>
      </c>
      <c r="P821" t="s">
        <v>85</v>
      </c>
      <c r="Q821" t="s">
        <v>359</v>
      </c>
      <c r="R821" t="s">
        <v>1003</v>
      </c>
      <c r="S821" t="s">
        <v>220</v>
      </c>
      <c r="T821" t="s">
        <v>1007</v>
      </c>
      <c r="U821" s="10" t="s">
        <v>1061</v>
      </c>
      <c r="V821" s="10" t="s">
        <v>1083</v>
      </c>
      <c r="W821" s="10" t="s">
        <v>1141</v>
      </c>
      <c r="X821" s="10" t="s">
        <v>1080</v>
      </c>
      <c r="Y821" t="s">
        <v>39</v>
      </c>
      <c r="Z821" t="s">
        <v>40</v>
      </c>
      <c r="AA821" t="s">
        <v>63</v>
      </c>
    </row>
    <row r="822" spans="1:28" x14ac:dyDescent="0.8">
      <c r="A822">
        <v>1204</v>
      </c>
      <c r="B822">
        <v>1751</v>
      </c>
      <c r="C822" s="2">
        <v>44386</v>
      </c>
      <c r="D822" t="s">
        <v>129</v>
      </c>
      <c r="E822" t="s">
        <v>53</v>
      </c>
      <c r="F822" t="s">
        <v>26</v>
      </c>
      <c r="G822" t="s">
        <v>45</v>
      </c>
      <c r="H822" t="s">
        <v>55</v>
      </c>
      <c r="I822" t="s">
        <v>249</v>
      </c>
      <c r="J822" t="s">
        <v>250</v>
      </c>
      <c r="K822" t="s">
        <v>251</v>
      </c>
      <c r="L822" t="s">
        <v>683</v>
      </c>
      <c r="M822" t="s">
        <v>684</v>
      </c>
      <c r="N822" t="s">
        <v>52</v>
      </c>
      <c r="O822" t="s">
        <v>1006</v>
      </c>
      <c r="P822" t="s">
        <v>85</v>
      </c>
      <c r="Q822" t="s">
        <v>359</v>
      </c>
      <c r="R822" t="s">
        <v>1003</v>
      </c>
      <c r="S822" t="s">
        <v>220</v>
      </c>
      <c r="T822" t="s">
        <v>1007</v>
      </c>
      <c r="U822" s="10" t="s">
        <v>1061</v>
      </c>
      <c r="V822" s="10" t="s">
        <v>1083</v>
      </c>
      <c r="W822" s="10" t="s">
        <v>1141</v>
      </c>
      <c r="X822" s="10" t="s">
        <v>1080</v>
      </c>
      <c r="Y822" t="s">
        <v>39</v>
      </c>
      <c r="Z822" t="s">
        <v>40</v>
      </c>
      <c r="AA822" t="s">
        <v>63</v>
      </c>
    </row>
    <row r="823" spans="1:28" x14ac:dyDescent="0.8">
      <c r="A823">
        <v>339</v>
      </c>
      <c r="B823">
        <v>345</v>
      </c>
      <c r="C823" s="2">
        <v>44385</v>
      </c>
      <c r="D823" t="s">
        <v>213</v>
      </c>
      <c r="E823" t="s">
        <v>44</v>
      </c>
      <c r="F823" t="s">
        <v>26</v>
      </c>
      <c r="G823" t="s">
        <v>27</v>
      </c>
      <c r="H823" t="s">
        <v>28</v>
      </c>
      <c r="I823" t="s">
        <v>214</v>
      </c>
      <c r="K823" t="s">
        <v>215</v>
      </c>
      <c r="L823" t="s">
        <v>112</v>
      </c>
      <c r="M823" t="s">
        <v>216</v>
      </c>
      <c r="O823" t="s">
        <v>1006</v>
      </c>
      <c r="P823" t="s">
        <v>85</v>
      </c>
      <c r="Q823" t="s">
        <v>359</v>
      </c>
      <c r="R823" t="s">
        <v>1003</v>
      </c>
      <c r="S823" t="s">
        <v>220</v>
      </c>
      <c r="T823" t="s">
        <v>1007</v>
      </c>
      <c r="U823" s="10" t="s">
        <v>1061</v>
      </c>
      <c r="V823" s="10" t="s">
        <v>1083</v>
      </c>
      <c r="W823" s="10" t="s">
        <v>1141</v>
      </c>
      <c r="X823" s="10" t="s">
        <v>1080</v>
      </c>
      <c r="Y823" t="s">
        <v>39</v>
      </c>
      <c r="Z823" t="s">
        <v>40</v>
      </c>
      <c r="AA823" t="s">
        <v>53</v>
      </c>
      <c r="AB823" t="s">
        <v>222</v>
      </c>
    </row>
    <row r="824" spans="1:28" x14ac:dyDescent="0.8">
      <c r="A824">
        <v>330</v>
      </c>
      <c r="B824">
        <v>246</v>
      </c>
      <c r="C824" s="2">
        <v>44385</v>
      </c>
      <c r="D824" t="s">
        <v>213</v>
      </c>
      <c r="E824" t="s">
        <v>44</v>
      </c>
      <c r="F824" t="s">
        <v>26</v>
      </c>
      <c r="G824" t="s">
        <v>27</v>
      </c>
      <c r="H824" t="s">
        <v>28</v>
      </c>
      <c r="I824" t="s">
        <v>109</v>
      </c>
      <c r="J824" t="s">
        <v>110</v>
      </c>
      <c r="K824" t="s">
        <v>111</v>
      </c>
      <c r="L824" t="s">
        <v>112</v>
      </c>
      <c r="M824" t="s">
        <v>113</v>
      </c>
      <c r="N824" t="s">
        <v>52</v>
      </c>
      <c r="O824" t="s">
        <v>1006</v>
      </c>
      <c r="P824" t="s">
        <v>85</v>
      </c>
      <c r="Q824" t="s">
        <v>359</v>
      </c>
      <c r="R824" t="s">
        <v>1003</v>
      </c>
      <c r="S824" t="s">
        <v>220</v>
      </c>
      <c r="T824" t="s">
        <v>1007</v>
      </c>
      <c r="U824" s="10" t="s">
        <v>1061</v>
      </c>
      <c r="V824" s="10" t="s">
        <v>1083</v>
      </c>
      <c r="W824" s="10" t="s">
        <v>1141</v>
      </c>
      <c r="X824" s="10" t="s">
        <v>1080</v>
      </c>
      <c r="Y824" t="s">
        <v>39</v>
      </c>
      <c r="Z824" t="s">
        <v>40</v>
      </c>
      <c r="AA824" t="s">
        <v>53</v>
      </c>
      <c r="AB824" t="s">
        <v>226</v>
      </c>
    </row>
    <row r="825" spans="1:28" x14ac:dyDescent="0.8">
      <c r="A825">
        <v>331</v>
      </c>
      <c r="B825">
        <v>247</v>
      </c>
      <c r="C825" s="2">
        <v>44385</v>
      </c>
      <c r="D825" t="s">
        <v>213</v>
      </c>
      <c r="E825" t="s">
        <v>44</v>
      </c>
      <c r="F825" t="s">
        <v>26</v>
      </c>
      <c r="G825" t="s">
        <v>27</v>
      </c>
      <c r="H825" t="s">
        <v>28</v>
      </c>
      <c r="I825" t="s">
        <v>109</v>
      </c>
      <c r="J825" t="s">
        <v>110</v>
      </c>
      <c r="K825" t="s">
        <v>111</v>
      </c>
      <c r="L825" t="s">
        <v>112</v>
      </c>
      <c r="M825" t="s">
        <v>113</v>
      </c>
      <c r="N825" t="s">
        <v>52</v>
      </c>
      <c r="O825" t="s">
        <v>1006</v>
      </c>
      <c r="P825" t="s">
        <v>85</v>
      </c>
      <c r="Q825" t="s">
        <v>359</v>
      </c>
      <c r="R825" t="s">
        <v>1003</v>
      </c>
      <c r="S825" t="s">
        <v>220</v>
      </c>
      <c r="T825" t="s">
        <v>1007</v>
      </c>
      <c r="U825" s="10" t="s">
        <v>1061</v>
      </c>
      <c r="V825" s="10" t="s">
        <v>1083</v>
      </c>
      <c r="W825" s="10" t="s">
        <v>1141</v>
      </c>
      <c r="X825" s="10" t="s">
        <v>1080</v>
      </c>
      <c r="Y825" t="s">
        <v>39</v>
      </c>
      <c r="Z825" t="s">
        <v>40</v>
      </c>
      <c r="AA825" t="s">
        <v>53</v>
      </c>
      <c r="AB825" t="s">
        <v>222</v>
      </c>
    </row>
    <row r="826" spans="1:28" x14ac:dyDescent="0.8">
      <c r="A826">
        <v>364</v>
      </c>
      <c r="B826">
        <v>370</v>
      </c>
      <c r="C826" s="2">
        <v>44385</v>
      </c>
      <c r="D826" t="s">
        <v>213</v>
      </c>
      <c r="E826" t="s">
        <v>44</v>
      </c>
      <c r="F826" t="s">
        <v>26</v>
      </c>
      <c r="G826" t="s">
        <v>27</v>
      </c>
      <c r="H826" t="s">
        <v>28</v>
      </c>
      <c r="I826" t="s">
        <v>109</v>
      </c>
      <c r="J826" t="s">
        <v>110</v>
      </c>
      <c r="K826" t="s">
        <v>111</v>
      </c>
      <c r="L826" t="s">
        <v>112</v>
      </c>
      <c r="M826" t="s">
        <v>113</v>
      </c>
      <c r="N826" t="s">
        <v>61</v>
      </c>
      <c r="O826" t="s">
        <v>1006</v>
      </c>
      <c r="P826" t="s">
        <v>85</v>
      </c>
      <c r="Q826" t="s">
        <v>359</v>
      </c>
      <c r="R826" t="s">
        <v>1003</v>
      </c>
      <c r="S826" t="s">
        <v>220</v>
      </c>
      <c r="T826" t="s">
        <v>1007</v>
      </c>
      <c r="U826" s="10" t="s">
        <v>1061</v>
      </c>
      <c r="V826" s="10" t="s">
        <v>1083</v>
      </c>
      <c r="W826" s="10" t="s">
        <v>1141</v>
      </c>
      <c r="X826" s="10" t="s">
        <v>1080</v>
      </c>
      <c r="Y826" t="s">
        <v>39</v>
      </c>
      <c r="Z826" t="s">
        <v>40</v>
      </c>
      <c r="AA826" t="s">
        <v>53</v>
      </c>
      <c r="AB826" t="s">
        <v>1011</v>
      </c>
    </row>
    <row r="827" spans="1:28" x14ac:dyDescent="0.8">
      <c r="A827">
        <v>365</v>
      </c>
      <c r="B827">
        <v>371</v>
      </c>
      <c r="C827" s="2">
        <v>44385</v>
      </c>
      <c r="D827" t="s">
        <v>213</v>
      </c>
      <c r="E827" t="s">
        <v>44</v>
      </c>
      <c r="F827" t="s">
        <v>26</v>
      </c>
      <c r="G827" t="s">
        <v>27</v>
      </c>
      <c r="H827" t="s">
        <v>28</v>
      </c>
      <c r="I827" t="s">
        <v>109</v>
      </c>
      <c r="J827" t="s">
        <v>110</v>
      </c>
      <c r="K827" t="s">
        <v>111</v>
      </c>
      <c r="L827" t="s">
        <v>112</v>
      </c>
      <c r="M827" t="s">
        <v>113</v>
      </c>
      <c r="N827" t="s">
        <v>52</v>
      </c>
      <c r="O827" t="s">
        <v>1006</v>
      </c>
      <c r="P827" t="s">
        <v>85</v>
      </c>
      <c r="Q827" t="s">
        <v>359</v>
      </c>
      <c r="R827" t="s">
        <v>1003</v>
      </c>
      <c r="S827" t="s">
        <v>220</v>
      </c>
      <c r="T827" t="s">
        <v>1007</v>
      </c>
      <c r="U827" s="10" t="s">
        <v>1061</v>
      </c>
      <c r="V827" s="10" t="s">
        <v>1083</v>
      </c>
      <c r="W827" s="10" t="s">
        <v>1141</v>
      </c>
      <c r="X827" s="10" t="s">
        <v>1080</v>
      </c>
      <c r="Y827" t="s">
        <v>39</v>
      </c>
      <c r="Z827" t="s">
        <v>40</v>
      </c>
      <c r="AA827" t="s">
        <v>53</v>
      </c>
      <c r="AB827" t="s">
        <v>1012</v>
      </c>
    </row>
    <row r="828" spans="1:28" x14ac:dyDescent="0.8">
      <c r="A828">
        <v>366</v>
      </c>
      <c r="B828">
        <v>372</v>
      </c>
      <c r="C828" s="2">
        <v>44385</v>
      </c>
      <c r="D828" t="s">
        <v>213</v>
      </c>
      <c r="E828" t="s">
        <v>44</v>
      </c>
      <c r="F828" t="s">
        <v>26</v>
      </c>
      <c r="G828" t="s">
        <v>27</v>
      </c>
      <c r="H828" t="s">
        <v>28</v>
      </c>
      <c r="I828" t="s">
        <v>109</v>
      </c>
      <c r="J828" t="s">
        <v>110</v>
      </c>
      <c r="K828" t="s">
        <v>111</v>
      </c>
      <c r="L828" t="s">
        <v>112</v>
      </c>
      <c r="M828" t="s">
        <v>113</v>
      </c>
      <c r="N828" t="s">
        <v>52</v>
      </c>
      <c r="O828" t="s">
        <v>1006</v>
      </c>
      <c r="P828" t="s">
        <v>85</v>
      </c>
      <c r="Q828" t="s">
        <v>359</v>
      </c>
      <c r="R828" t="s">
        <v>1003</v>
      </c>
      <c r="S828" t="s">
        <v>220</v>
      </c>
      <c r="T828" t="s">
        <v>1007</v>
      </c>
      <c r="U828" s="10" t="s">
        <v>1061</v>
      </c>
      <c r="V828" s="10" t="s">
        <v>1083</v>
      </c>
      <c r="W828" s="10" t="s">
        <v>1141</v>
      </c>
      <c r="X828" s="10" t="s">
        <v>1080</v>
      </c>
      <c r="Y828" t="s">
        <v>39</v>
      </c>
      <c r="Z828" t="s">
        <v>40</v>
      </c>
      <c r="AA828" t="s">
        <v>53</v>
      </c>
      <c r="AB828" t="s">
        <v>1013</v>
      </c>
    </row>
    <row r="829" spans="1:28" x14ac:dyDescent="0.8">
      <c r="A829">
        <v>367</v>
      </c>
      <c r="B829">
        <v>373</v>
      </c>
      <c r="C829" s="2">
        <v>44385</v>
      </c>
      <c r="D829" t="s">
        <v>213</v>
      </c>
      <c r="E829" t="s">
        <v>44</v>
      </c>
      <c r="F829" t="s">
        <v>26</v>
      </c>
      <c r="G829" t="s">
        <v>27</v>
      </c>
      <c r="H829" t="s">
        <v>28</v>
      </c>
      <c r="I829" t="s">
        <v>109</v>
      </c>
      <c r="J829" t="s">
        <v>110</v>
      </c>
      <c r="K829" t="s">
        <v>111</v>
      </c>
      <c r="L829" t="s">
        <v>112</v>
      </c>
      <c r="M829" t="s">
        <v>113</v>
      </c>
      <c r="N829" t="s">
        <v>52</v>
      </c>
      <c r="O829" t="s">
        <v>1006</v>
      </c>
      <c r="P829" t="s">
        <v>85</v>
      </c>
      <c r="Q829" t="s">
        <v>359</v>
      </c>
      <c r="R829" t="s">
        <v>1003</v>
      </c>
      <c r="S829" t="s">
        <v>220</v>
      </c>
      <c r="T829" t="s">
        <v>1007</v>
      </c>
      <c r="U829" s="10" t="s">
        <v>1061</v>
      </c>
      <c r="V829" s="10" t="s">
        <v>1083</v>
      </c>
      <c r="W829" s="10" t="s">
        <v>1141</v>
      </c>
      <c r="X829" s="10" t="s">
        <v>1080</v>
      </c>
      <c r="Y829" t="s">
        <v>39</v>
      </c>
      <c r="Z829" t="s">
        <v>40</v>
      </c>
      <c r="AA829" t="s">
        <v>53</v>
      </c>
      <c r="AB829" t="s">
        <v>1014</v>
      </c>
    </row>
    <row r="830" spans="1:28" x14ac:dyDescent="0.8">
      <c r="A830">
        <v>368</v>
      </c>
      <c r="B830">
        <v>374</v>
      </c>
      <c r="C830" s="2">
        <v>44385</v>
      </c>
      <c r="D830" t="s">
        <v>213</v>
      </c>
      <c r="E830" t="s">
        <v>44</v>
      </c>
      <c r="F830" t="s">
        <v>26</v>
      </c>
      <c r="G830" t="s">
        <v>27</v>
      </c>
      <c r="H830" t="s">
        <v>28</v>
      </c>
      <c r="I830" t="s">
        <v>109</v>
      </c>
      <c r="J830" t="s">
        <v>110</v>
      </c>
      <c r="K830" t="s">
        <v>111</v>
      </c>
      <c r="L830" t="s">
        <v>112</v>
      </c>
      <c r="M830" t="s">
        <v>113</v>
      </c>
      <c r="N830" t="s">
        <v>52</v>
      </c>
      <c r="O830" t="s">
        <v>1006</v>
      </c>
      <c r="P830" t="s">
        <v>85</v>
      </c>
      <c r="Q830" t="s">
        <v>359</v>
      </c>
      <c r="R830" t="s">
        <v>1003</v>
      </c>
      <c r="S830" t="s">
        <v>220</v>
      </c>
      <c r="T830" t="s">
        <v>1007</v>
      </c>
      <c r="U830" s="10" t="s">
        <v>1061</v>
      </c>
      <c r="V830" s="10" t="s">
        <v>1083</v>
      </c>
      <c r="W830" s="10" t="s">
        <v>1141</v>
      </c>
      <c r="X830" s="10" t="s">
        <v>1080</v>
      </c>
      <c r="Y830" t="s">
        <v>39</v>
      </c>
      <c r="Z830" t="s">
        <v>40</v>
      </c>
      <c r="AA830" t="s">
        <v>53</v>
      </c>
      <c r="AB830" t="s">
        <v>1015</v>
      </c>
    </row>
    <row r="831" spans="1:28" x14ac:dyDescent="0.8">
      <c r="A831">
        <v>326</v>
      </c>
      <c r="B831">
        <v>242</v>
      </c>
      <c r="C831" s="2">
        <v>44385</v>
      </c>
      <c r="D831" t="s">
        <v>213</v>
      </c>
      <c r="E831" t="s">
        <v>63</v>
      </c>
      <c r="F831" t="s">
        <v>26</v>
      </c>
      <c r="G831" t="s">
        <v>27</v>
      </c>
      <c r="H831" t="s">
        <v>28</v>
      </c>
      <c r="I831" t="s">
        <v>109</v>
      </c>
      <c r="J831" t="s">
        <v>110</v>
      </c>
      <c r="K831" t="s">
        <v>111</v>
      </c>
      <c r="L831" t="s">
        <v>112</v>
      </c>
      <c r="M831" t="s">
        <v>113</v>
      </c>
      <c r="N831" t="s">
        <v>52</v>
      </c>
      <c r="O831" t="s">
        <v>1006</v>
      </c>
      <c r="P831" t="s">
        <v>85</v>
      </c>
      <c r="Q831" t="s">
        <v>359</v>
      </c>
      <c r="R831" t="s">
        <v>1003</v>
      </c>
      <c r="S831" t="s">
        <v>220</v>
      </c>
      <c r="T831" t="s">
        <v>1007</v>
      </c>
      <c r="U831" s="10" t="s">
        <v>1061</v>
      </c>
      <c r="V831" s="10" t="s">
        <v>1083</v>
      </c>
      <c r="W831" s="10" t="s">
        <v>1141</v>
      </c>
      <c r="X831" s="10" t="s">
        <v>1080</v>
      </c>
      <c r="Y831" t="s">
        <v>39</v>
      </c>
      <c r="Z831" t="s">
        <v>40</v>
      </c>
      <c r="AA831" t="s">
        <v>53</v>
      </c>
    </row>
    <row r="832" spans="1:28" x14ac:dyDescent="0.8">
      <c r="A832">
        <v>338</v>
      </c>
      <c r="B832">
        <v>344</v>
      </c>
      <c r="C832" s="2">
        <v>44385</v>
      </c>
      <c r="D832" t="s">
        <v>213</v>
      </c>
      <c r="E832" t="s">
        <v>44</v>
      </c>
      <c r="F832" t="s">
        <v>26</v>
      </c>
      <c r="G832" t="s">
        <v>27</v>
      </c>
      <c r="H832" t="s">
        <v>28</v>
      </c>
      <c r="I832" t="s">
        <v>223</v>
      </c>
      <c r="K832" t="s">
        <v>224</v>
      </c>
      <c r="L832" t="s">
        <v>112</v>
      </c>
      <c r="M832" t="s">
        <v>442</v>
      </c>
      <c r="O832" t="s">
        <v>1006</v>
      </c>
      <c r="P832" t="s">
        <v>85</v>
      </c>
      <c r="Q832" t="s">
        <v>359</v>
      </c>
      <c r="R832" t="s">
        <v>1003</v>
      </c>
      <c r="S832" t="s">
        <v>220</v>
      </c>
      <c r="T832" t="s">
        <v>1007</v>
      </c>
      <c r="U832" s="10" t="s">
        <v>1061</v>
      </c>
      <c r="V832" s="10" t="s">
        <v>1083</v>
      </c>
      <c r="W832" s="10" t="s">
        <v>1141</v>
      </c>
      <c r="X832" s="10" t="s">
        <v>1080</v>
      </c>
      <c r="Y832" t="s">
        <v>39</v>
      </c>
      <c r="Z832" t="s">
        <v>40</v>
      </c>
      <c r="AA832" t="s">
        <v>53</v>
      </c>
      <c r="AB832" t="s">
        <v>226</v>
      </c>
    </row>
    <row r="833" spans="1:28" x14ac:dyDescent="0.8">
      <c r="A833">
        <v>369</v>
      </c>
      <c r="B833">
        <v>465</v>
      </c>
      <c r="C833" s="2">
        <v>44385</v>
      </c>
      <c r="D833" t="s">
        <v>213</v>
      </c>
      <c r="E833" t="s">
        <v>44</v>
      </c>
      <c r="F833" t="s">
        <v>26</v>
      </c>
      <c r="G833" t="s">
        <v>27</v>
      </c>
      <c r="H833" t="s">
        <v>114</v>
      </c>
      <c r="I833" t="s">
        <v>115</v>
      </c>
      <c r="J833" t="s">
        <v>120</v>
      </c>
      <c r="K833" t="s">
        <v>121</v>
      </c>
      <c r="L833" t="s">
        <v>122</v>
      </c>
      <c r="M833" t="s">
        <v>123</v>
      </c>
      <c r="O833" t="s">
        <v>1006</v>
      </c>
      <c r="P833" t="s">
        <v>85</v>
      </c>
      <c r="Q833" t="s">
        <v>359</v>
      </c>
      <c r="R833" t="s">
        <v>1003</v>
      </c>
      <c r="S833" t="s">
        <v>220</v>
      </c>
      <c r="T833" t="s">
        <v>1007</v>
      </c>
      <c r="U833" s="10" t="s">
        <v>1061</v>
      </c>
      <c r="V833" s="10" t="s">
        <v>1083</v>
      </c>
      <c r="W833" s="10" t="s">
        <v>1141</v>
      </c>
      <c r="X833" s="10" t="s">
        <v>1080</v>
      </c>
      <c r="Y833" t="s">
        <v>39</v>
      </c>
      <c r="Z833" t="s">
        <v>40</v>
      </c>
      <c r="AA833" t="s">
        <v>53</v>
      </c>
      <c r="AB833" t="s">
        <v>1016</v>
      </c>
    </row>
    <row r="834" spans="1:28" x14ac:dyDescent="0.8">
      <c r="A834">
        <v>373</v>
      </c>
      <c r="B834">
        <v>469</v>
      </c>
      <c r="C834" s="2">
        <v>44385</v>
      </c>
      <c r="D834" t="s">
        <v>213</v>
      </c>
      <c r="E834" t="s">
        <v>63</v>
      </c>
      <c r="F834" t="s">
        <v>26</v>
      </c>
      <c r="G834" t="s">
        <v>27</v>
      </c>
      <c r="H834" t="s">
        <v>114</v>
      </c>
      <c r="I834" t="s">
        <v>115</v>
      </c>
      <c r="J834" t="s">
        <v>120</v>
      </c>
      <c r="K834" t="s">
        <v>121</v>
      </c>
      <c r="L834" t="s">
        <v>122</v>
      </c>
      <c r="M834" t="s">
        <v>123</v>
      </c>
      <c r="O834" t="s">
        <v>1006</v>
      </c>
      <c r="P834" t="s">
        <v>85</v>
      </c>
      <c r="Q834" t="s">
        <v>359</v>
      </c>
      <c r="R834" t="s">
        <v>1003</v>
      </c>
      <c r="S834" t="s">
        <v>220</v>
      </c>
      <c r="T834" t="s">
        <v>1007</v>
      </c>
      <c r="U834" s="10" t="s">
        <v>1061</v>
      </c>
      <c r="V834" s="10" t="s">
        <v>1083</v>
      </c>
      <c r="W834" s="10" t="s">
        <v>1141</v>
      </c>
      <c r="X834" s="10" t="s">
        <v>1080</v>
      </c>
      <c r="Y834" t="s">
        <v>39</v>
      </c>
      <c r="Z834" t="s">
        <v>40</v>
      </c>
      <c r="AA834" t="s">
        <v>53</v>
      </c>
    </row>
    <row r="835" spans="1:28" x14ac:dyDescent="0.8">
      <c r="A835">
        <v>567</v>
      </c>
      <c r="B835">
        <v>198</v>
      </c>
      <c r="C835" s="2">
        <v>44388</v>
      </c>
      <c r="D835" t="s">
        <v>124</v>
      </c>
      <c r="E835" t="s">
        <v>25</v>
      </c>
      <c r="F835" t="s">
        <v>26</v>
      </c>
      <c r="G835" t="s">
        <v>27</v>
      </c>
      <c r="H835" t="s">
        <v>114</v>
      </c>
      <c r="I835" t="s">
        <v>115</v>
      </c>
      <c r="J835" t="s">
        <v>120</v>
      </c>
      <c r="K835" t="s">
        <v>121</v>
      </c>
      <c r="L835" t="s">
        <v>122</v>
      </c>
      <c r="M835" t="s">
        <v>123</v>
      </c>
      <c r="O835" t="s">
        <v>1006</v>
      </c>
      <c r="P835" t="s">
        <v>85</v>
      </c>
      <c r="Q835" t="s">
        <v>359</v>
      </c>
      <c r="R835" t="s">
        <v>1003</v>
      </c>
      <c r="S835" t="s">
        <v>220</v>
      </c>
      <c r="T835" t="s">
        <v>1007</v>
      </c>
      <c r="U835" s="10" t="s">
        <v>1061</v>
      </c>
      <c r="V835" s="10" t="s">
        <v>1083</v>
      </c>
      <c r="W835" s="10" t="s">
        <v>1141</v>
      </c>
      <c r="X835" s="10" t="s">
        <v>1080</v>
      </c>
      <c r="Y835" t="s">
        <v>39</v>
      </c>
      <c r="Z835" t="s">
        <v>40</v>
      </c>
      <c r="AA835" t="s">
        <v>63</v>
      </c>
      <c r="AB835" t="s">
        <v>1017</v>
      </c>
    </row>
    <row r="836" spans="1:28" x14ac:dyDescent="0.8">
      <c r="A836">
        <v>566</v>
      </c>
      <c r="B836">
        <v>197</v>
      </c>
      <c r="C836" s="2">
        <v>44388</v>
      </c>
      <c r="D836" t="s">
        <v>124</v>
      </c>
      <c r="E836" t="s">
        <v>25</v>
      </c>
      <c r="F836" t="s">
        <v>26</v>
      </c>
      <c r="G836" t="s">
        <v>27</v>
      </c>
      <c r="H836" t="s">
        <v>114</v>
      </c>
      <c r="I836" t="s">
        <v>115</v>
      </c>
      <c r="J836" t="s">
        <v>120</v>
      </c>
      <c r="K836" t="s">
        <v>121</v>
      </c>
      <c r="L836" t="s">
        <v>122</v>
      </c>
      <c r="M836" t="s">
        <v>123</v>
      </c>
      <c r="O836" t="s">
        <v>1006</v>
      </c>
      <c r="P836" t="s">
        <v>85</v>
      </c>
      <c r="Q836" t="s">
        <v>359</v>
      </c>
      <c r="R836" t="s">
        <v>1003</v>
      </c>
      <c r="S836" t="s">
        <v>220</v>
      </c>
      <c r="T836" t="s">
        <v>1007</v>
      </c>
      <c r="U836" s="10" t="s">
        <v>1061</v>
      </c>
      <c r="V836" s="10" t="s">
        <v>1083</v>
      </c>
      <c r="W836" s="10" t="s">
        <v>1141</v>
      </c>
      <c r="X836" s="10" t="s">
        <v>1080</v>
      </c>
      <c r="Y836" t="s">
        <v>39</v>
      </c>
      <c r="Z836" t="s">
        <v>40</v>
      </c>
      <c r="AA836" t="s">
        <v>63</v>
      </c>
      <c r="AB836" t="s">
        <v>1017</v>
      </c>
    </row>
    <row r="837" spans="1:28" x14ac:dyDescent="0.8">
      <c r="A837">
        <v>206</v>
      </c>
      <c r="B837">
        <v>1432</v>
      </c>
      <c r="C837" s="2">
        <v>44388</v>
      </c>
      <c r="D837" t="s">
        <v>124</v>
      </c>
      <c r="E837" t="s">
        <v>125</v>
      </c>
      <c r="F837" t="s">
        <v>26</v>
      </c>
      <c r="G837" t="s">
        <v>27</v>
      </c>
      <c r="H837" t="s">
        <v>114</v>
      </c>
      <c r="I837" t="s">
        <v>115</v>
      </c>
      <c r="J837" t="s">
        <v>120</v>
      </c>
      <c r="K837" t="s">
        <v>121</v>
      </c>
      <c r="L837" t="s">
        <v>122</v>
      </c>
      <c r="M837" t="s">
        <v>123</v>
      </c>
      <c r="O837" t="s">
        <v>1006</v>
      </c>
      <c r="P837" t="s">
        <v>85</v>
      </c>
      <c r="Q837" t="s">
        <v>359</v>
      </c>
      <c r="R837" t="s">
        <v>1003</v>
      </c>
      <c r="S837" t="s">
        <v>220</v>
      </c>
      <c r="T837" t="s">
        <v>1007</v>
      </c>
      <c r="U837" s="10" t="s">
        <v>1061</v>
      </c>
      <c r="V837" s="10" t="s">
        <v>1083</v>
      </c>
      <c r="W837" s="10" t="s">
        <v>1141</v>
      </c>
      <c r="X837" s="10" t="s">
        <v>1080</v>
      </c>
      <c r="Y837" t="s">
        <v>39</v>
      </c>
      <c r="Z837" t="s">
        <v>40</v>
      </c>
      <c r="AA837" t="s">
        <v>53</v>
      </c>
      <c r="AB837" t="s">
        <v>1018</v>
      </c>
    </row>
    <row r="838" spans="1:28" x14ac:dyDescent="0.8">
      <c r="A838">
        <v>167</v>
      </c>
      <c r="B838">
        <v>1253</v>
      </c>
      <c r="C838" s="2">
        <v>44388</v>
      </c>
      <c r="D838" t="s">
        <v>235</v>
      </c>
      <c r="E838" t="s">
        <v>25</v>
      </c>
      <c r="F838" t="s">
        <v>26</v>
      </c>
      <c r="G838" t="s">
        <v>45</v>
      </c>
      <c r="H838" t="s">
        <v>68</v>
      </c>
      <c r="I838" t="s">
        <v>69</v>
      </c>
      <c r="J838" t="s">
        <v>70</v>
      </c>
      <c r="K838" t="s">
        <v>71</v>
      </c>
      <c r="L838" t="s">
        <v>72</v>
      </c>
      <c r="M838" t="s">
        <v>73</v>
      </c>
      <c r="N838" t="s">
        <v>61</v>
      </c>
      <c r="O838" t="s">
        <v>796</v>
      </c>
      <c r="P838" t="s">
        <v>85</v>
      </c>
      <c r="Q838" t="s">
        <v>797</v>
      </c>
      <c r="R838" t="s">
        <v>798</v>
      </c>
      <c r="S838" t="s">
        <v>532</v>
      </c>
      <c r="T838" t="s">
        <v>799</v>
      </c>
      <c r="U838" s="10" t="s">
        <v>1061</v>
      </c>
      <c r="V838" s="10" t="s">
        <v>1083</v>
      </c>
      <c r="W838" s="10" t="s">
        <v>1141</v>
      </c>
      <c r="X838" s="10" t="s">
        <v>1063</v>
      </c>
      <c r="Y838" t="s">
        <v>39</v>
      </c>
      <c r="Z838" t="s">
        <v>40</v>
      </c>
      <c r="AA838" t="s">
        <v>53</v>
      </c>
    </row>
    <row r="839" spans="1:28" x14ac:dyDescent="0.8">
      <c r="A839">
        <v>1075</v>
      </c>
      <c r="B839">
        <v>378</v>
      </c>
      <c r="C839" s="2">
        <v>44387</v>
      </c>
      <c r="D839" t="s">
        <v>54</v>
      </c>
      <c r="E839" t="s">
        <v>150</v>
      </c>
      <c r="F839" t="s">
        <v>26</v>
      </c>
      <c r="G839" t="s">
        <v>45</v>
      </c>
      <c r="H839" t="s">
        <v>68</v>
      </c>
      <c r="I839" t="s">
        <v>69</v>
      </c>
      <c r="J839" t="s">
        <v>70</v>
      </c>
      <c r="K839" t="s">
        <v>71</v>
      </c>
      <c r="L839" t="s">
        <v>72</v>
      </c>
      <c r="M839" t="s">
        <v>73</v>
      </c>
      <c r="N839" t="s">
        <v>61</v>
      </c>
      <c r="O839" t="s">
        <v>796</v>
      </c>
      <c r="P839" t="s">
        <v>85</v>
      </c>
      <c r="Q839" t="s">
        <v>797</v>
      </c>
      <c r="R839" t="s">
        <v>798</v>
      </c>
      <c r="S839" t="s">
        <v>532</v>
      </c>
      <c r="T839" t="s">
        <v>799</v>
      </c>
      <c r="U839" s="10" t="s">
        <v>1061</v>
      </c>
      <c r="V839" s="10" t="s">
        <v>1083</v>
      </c>
      <c r="W839" s="10" t="s">
        <v>1141</v>
      </c>
      <c r="X839" s="10" t="s">
        <v>1063</v>
      </c>
      <c r="Y839" t="s">
        <v>39</v>
      </c>
      <c r="Z839" t="s">
        <v>40</v>
      </c>
      <c r="AA839" t="s">
        <v>63</v>
      </c>
    </row>
    <row r="840" spans="1:28" x14ac:dyDescent="0.8">
      <c r="A840">
        <v>865</v>
      </c>
      <c r="B840">
        <v>945</v>
      </c>
      <c r="C840" s="2">
        <v>44388</v>
      </c>
      <c r="D840" t="s">
        <v>189</v>
      </c>
      <c r="E840" t="s">
        <v>125</v>
      </c>
      <c r="F840" t="s">
        <v>26</v>
      </c>
      <c r="G840" t="s">
        <v>45</v>
      </c>
      <c r="H840" t="s">
        <v>68</v>
      </c>
      <c r="I840" t="s">
        <v>69</v>
      </c>
      <c r="J840" t="s">
        <v>70</v>
      </c>
      <c r="K840" t="s">
        <v>71</v>
      </c>
      <c r="L840" t="s">
        <v>72</v>
      </c>
      <c r="M840" t="s">
        <v>73</v>
      </c>
      <c r="N840" t="s">
        <v>61</v>
      </c>
      <c r="O840" t="s">
        <v>920</v>
      </c>
      <c r="P840" t="s">
        <v>34</v>
      </c>
      <c r="Q840" t="s">
        <v>359</v>
      </c>
      <c r="R840" t="s">
        <v>911</v>
      </c>
      <c r="S840" t="s">
        <v>921</v>
      </c>
      <c r="T840" t="s">
        <v>922</v>
      </c>
      <c r="U840" s="10" t="s">
        <v>1061</v>
      </c>
      <c r="V840" s="10" t="s">
        <v>1083</v>
      </c>
      <c r="W840" s="10" t="s">
        <v>1065</v>
      </c>
      <c r="X840" s="10" t="s">
        <v>1068</v>
      </c>
      <c r="Y840" t="s">
        <v>39</v>
      </c>
      <c r="Z840" t="s">
        <v>40</v>
      </c>
      <c r="AA840" t="s">
        <v>63</v>
      </c>
    </row>
    <row r="841" spans="1:28" x14ac:dyDescent="0.8">
      <c r="A841">
        <v>874</v>
      </c>
      <c r="B841">
        <v>954</v>
      </c>
      <c r="C841" s="2">
        <v>44388</v>
      </c>
      <c r="D841" t="s">
        <v>189</v>
      </c>
      <c r="E841" t="s">
        <v>63</v>
      </c>
      <c r="F841" t="s">
        <v>26</v>
      </c>
      <c r="G841" t="s">
        <v>45</v>
      </c>
      <c r="H841" t="s">
        <v>155</v>
      </c>
      <c r="I841" t="s">
        <v>69</v>
      </c>
      <c r="J841" t="s">
        <v>156</v>
      </c>
      <c r="K841" t="s">
        <v>157</v>
      </c>
      <c r="L841" t="s">
        <v>158</v>
      </c>
      <c r="M841" t="s">
        <v>159</v>
      </c>
      <c r="N841" t="s">
        <v>52</v>
      </c>
      <c r="O841" t="s">
        <v>920</v>
      </c>
      <c r="P841" t="s">
        <v>34</v>
      </c>
      <c r="Q841" t="s">
        <v>359</v>
      </c>
      <c r="R841" t="s">
        <v>911</v>
      </c>
      <c r="S841" t="s">
        <v>921</v>
      </c>
      <c r="T841" t="s">
        <v>922</v>
      </c>
      <c r="U841" s="10" t="s">
        <v>1061</v>
      </c>
      <c r="V841" s="10" t="s">
        <v>1083</v>
      </c>
      <c r="W841" s="10" t="s">
        <v>1065</v>
      </c>
      <c r="X841" s="10" t="s">
        <v>1068</v>
      </c>
      <c r="Y841" t="s">
        <v>39</v>
      </c>
      <c r="Z841" t="s">
        <v>40</v>
      </c>
      <c r="AA841" t="s">
        <v>63</v>
      </c>
    </row>
    <row r="842" spans="1:28" x14ac:dyDescent="0.8">
      <c r="A842">
        <v>899</v>
      </c>
      <c r="B842">
        <v>1027</v>
      </c>
      <c r="C842" s="2">
        <v>44388</v>
      </c>
      <c r="D842" t="s">
        <v>189</v>
      </c>
      <c r="E842" t="s">
        <v>25</v>
      </c>
      <c r="F842" t="s">
        <v>26</v>
      </c>
      <c r="G842" t="s">
        <v>27</v>
      </c>
      <c r="H842" t="s">
        <v>28</v>
      </c>
      <c r="I842" t="s">
        <v>109</v>
      </c>
      <c r="J842" t="s">
        <v>110</v>
      </c>
      <c r="K842" t="s">
        <v>111</v>
      </c>
      <c r="L842" t="s">
        <v>112</v>
      </c>
      <c r="M842" t="s">
        <v>113</v>
      </c>
      <c r="N842" t="s">
        <v>61</v>
      </c>
      <c r="O842" t="s">
        <v>914</v>
      </c>
      <c r="P842" t="s">
        <v>34</v>
      </c>
      <c r="Q842" t="s">
        <v>359</v>
      </c>
      <c r="R842" t="s">
        <v>911</v>
      </c>
      <c r="S842" t="s">
        <v>915</v>
      </c>
      <c r="T842" t="s">
        <v>916</v>
      </c>
      <c r="U842" s="10" t="s">
        <v>1061</v>
      </c>
      <c r="V842" s="10" t="s">
        <v>1109</v>
      </c>
      <c r="W842" s="10" t="s">
        <v>1109</v>
      </c>
      <c r="X842" s="10" t="s">
        <v>1068</v>
      </c>
      <c r="Y842" t="s">
        <v>39</v>
      </c>
      <c r="Z842" t="s">
        <v>40</v>
      </c>
      <c r="AA842" t="s">
        <v>63</v>
      </c>
    </row>
    <row r="843" spans="1:28" x14ac:dyDescent="0.8">
      <c r="A843">
        <v>1743</v>
      </c>
      <c r="B843">
        <v>830</v>
      </c>
      <c r="C843" s="2">
        <v>44384</v>
      </c>
      <c r="D843" t="s">
        <v>24</v>
      </c>
      <c r="E843" t="s">
        <v>25</v>
      </c>
      <c r="F843" t="s">
        <v>26</v>
      </c>
      <c r="G843" t="s">
        <v>45</v>
      </c>
      <c r="H843" t="s">
        <v>68</v>
      </c>
      <c r="I843" t="s">
        <v>69</v>
      </c>
      <c r="J843" t="s">
        <v>70</v>
      </c>
      <c r="K843" t="s">
        <v>71</v>
      </c>
      <c r="L843" t="s">
        <v>72</v>
      </c>
      <c r="M843" t="s">
        <v>73</v>
      </c>
      <c r="N843" t="s">
        <v>61</v>
      </c>
      <c r="O843" t="s">
        <v>980</v>
      </c>
      <c r="P843" t="s">
        <v>34</v>
      </c>
      <c r="Q843" t="s">
        <v>35</v>
      </c>
      <c r="R843" t="s">
        <v>981</v>
      </c>
      <c r="S843" t="s">
        <v>131</v>
      </c>
      <c r="T843" t="s">
        <v>982</v>
      </c>
      <c r="U843" s="10" t="s">
        <v>1064</v>
      </c>
      <c r="V843" s="10" t="s">
        <v>1113</v>
      </c>
      <c r="W843" s="10" t="s">
        <v>1064</v>
      </c>
      <c r="X843" s="10" t="s">
        <v>1063</v>
      </c>
      <c r="Y843" t="s">
        <v>39</v>
      </c>
      <c r="Z843" t="s">
        <v>40</v>
      </c>
      <c r="AA843" t="s">
        <v>41</v>
      </c>
    </row>
    <row r="844" spans="1:28" x14ac:dyDescent="0.8">
      <c r="A844">
        <v>1736</v>
      </c>
      <c r="B844">
        <v>823</v>
      </c>
      <c r="C844" s="2">
        <v>44384</v>
      </c>
      <c r="D844" t="s">
        <v>24</v>
      </c>
      <c r="E844" t="s">
        <v>25</v>
      </c>
      <c r="F844" t="s">
        <v>26</v>
      </c>
      <c r="G844" t="s">
        <v>45</v>
      </c>
      <c r="H844" t="s">
        <v>68</v>
      </c>
      <c r="I844" t="s">
        <v>69</v>
      </c>
      <c r="J844" t="s">
        <v>70</v>
      </c>
      <c r="K844" t="s">
        <v>71</v>
      </c>
      <c r="L844" t="s">
        <v>72</v>
      </c>
      <c r="M844" t="s">
        <v>73</v>
      </c>
      <c r="N844" t="s">
        <v>61</v>
      </c>
      <c r="O844" t="s">
        <v>980</v>
      </c>
      <c r="P844" t="s">
        <v>34</v>
      </c>
      <c r="Q844" t="s">
        <v>35</v>
      </c>
      <c r="R844" t="s">
        <v>981</v>
      </c>
      <c r="S844" t="s">
        <v>131</v>
      </c>
      <c r="T844" t="s">
        <v>982</v>
      </c>
      <c r="U844" s="10" t="s">
        <v>1064</v>
      </c>
      <c r="V844" s="10" t="s">
        <v>1113</v>
      </c>
      <c r="W844" s="10" t="s">
        <v>1064</v>
      </c>
      <c r="X844" s="10" t="s">
        <v>1063</v>
      </c>
      <c r="Y844" t="s">
        <v>39</v>
      </c>
      <c r="Z844" t="s">
        <v>40</v>
      </c>
      <c r="AA844" t="s">
        <v>41</v>
      </c>
    </row>
    <row r="845" spans="1:28" x14ac:dyDescent="0.8">
      <c r="A845">
        <v>1600</v>
      </c>
      <c r="B845">
        <v>25</v>
      </c>
      <c r="C845" s="2">
        <v>44384</v>
      </c>
      <c r="D845" t="s">
        <v>24</v>
      </c>
      <c r="E845" t="s">
        <v>150</v>
      </c>
      <c r="F845" t="s">
        <v>26</v>
      </c>
      <c r="G845" t="s">
        <v>45</v>
      </c>
      <c r="H845" t="s">
        <v>46</v>
      </c>
      <c r="I845" t="s">
        <v>47</v>
      </c>
      <c r="J845" t="s">
        <v>48</v>
      </c>
      <c r="K845" t="s">
        <v>49</v>
      </c>
      <c r="L845" t="s">
        <v>91</v>
      </c>
      <c r="M845" t="s">
        <v>92</v>
      </c>
      <c r="N845" t="s">
        <v>61</v>
      </c>
      <c r="O845" t="s">
        <v>980</v>
      </c>
      <c r="P845" t="s">
        <v>34</v>
      </c>
      <c r="Q845" t="s">
        <v>35</v>
      </c>
      <c r="R845" t="s">
        <v>981</v>
      </c>
      <c r="S845" t="s">
        <v>131</v>
      </c>
      <c r="T845" t="s">
        <v>982</v>
      </c>
      <c r="U845" s="10" t="s">
        <v>1064</v>
      </c>
      <c r="V845" s="10" t="s">
        <v>1113</v>
      </c>
      <c r="W845" s="10" t="s">
        <v>1064</v>
      </c>
      <c r="X845" s="10" t="s">
        <v>1063</v>
      </c>
      <c r="Y845" t="s">
        <v>140</v>
      </c>
      <c r="Z845" t="s">
        <v>40</v>
      </c>
      <c r="AA845" t="s">
        <v>231</v>
      </c>
    </row>
    <row r="846" spans="1:28" x14ac:dyDescent="0.8">
      <c r="A846">
        <v>1377</v>
      </c>
      <c r="B846">
        <v>2074</v>
      </c>
      <c r="C846" s="2">
        <v>44386</v>
      </c>
      <c r="D846" t="s">
        <v>67</v>
      </c>
      <c r="E846" t="s">
        <v>25</v>
      </c>
      <c r="F846" t="s">
        <v>26</v>
      </c>
      <c r="G846" t="s">
        <v>45</v>
      </c>
      <c r="H846" t="s">
        <v>46</v>
      </c>
      <c r="I846" t="s">
        <v>47</v>
      </c>
      <c r="J846" t="s">
        <v>48</v>
      </c>
      <c r="K846" t="s">
        <v>141</v>
      </c>
      <c r="L846" t="s">
        <v>142</v>
      </c>
      <c r="M846" t="s">
        <v>143</v>
      </c>
      <c r="N846" t="s">
        <v>61</v>
      </c>
      <c r="O846" t="s">
        <v>980</v>
      </c>
      <c r="P846" t="s">
        <v>34</v>
      </c>
      <c r="Q846" t="s">
        <v>35</v>
      </c>
      <c r="R846" t="s">
        <v>981</v>
      </c>
      <c r="S846" t="s">
        <v>131</v>
      </c>
      <c r="T846" t="s">
        <v>982</v>
      </c>
      <c r="U846" s="10" t="s">
        <v>1064</v>
      </c>
      <c r="V846" s="10" t="s">
        <v>1113</v>
      </c>
      <c r="W846" s="10" t="s">
        <v>1064</v>
      </c>
      <c r="X846" s="10" t="s">
        <v>1063</v>
      </c>
      <c r="Y846" t="s">
        <v>39</v>
      </c>
      <c r="Z846" t="s">
        <v>40</v>
      </c>
      <c r="AA846" t="s">
        <v>63</v>
      </c>
    </row>
    <row r="847" spans="1:28" x14ac:dyDescent="0.8">
      <c r="A847">
        <v>1447</v>
      </c>
      <c r="B847">
        <v>2244</v>
      </c>
      <c r="C847" s="2">
        <v>44388</v>
      </c>
      <c r="D847" t="s">
        <v>134</v>
      </c>
      <c r="E847" t="s">
        <v>53</v>
      </c>
      <c r="F847" t="s">
        <v>26</v>
      </c>
      <c r="G847" t="s">
        <v>45</v>
      </c>
      <c r="H847" t="s">
        <v>155</v>
      </c>
      <c r="I847" t="s">
        <v>69</v>
      </c>
      <c r="J847" t="s">
        <v>156</v>
      </c>
      <c r="K847" t="s">
        <v>157</v>
      </c>
      <c r="L847" t="s">
        <v>158</v>
      </c>
      <c r="M847" t="s">
        <v>159</v>
      </c>
      <c r="N847" t="s">
        <v>52</v>
      </c>
      <c r="O847" t="s">
        <v>980</v>
      </c>
      <c r="P847" t="s">
        <v>34</v>
      </c>
      <c r="Q847" t="s">
        <v>35</v>
      </c>
      <c r="R847" t="s">
        <v>981</v>
      </c>
      <c r="S847" t="s">
        <v>131</v>
      </c>
      <c r="T847" t="s">
        <v>982</v>
      </c>
      <c r="U847" s="10" t="s">
        <v>1064</v>
      </c>
      <c r="V847" s="10" t="s">
        <v>1113</v>
      </c>
      <c r="W847" s="10" t="s">
        <v>1064</v>
      </c>
      <c r="X847" s="10" t="s">
        <v>1063</v>
      </c>
      <c r="Y847" t="s">
        <v>140</v>
      </c>
      <c r="Z847" t="s">
        <v>40</v>
      </c>
      <c r="AA847" t="s">
        <v>63</v>
      </c>
    </row>
    <row r="848" spans="1:28" x14ac:dyDescent="0.8">
      <c r="A848">
        <v>1581</v>
      </c>
      <c r="B848">
        <v>324</v>
      </c>
      <c r="C848" s="2">
        <v>44388</v>
      </c>
      <c r="D848" t="s">
        <v>235</v>
      </c>
      <c r="E848" t="s">
        <v>53</v>
      </c>
      <c r="F848" t="s">
        <v>26</v>
      </c>
      <c r="G848" t="s">
        <v>45</v>
      </c>
      <c r="H848" t="s">
        <v>68</v>
      </c>
      <c r="I848" t="s">
        <v>69</v>
      </c>
      <c r="J848" t="s">
        <v>70</v>
      </c>
      <c r="K848" t="s">
        <v>71</v>
      </c>
      <c r="L848" t="s">
        <v>72</v>
      </c>
      <c r="M848" t="s">
        <v>73</v>
      </c>
      <c r="N848" t="s">
        <v>61</v>
      </c>
      <c r="O848" t="s">
        <v>980</v>
      </c>
      <c r="P848" t="s">
        <v>34</v>
      </c>
      <c r="Q848" t="s">
        <v>35</v>
      </c>
      <c r="R848" t="s">
        <v>981</v>
      </c>
      <c r="S848" t="s">
        <v>131</v>
      </c>
      <c r="T848" t="s">
        <v>982</v>
      </c>
      <c r="U848" s="10" t="s">
        <v>1064</v>
      </c>
      <c r="V848" s="10" t="s">
        <v>1113</v>
      </c>
      <c r="W848" s="10" t="s">
        <v>1064</v>
      </c>
      <c r="X848" s="10" t="s">
        <v>1063</v>
      </c>
      <c r="Y848" t="s">
        <v>39</v>
      </c>
      <c r="Z848" t="s">
        <v>40</v>
      </c>
      <c r="AA848" t="s">
        <v>125</v>
      </c>
    </row>
    <row r="849" spans="1:28" x14ac:dyDescent="0.8">
      <c r="A849">
        <v>289</v>
      </c>
      <c r="B849">
        <v>903</v>
      </c>
      <c r="C849" s="2">
        <v>44386</v>
      </c>
      <c r="D849" t="s">
        <v>43</v>
      </c>
      <c r="E849" t="s">
        <v>53</v>
      </c>
      <c r="F849" t="s">
        <v>26</v>
      </c>
      <c r="G849" t="s">
        <v>27</v>
      </c>
      <c r="H849" t="s">
        <v>28</v>
      </c>
      <c r="I849" t="s">
        <v>983</v>
      </c>
      <c r="K849" t="s">
        <v>984</v>
      </c>
      <c r="L849" t="s">
        <v>112</v>
      </c>
      <c r="M849" t="s">
        <v>985</v>
      </c>
      <c r="O849" t="s">
        <v>980</v>
      </c>
      <c r="P849" t="s">
        <v>34</v>
      </c>
      <c r="Q849" t="s">
        <v>35</v>
      </c>
      <c r="R849" t="s">
        <v>981</v>
      </c>
      <c r="S849" t="s">
        <v>131</v>
      </c>
      <c r="T849" t="s">
        <v>982</v>
      </c>
      <c r="U849" s="10" t="s">
        <v>1064</v>
      </c>
      <c r="V849" s="10" t="s">
        <v>1113</v>
      </c>
      <c r="W849" s="10" t="s">
        <v>1064</v>
      </c>
      <c r="X849" s="10" t="s">
        <v>1063</v>
      </c>
      <c r="Y849" t="s">
        <v>39</v>
      </c>
      <c r="Z849" t="s">
        <v>40</v>
      </c>
      <c r="AA849" t="s">
        <v>53</v>
      </c>
    </row>
    <row r="850" spans="1:28" x14ac:dyDescent="0.8">
      <c r="A850">
        <v>830</v>
      </c>
      <c r="B850">
        <v>1407</v>
      </c>
      <c r="C850" s="2">
        <v>44387</v>
      </c>
      <c r="D850" t="s">
        <v>149</v>
      </c>
      <c r="E850" t="s">
        <v>63</v>
      </c>
      <c r="F850" t="s">
        <v>26</v>
      </c>
      <c r="G850" t="s">
        <v>45</v>
      </c>
      <c r="H850" t="s">
        <v>68</v>
      </c>
      <c r="I850" t="s">
        <v>69</v>
      </c>
      <c r="J850" t="s">
        <v>70</v>
      </c>
      <c r="K850" t="s">
        <v>71</v>
      </c>
      <c r="L850" t="s">
        <v>72</v>
      </c>
      <c r="M850" t="s">
        <v>73</v>
      </c>
      <c r="N850" t="s">
        <v>61</v>
      </c>
      <c r="O850" t="s">
        <v>980</v>
      </c>
      <c r="P850" t="s">
        <v>34</v>
      </c>
      <c r="Q850" t="s">
        <v>35</v>
      </c>
      <c r="R850" t="s">
        <v>981</v>
      </c>
      <c r="S850" t="s">
        <v>131</v>
      </c>
      <c r="T850" t="s">
        <v>982</v>
      </c>
      <c r="U850" s="10" t="s">
        <v>1064</v>
      </c>
      <c r="V850" s="10" t="s">
        <v>1113</v>
      </c>
      <c r="W850" s="10" t="s">
        <v>1064</v>
      </c>
      <c r="X850" s="10" t="s">
        <v>1063</v>
      </c>
      <c r="Y850" t="s">
        <v>39</v>
      </c>
      <c r="Z850" t="s">
        <v>40</v>
      </c>
      <c r="AA850" t="s">
        <v>63</v>
      </c>
    </row>
    <row r="851" spans="1:28" x14ac:dyDescent="0.8">
      <c r="A851">
        <v>1302</v>
      </c>
      <c r="B851">
        <v>1999</v>
      </c>
      <c r="C851" s="2">
        <v>44385</v>
      </c>
      <c r="D851" t="s">
        <v>104</v>
      </c>
      <c r="E851" t="s">
        <v>25</v>
      </c>
      <c r="F851" t="s">
        <v>26</v>
      </c>
      <c r="G851" t="s">
        <v>45</v>
      </c>
      <c r="H851" t="s">
        <v>46</v>
      </c>
      <c r="I851" t="s">
        <v>47</v>
      </c>
      <c r="J851" t="s">
        <v>48</v>
      </c>
      <c r="K851" t="s">
        <v>49</v>
      </c>
      <c r="L851" t="s">
        <v>91</v>
      </c>
      <c r="M851" t="s">
        <v>92</v>
      </c>
      <c r="N851" t="s">
        <v>61</v>
      </c>
      <c r="O851" t="s">
        <v>980</v>
      </c>
      <c r="P851" t="s">
        <v>34</v>
      </c>
      <c r="Q851" t="s">
        <v>35</v>
      </c>
      <c r="R851" t="s">
        <v>981</v>
      </c>
      <c r="S851" t="s">
        <v>131</v>
      </c>
      <c r="T851" t="s">
        <v>982</v>
      </c>
      <c r="U851" s="10" t="s">
        <v>1064</v>
      </c>
      <c r="V851" s="10" t="s">
        <v>1113</v>
      </c>
      <c r="W851" s="10" t="s">
        <v>1064</v>
      </c>
      <c r="X851" s="10" t="s">
        <v>1063</v>
      </c>
      <c r="Y851" t="s">
        <v>39</v>
      </c>
      <c r="Z851" t="s">
        <v>62</v>
      </c>
      <c r="AA851" t="s">
        <v>63</v>
      </c>
    </row>
    <row r="852" spans="1:28" x14ac:dyDescent="0.8">
      <c r="A852">
        <v>730</v>
      </c>
      <c r="B852">
        <v>1163</v>
      </c>
      <c r="C852" s="2">
        <v>44385</v>
      </c>
      <c r="D852" t="s">
        <v>108</v>
      </c>
      <c r="E852" t="s">
        <v>63</v>
      </c>
      <c r="F852" t="s">
        <v>26</v>
      </c>
      <c r="G852" t="s">
        <v>45</v>
      </c>
      <c r="H852" t="s">
        <v>155</v>
      </c>
      <c r="I852" t="s">
        <v>69</v>
      </c>
      <c r="J852" t="s">
        <v>156</v>
      </c>
      <c r="K852" t="s">
        <v>157</v>
      </c>
      <c r="L852" t="s">
        <v>158</v>
      </c>
      <c r="M852" t="s">
        <v>159</v>
      </c>
      <c r="N852" t="s">
        <v>52</v>
      </c>
      <c r="O852" t="s">
        <v>980</v>
      </c>
      <c r="P852" t="s">
        <v>34</v>
      </c>
      <c r="Q852" t="s">
        <v>35</v>
      </c>
      <c r="R852" t="s">
        <v>981</v>
      </c>
      <c r="S852" t="s">
        <v>131</v>
      </c>
      <c r="T852" t="s">
        <v>982</v>
      </c>
      <c r="U852" s="10" t="s">
        <v>1064</v>
      </c>
      <c r="V852" s="10" t="s">
        <v>1113</v>
      </c>
      <c r="W852" s="10" t="s">
        <v>1064</v>
      </c>
      <c r="X852" s="10" t="s">
        <v>1063</v>
      </c>
      <c r="Y852" t="s">
        <v>39</v>
      </c>
      <c r="Z852" t="s">
        <v>40</v>
      </c>
      <c r="AA852" t="s">
        <v>63</v>
      </c>
    </row>
    <row r="853" spans="1:28" x14ac:dyDescent="0.8">
      <c r="A853">
        <v>728</v>
      </c>
      <c r="B853">
        <v>1161</v>
      </c>
      <c r="C853" s="2">
        <v>44385</v>
      </c>
      <c r="D853" t="s">
        <v>108</v>
      </c>
      <c r="E853" t="s">
        <v>25</v>
      </c>
      <c r="F853" t="s">
        <v>26</v>
      </c>
      <c r="G853" t="s">
        <v>45</v>
      </c>
      <c r="H853" t="s">
        <v>155</v>
      </c>
      <c r="I853" t="s">
        <v>69</v>
      </c>
      <c r="J853" t="s">
        <v>156</v>
      </c>
      <c r="K853" t="s">
        <v>157</v>
      </c>
      <c r="L853" t="s">
        <v>158</v>
      </c>
      <c r="M853" t="s">
        <v>159</v>
      </c>
      <c r="N853" t="s">
        <v>52</v>
      </c>
      <c r="O853" t="s">
        <v>980</v>
      </c>
      <c r="P853" t="s">
        <v>34</v>
      </c>
      <c r="Q853" t="s">
        <v>35</v>
      </c>
      <c r="R853" t="s">
        <v>981</v>
      </c>
      <c r="S853" t="s">
        <v>131</v>
      </c>
      <c r="T853" t="s">
        <v>982</v>
      </c>
      <c r="U853" s="10" t="s">
        <v>1064</v>
      </c>
      <c r="V853" s="10" t="s">
        <v>1113</v>
      </c>
      <c r="W853" s="10" t="s">
        <v>1064</v>
      </c>
      <c r="X853" s="10" t="s">
        <v>1063</v>
      </c>
      <c r="Y853" t="s">
        <v>140</v>
      </c>
      <c r="Z853" t="s">
        <v>62</v>
      </c>
      <c r="AA853" t="s">
        <v>63</v>
      </c>
    </row>
    <row r="854" spans="1:28" x14ac:dyDescent="0.8">
      <c r="A854">
        <v>725</v>
      </c>
      <c r="B854">
        <v>1158</v>
      </c>
      <c r="C854" s="2">
        <v>44385</v>
      </c>
      <c r="D854" t="s">
        <v>108</v>
      </c>
      <c r="E854" t="s">
        <v>25</v>
      </c>
      <c r="F854" t="s">
        <v>26</v>
      </c>
      <c r="G854" t="s">
        <v>45</v>
      </c>
      <c r="H854" t="s">
        <v>46</v>
      </c>
      <c r="I854" t="s">
        <v>47</v>
      </c>
      <c r="J854" t="s">
        <v>48</v>
      </c>
      <c r="K854" t="s">
        <v>141</v>
      </c>
      <c r="L854" t="s">
        <v>142</v>
      </c>
      <c r="M854" t="s">
        <v>143</v>
      </c>
      <c r="N854" t="s">
        <v>61</v>
      </c>
      <c r="O854" t="s">
        <v>980</v>
      </c>
      <c r="P854" t="s">
        <v>34</v>
      </c>
      <c r="Q854" t="s">
        <v>35</v>
      </c>
      <c r="R854" t="s">
        <v>981</v>
      </c>
      <c r="S854" t="s">
        <v>131</v>
      </c>
      <c r="T854" t="s">
        <v>982</v>
      </c>
      <c r="U854" s="10" t="s">
        <v>1064</v>
      </c>
      <c r="V854" s="10" t="s">
        <v>1113</v>
      </c>
      <c r="W854" s="10" t="s">
        <v>1064</v>
      </c>
      <c r="X854" s="10" t="s">
        <v>1063</v>
      </c>
      <c r="Y854" t="s">
        <v>140</v>
      </c>
      <c r="Z854" t="s">
        <v>62</v>
      </c>
      <c r="AA854" t="s">
        <v>63</v>
      </c>
    </row>
    <row r="855" spans="1:28" x14ac:dyDescent="0.8">
      <c r="A855">
        <v>751</v>
      </c>
      <c r="B855">
        <v>1232</v>
      </c>
      <c r="C855" s="2">
        <v>44385</v>
      </c>
      <c r="D855" t="s">
        <v>108</v>
      </c>
      <c r="E855" t="s">
        <v>63</v>
      </c>
      <c r="F855" t="s">
        <v>26</v>
      </c>
      <c r="G855" t="s">
        <v>94</v>
      </c>
      <c r="H855" t="s">
        <v>95</v>
      </c>
      <c r="I855" t="s">
        <v>96</v>
      </c>
      <c r="J855" t="s">
        <v>97</v>
      </c>
      <c r="K855" t="s">
        <v>98</v>
      </c>
      <c r="L855" t="s">
        <v>99</v>
      </c>
      <c r="M855" t="s">
        <v>100</v>
      </c>
      <c r="N855" t="s">
        <v>101</v>
      </c>
      <c r="O855" t="s">
        <v>980</v>
      </c>
      <c r="P855" t="s">
        <v>34</v>
      </c>
      <c r="Q855" t="s">
        <v>35</v>
      </c>
      <c r="R855" t="s">
        <v>981</v>
      </c>
      <c r="S855" t="s">
        <v>131</v>
      </c>
      <c r="T855" t="s">
        <v>982</v>
      </c>
      <c r="U855" s="10" t="s">
        <v>1064</v>
      </c>
      <c r="V855" s="10" t="s">
        <v>1113</v>
      </c>
      <c r="W855" s="10" t="s">
        <v>1064</v>
      </c>
      <c r="X855" s="10" t="s">
        <v>1063</v>
      </c>
      <c r="Y855" t="s">
        <v>39</v>
      </c>
      <c r="Z855" t="s">
        <v>40</v>
      </c>
      <c r="AA855" t="s">
        <v>63</v>
      </c>
    </row>
    <row r="856" spans="1:28" x14ac:dyDescent="0.8">
      <c r="A856">
        <v>1114</v>
      </c>
      <c r="B856">
        <v>1561</v>
      </c>
      <c r="C856" s="2">
        <v>44384</v>
      </c>
      <c r="D856" t="s">
        <v>384</v>
      </c>
      <c r="E856" t="s">
        <v>63</v>
      </c>
      <c r="F856" t="s">
        <v>26</v>
      </c>
      <c r="G856" t="s">
        <v>45</v>
      </c>
      <c r="H856" t="s">
        <v>155</v>
      </c>
      <c r="I856" t="s">
        <v>69</v>
      </c>
      <c r="J856" t="s">
        <v>156</v>
      </c>
      <c r="K856" t="s">
        <v>157</v>
      </c>
      <c r="L856" t="s">
        <v>158</v>
      </c>
      <c r="M856" t="s">
        <v>159</v>
      </c>
      <c r="N856" t="s">
        <v>52</v>
      </c>
      <c r="O856" t="s">
        <v>980</v>
      </c>
      <c r="P856" t="s">
        <v>34</v>
      </c>
      <c r="Q856" t="s">
        <v>35</v>
      </c>
      <c r="R856" t="s">
        <v>981</v>
      </c>
      <c r="S856" t="s">
        <v>131</v>
      </c>
      <c r="T856" t="s">
        <v>982</v>
      </c>
      <c r="U856" s="10" t="s">
        <v>1064</v>
      </c>
      <c r="V856" s="10" t="s">
        <v>1113</v>
      </c>
      <c r="W856" s="10" t="s">
        <v>1064</v>
      </c>
      <c r="X856" s="10" t="s">
        <v>1063</v>
      </c>
      <c r="Y856" t="s">
        <v>39</v>
      </c>
      <c r="Z856" t="s">
        <v>40</v>
      </c>
      <c r="AA856" t="s">
        <v>63</v>
      </c>
    </row>
    <row r="857" spans="1:28" x14ac:dyDescent="0.8">
      <c r="A857">
        <v>1691</v>
      </c>
      <c r="B857">
        <v>570</v>
      </c>
      <c r="C857" s="2">
        <v>44388</v>
      </c>
      <c r="D857" t="s">
        <v>124</v>
      </c>
      <c r="E857" t="s">
        <v>25</v>
      </c>
      <c r="F857" t="s">
        <v>26</v>
      </c>
      <c r="G857" t="s">
        <v>45</v>
      </c>
      <c r="H857" t="s">
        <v>55</v>
      </c>
      <c r="I857" t="s">
        <v>56</v>
      </c>
      <c r="J857" t="s">
        <v>57</v>
      </c>
      <c r="K857" t="s">
        <v>58</v>
      </c>
      <c r="L857" t="s">
        <v>59</v>
      </c>
      <c r="M857" t="s">
        <v>60</v>
      </c>
      <c r="N857" t="s">
        <v>61</v>
      </c>
      <c r="O857" t="s">
        <v>980</v>
      </c>
      <c r="P857" t="s">
        <v>34</v>
      </c>
      <c r="Q857" t="s">
        <v>35</v>
      </c>
      <c r="R857" t="s">
        <v>981</v>
      </c>
      <c r="S857" t="s">
        <v>131</v>
      </c>
      <c r="T857" t="s">
        <v>982</v>
      </c>
      <c r="U857" s="10" t="s">
        <v>1064</v>
      </c>
      <c r="V857" s="10" t="s">
        <v>1113</v>
      </c>
      <c r="W857" s="10" t="s">
        <v>1064</v>
      </c>
      <c r="X857" s="10" t="s">
        <v>1063</v>
      </c>
      <c r="Y857" t="s">
        <v>39</v>
      </c>
      <c r="Z857" t="s">
        <v>62</v>
      </c>
      <c r="AA857" t="s">
        <v>41</v>
      </c>
      <c r="AB857" t="s">
        <v>986</v>
      </c>
    </row>
    <row r="858" spans="1:28" x14ac:dyDescent="0.8">
      <c r="A858">
        <v>1695</v>
      </c>
      <c r="B858">
        <v>574</v>
      </c>
      <c r="C858" s="2">
        <v>44388</v>
      </c>
      <c r="D858" t="s">
        <v>124</v>
      </c>
      <c r="E858" t="s">
        <v>25</v>
      </c>
      <c r="F858" t="s">
        <v>26</v>
      </c>
      <c r="G858" t="s">
        <v>45</v>
      </c>
      <c r="H858" t="s">
        <v>55</v>
      </c>
      <c r="I858" t="s">
        <v>56</v>
      </c>
      <c r="J858" t="s">
        <v>57</v>
      </c>
      <c r="K858" t="s">
        <v>58</v>
      </c>
      <c r="L858" t="s">
        <v>171</v>
      </c>
      <c r="M858" t="s">
        <v>172</v>
      </c>
      <c r="N858" t="s">
        <v>52</v>
      </c>
      <c r="O858" t="s">
        <v>980</v>
      </c>
      <c r="P858" t="s">
        <v>34</v>
      </c>
      <c r="Q858" t="s">
        <v>35</v>
      </c>
      <c r="R858" t="s">
        <v>981</v>
      </c>
      <c r="S858" t="s">
        <v>131</v>
      </c>
      <c r="T858" t="s">
        <v>982</v>
      </c>
      <c r="U858" s="10" t="s">
        <v>1064</v>
      </c>
      <c r="V858" s="10" t="s">
        <v>1113</v>
      </c>
      <c r="W858" s="10" t="s">
        <v>1064</v>
      </c>
      <c r="X858" s="10" t="s">
        <v>1063</v>
      </c>
      <c r="Y858" t="s">
        <v>39</v>
      </c>
      <c r="Z858" t="s">
        <v>40</v>
      </c>
      <c r="AA858" t="s">
        <v>41</v>
      </c>
      <c r="AB858" t="s">
        <v>987</v>
      </c>
    </row>
    <row r="859" spans="1:28" x14ac:dyDescent="0.8">
      <c r="A859">
        <v>1694</v>
      </c>
      <c r="B859">
        <v>573</v>
      </c>
      <c r="C859" s="2">
        <v>44388</v>
      </c>
      <c r="D859" t="s">
        <v>124</v>
      </c>
      <c r="E859" t="s">
        <v>25</v>
      </c>
      <c r="F859" t="s">
        <v>26</v>
      </c>
      <c r="G859" t="s">
        <v>45</v>
      </c>
      <c r="H859" t="s">
        <v>46</v>
      </c>
      <c r="I859" t="s">
        <v>47</v>
      </c>
      <c r="J859" t="s">
        <v>48</v>
      </c>
      <c r="K859" t="s">
        <v>141</v>
      </c>
      <c r="L859" t="s">
        <v>293</v>
      </c>
      <c r="M859" t="s">
        <v>294</v>
      </c>
      <c r="N859" t="s">
        <v>52</v>
      </c>
      <c r="O859" t="s">
        <v>980</v>
      </c>
      <c r="P859" t="s">
        <v>34</v>
      </c>
      <c r="Q859" t="s">
        <v>35</v>
      </c>
      <c r="R859" t="s">
        <v>981</v>
      </c>
      <c r="S859" t="s">
        <v>131</v>
      </c>
      <c r="T859" t="s">
        <v>982</v>
      </c>
      <c r="U859" s="10" t="s">
        <v>1064</v>
      </c>
      <c r="V859" s="10" t="s">
        <v>1113</v>
      </c>
      <c r="W859" s="10" t="s">
        <v>1064</v>
      </c>
      <c r="X859" s="10" t="s">
        <v>1063</v>
      </c>
      <c r="Y859" t="s">
        <v>39</v>
      </c>
      <c r="Z859" t="s">
        <v>40</v>
      </c>
      <c r="AA859" t="s">
        <v>41</v>
      </c>
      <c r="AB859" t="s">
        <v>987</v>
      </c>
    </row>
    <row r="860" spans="1:28" x14ac:dyDescent="0.8">
      <c r="A860">
        <v>1692</v>
      </c>
      <c r="B860">
        <v>571</v>
      </c>
      <c r="C860" s="2">
        <v>44388</v>
      </c>
      <c r="D860" t="s">
        <v>124</v>
      </c>
      <c r="E860" t="s">
        <v>25</v>
      </c>
      <c r="F860" t="s">
        <v>26</v>
      </c>
      <c r="G860" t="s">
        <v>45</v>
      </c>
      <c r="H860" t="s">
        <v>46</v>
      </c>
      <c r="I860" t="s">
        <v>47</v>
      </c>
      <c r="J860" t="s">
        <v>48</v>
      </c>
      <c r="K860" t="s">
        <v>141</v>
      </c>
      <c r="L860" t="s">
        <v>293</v>
      </c>
      <c r="M860" t="s">
        <v>294</v>
      </c>
      <c r="N860" t="s">
        <v>52</v>
      </c>
      <c r="O860" t="s">
        <v>980</v>
      </c>
      <c r="P860" t="s">
        <v>34</v>
      </c>
      <c r="Q860" t="s">
        <v>35</v>
      </c>
      <c r="R860" t="s">
        <v>981</v>
      </c>
      <c r="S860" t="s">
        <v>131</v>
      </c>
      <c r="T860" t="s">
        <v>982</v>
      </c>
      <c r="U860" s="10" t="s">
        <v>1064</v>
      </c>
      <c r="V860" s="10" t="s">
        <v>1113</v>
      </c>
      <c r="W860" s="10" t="s">
        <v>1064</v>
      </c>
      <c r="X860" s="10" t="s">
        <v>1063</v>
      </c>
      <c r="Y860" t="s">
        <v>39</v>
      </c>
      <c r="Z860" t="s">
        <v>62</v>
      </c>
      <c r="AA860" t="s">
        <v>41</v>
      </c>
      <c r="AB860" t="s">
        <v>986</v>
      </c>
    </row>
    <row r="861" spans="1:28" x14ac:dyDescent="0.8">
      <c r="A861">
        <v>1693</v>
      </c>
      <c r="B861">
        <v>572</v>
      </c>
      <c r="C861" s="2">
        <v>44388</v>
      </c>
      <c r="D861" t="s">
        <v>124</v>
      </c>
      <c r="E861" t="s">
        <v>25</v>
      </c>
      <c r="F861" t="s">
        <v>26</v>
      </c>
      <c r="G861" t="s">
        <v>45</v>
      </c>
      <c r="H861" t="s">
        <v>46</v>
      </c>
      <c r="I861" t="s">
        <v>47</v>
      </c>
      <c r="J861" t="s">
        <v>48</v>
      </c>
      <c r="K861" t="s">
        <v>141</v>
      </c>
      <c r="L861" t="s">
        <v>142</v>
      </c>
      <c r="M861" t="s">
        <v>143</v>
      </c>
      <c r="N861" t="s">
        <v>61</v>
      </c>
      <c r="O861" t="s">
        <v>980</v>
      </c>
      <c r="P861" t="s">
        <v>34</v>
      </c>
      <c r="Q861" t="s">
        <v>35</v>
      </c>
      <c r="R861" t="s">
        <v>981</v>
      </c>
      <c r="S861" t="s">
        <v>131</v>
      </c>
      <c r="T861" t="s">
        <v>982</v>
      </c>
      <c r="U861" s="10" t="s">
        <v>1064</v>
      </c>
      <c r="V861" s="10" t="s">
        <v>1113</v>
      </c>
      <c r="W861" s="10" t="s">
        <v>1064</v>
      </c>
      <c r="X861" s="10" t="s">
        <v>1063</v>
      </c>
      <c r="Y861" t="s">
        <v>39</v>
      </c>
      <c r="Z861" t="s">
        <v>62</v>
      </c>
      <c r="AA861" t="s">
        <v>41</v>
      </c>
      <c r="AB861" t="s">
        <v>986</v>
      </c>
    </row>
    <row r="862" spans="1:28" x14ac:dyDescent="0.8">
      <c r="A862">
        <v>211</v>
      </c>
      <c r="B862">
        <v>962</v>
      </c>
      <c r="C862" s="2">
        <v>44388</v>
      </c>
      <c r="D862" t="s">
        <v>124</v>
      </c>
      <c r="E862" t="s">
        <v>125</v>
      </c>
      <c r="F862" t="s">
        <v>26</v>
      </c>
      <c r="G862" t="s">
        <v>94</v>
      </c>
      <c r="H862" t="s">
        <v>95</v>
      </c>
      <c r="I862" t="s">
        <v>96</v>
      </c>
      <c r="J862" t="s">
        <v>97</v>
      </c>
      <c r="K862" t="s">
        <v>98</v>
      </c>
      <c r="L862" t="s">
        <v>99</v>
      </c>
      <c r="M862" t="s">
        <v>100</v>
      </c>
      <c r="N862" t="s">
        <v>101</v>
      </c>
      <c r="O862" t="s">
        <v>980</v>
      </c>
      <c r="P862" t="s">
        <v>34</v>
      </c>
      <c r="Q862" t="s">
        <v>35</v>
      </c>
      <c r="R862" t="s">
        <v>981</v>
      </c>
      <c r="S862" t="s">
        <v>131</v>
      </c>
      <c r="T862" t="s">
        <v>982</v>
      </c>
      <c r="U862" s="10" t="s">
        <v>1064</v>
      </c>
      <c r="V862" s="10" t="s">
        <v>1113</v>
      </c>
      <c r="W862" s="10" t="s">
        <v>1064</v>
      </c>
      <c r="X862" s="10" t="s">
        <v>1063</v>
      </c>
      <c r="Y862" t="s">
        <v>39</v>
      </c>
      <c r="Z862" t="s">
        <v>40</v>
      </c>
      <c r="AA862" t="s">
        <v>53</v>
      </c>
    </row>
    <row r="863" spans="1:28" x14ac:dyDescent="0.8">
      <c r="A863">
        <v>897</v>
      </c>
      <c r="B863">
        <v>1025</v>
      </c>
      <c r="C863" s="2">
        <v>44388</v>
      </c>
      <c r="D863" t="s">
        <v>189</v>
      </c>
      <c r="E863" t="s">
        <v>25</v>
      </c>
      <c r="F863" t="s">
        <v>26</v>
      </c>
      <c r="G863" t="s">
        <v>45</v>
      </c>
      <c r="H863" t="s">
        <v>68</v>
      </c>
      <c r="I863" t="s">
        <v>69</v>
      </c>
      <c r="J863" t="s">
        <v>70</v>
      </c>
      <c r="K863" t="s">
        <v>71</v>
      </c>
      <c r="L863" t="s">
        <v>72</v>
      </c>
      <c r="M863" t="s">
        <v>73</v>
      </c>
      <c r="N863" t="s">
        <v>61</v>
      </c>
      <c r="O863" t="s">
        <v>190</v>
      </c>
      <c r="P863" t="s">
        <v>34</v>
      </c>
      <c r="Q863" t="s">
        <v>191</v>
      </c>
      <c r="R863" t="s">
        <v>192</v>
      </c>
      <c r="S863" t="s">
        <v>193</v>
      </c>
      <c r="T863" t="s">
        <v>194</v>
      </c>
      <c r="U863" s="10" t="s">
        <v>1061</v>
      </c>
      <c r="V863" s="10" t="s">
        <v>1071</v>
      </c>
      <c r="W863" s="10" t="s">
        <v>1109</v>
      </c>
      <c r="X863" s="10" t="s">
        <v>1063</v>
      </c>
      <c r="Y863" t="s">
        <v>39</v>
      </c>
      <c r="Z863" t="s">
        <v>40</v>
      </c>
      <c r="AA863" t="s">
        <v>63</v>
      </c>
    </row>
    <row r="864" spans="1:28" x14ac:dyDescent="0.8">
      <c r="A864">
        <v>1569</v>
      </c>
      <c r="B864">
        <v>314</v>
      </c>
      <c r="C864" s="2">
        <v>44386</v>
      </c>
      <c r="D864" t="s">
        <v>93</v>
      </c>
      <c r="E864" t="s">
        <v>44</v>
      </c>
      <c r="F864" t="s">
        <v>26</v>
      </c>
      <c r="G864" t="s">
        <v>27</v>
      </c>
      <c r="H864" t="s">
        <v>114</v>
      </c>
      <c r="I864" t="s">
        <v>115</v>
      </c>
      <c r="J864" t="s">
        <v>116</v>
      </c>
      <c r="K864" t="s">
        <v>117</v>
      </c>
      <c r="L864" t="s">
        <v>195</v>
      </c>
      <c r="M864" t="s">
        <v>196</v>
      </c>
      <c r="O864" t="s">
        <v>190</v>
      </c>
      <c r="P864" t="s">
        <v>34</v>
      </c>
      <c r="Q864" t="s">
        <v>191</v>
      </c>
      <c r="R864" t="s">
        <v>192</v>
      </c>
      <c r="S864" t="s">
        <v>193</v>
      </c>
      <c r="T864" t="s">
        <v>194</v>
      </c>
      <c r="U864" s="10" t="s">
        <v>1061</v>
      </c>
      <c r="V864" s="10" t="s">
        <v>1071</v>
      </c>
      <c r="W864" s="10" t="s">
        <v>1109</v>
      </c>
      <c r="X864" s="10" t="s">
        <v>1063</v>
      </c>
      <c r="Y864" t="s">
        <v>39</v>
      </c>
      <c r="Z864" t="s">
        <v>62</v>
      </c>
      <c r="AA864" t="s">
        <v>125</v>
      </c>
    </row>
    <row r="865" spans="1:27" x14ac:dyDescent="0.8">
      <c r="A865">
        <v>763</v>
      </c>
      <c r="B865">
        <v>1244</v>
      </c>
      <c r="C865" s="2">
        <v>44385</v>
      </c>
      <c r="D865" t="s">
        <v>108</v>
      </c>
      <c r="E865" t="s">
        <v>25</v>
      </c>
      <c r="F865" t="s">
        <v>26</v>
      </c>
      <c r="G865" t="s">
        <v>27</v>
      </c>
      <c r="H865" t="s">
        <v>28</v>
      </c>
      <c r="I865" t="s">
        <v>109</v>
      </c>
      <c r="J865" t="s">
        <v>110</v>
      </c>
      <c r="K865" t="s">
        <v>111</v>
      </c>
      <c r="L865" t="s">
        <v>112</v>
      </c>
      <c r="M865" t="s">
        <v>113</v>
      </c>
      <c r="N865" t="s">
        <v>52</v>
      </c>
      <c r="O865" t="s">
        <v>190</v>
      </c>
      <c r="P865" t="s">
        <v>34</v>
      </c>
      <c r="Q865" t="s">
        <v>191</v>
      </c>
      <c r="R865" t="s">
        <v>192</v>
      </c>
      <c r="S865" t="s">
        <v>193</v>
      </c>
      <c r="T865" t="s">
        <v>194</v>
      </c>
      <c r="U865" s="10" t="s">
        <v>1061</v>
      </c>
      <c r="V865" s="10" t="s">
        <v>1071</v>
      </c>
      <c r="W865" s="10" t="s">
        <v>1109</v>
      </c>
      <c r="X865" s="10" t="s">
        <v>1063</v>
      </c>
      <c r="Y865" t="s">
        <v>39</v>
      </c>
      <c r="Z865" t="s">
        <v>40</v>
      </c>
      <c r="AA865" t="s">
        <v>63</v>
      </c>
    </row>
    <row r="866" spans="1:27" x14ac:dyDescent="0.8">
      <c r="A866">
        <v>754</v>
      </c>
      <c r="B866">
        <v>1235</v>
      </c>
      <c r="C866" s="2">
        <v>44385</v>
      </c>
      <c r="D866" t="s">
        <v>108</v>
      </c>
      <c r="E866" t="s">
        <v>25</v>
      </c>
      <c r="F866" t="s">
        <v>26</v>
      </c>
      <c r="G866" t="s">
        <v>27</v>
      </c>
      <c r="H866" t="s">
        <v>28</v>
      </c>
      <c r="I866" t="s">
        <v>109</v>
      </c>
      <c r="J866" t="s">
        <v>110</v>
      </c>
      <c r="K866" t="s">
        <v>111</v>
      </c>
      <c r="L866" t="s">
        <v>112</v>
      </c>
      <c r="M866" t="s">
        <v>113</v>
      </c>
      <c r="N866" t="s">
        <v>52</v>
      </c>
      <c r="O866" t="s">
        <v>190</v>
      </c>
      <c r="P866" t="s">
        <v>34</v>
      </c>
      <c r="Q866" t="s">
        <v>191</v>
      </c>
      <c r="R866" t="s">
        <v>192</v>
      </c>
      <c r="S866" t="s">
        <v>193</v>
      </c>
      <c r="T866" t="s">
        <v>194</v>
      </c>
      <c r="U866" s="10" t="s">
        <v>1061</v>
      </c>
      <c r="V866" s="10" t="s">
        <v>1071</v>
      </c>
      <c r="W866" s="10" t="s">
        <v>1109</v>
      </c>
      <c r="X866" s="10" t="s">
        <v>1063</v>
      </c>
      <c r="Y866" t="s">
        <v>39</v>
      </c>
      <c r="Z866" t="s">
        <v>40</v>
      </c>
      <c r="AA866" t="s">
        <v>63</v>
      </c>
    </row>
    <row r="867" spans="1:27" x14ac:dyDescent="0.8">
      <c r="A867">
        <v>755</v>
      </c>
      <c r="B867">
        <v>1236</v>
      </c>
      <c r="C867" s="2">
        <v>44385</v>
      </c>
      <c r="D867" t="s">
        <v>108</v>
      </c>
      <c r="E867" t="s">
        <v>25</v>
      </c>
      <c r="F867" t="s">
        <v>26</v>
      </c>
      <c r="G867" t="s">
        <v>45</v>
      </c>
      <c r="H867" t="s">
        <v>68</v>
      </c>
      <c r="I867" t="s">
        <v>69</v>
      </c>
      <c r="J867" t="s">
        <v>70</v>
      </c>
      <c r="K867" t="s">
        <v>71</v>
      </c>
      <c r="L867" t="s">
        <v>72</v>
      </c>
      <c r="M867" t="s">
        <v>73</v>
      </c>
      <c r="N867" t="s">
        <v>61</v>
      </c>
      <c r="O867" t="s">
        <v>190</v>
      </c>
      <c r="P867" t="s">
        <v>34</v>
      </c>
      <c r="Q867" t="s">
        <v>191</v>
      </c>
      <c r="R867" t="s">
        <v>192</v>
      </c>
      <c r="S867" t="s">
        <v>193</v>
      </c>
      <c r="T867" t="s">
        <v>194</v>
      </c>
      <c r="U867" s="10" t="s">
        <v>1061</v>
      </c>
      <c r="V867" s="10" t="s">
        <v>1071</v>
      </c>
      <c r="W867" s="10" t="s">
        <v>1109</v>
      </c>
      <c r="X867" s="10" t="s">
        <v>1063</v>
      </c>
      <c r="Y867" t="s">
        <v>39</v>
      </c>
      <c r="Z867" t="s">
        <v>40</v>
      </c>
      <c r="AA867" t="s">
        <v>63</v>
      </c>
    </row>
    <row r="868" spans="1:27" x14ac:dyDescent="0.8">
      <c r="A868">
        <v>961</v>
      </c>
      <c r="B868">
        <v>1269</v>
      </c>
      <c r="C868" s="2">
        <v>44384</v>
      </c>
      <c r="D868" t="s">
        <v>242</v>
      </c>
      <c r="E868" t="s">
        <v>25</v>
      </c>
      <c r="F868" t="s">
        <v>26</v>
      </c>
      <c r="G868" t="s">
        <v>45</v>
      </c>
      <c r="H868" t="s">
        <v>68</v>
      </c>
      <c r="I868" t="s">
        <v>69</v>
      </c>
      <c r="J868" t="s">
        <v>70</v>
      </c>
      <c r="K868" t="s">
        <v>71</v>
      </c>
      <c r="L868" t="s">
        <v>72</v>
      </c>
      <c r="M868" t="s">
        <v>73</v>
      </c>
      <c r="N868" t="s">
        <v>61</v>
      </c>
      <c r="O868" t="s">
        <v>673</v>
      </c>
      <c r="P868" t="s">
        <v>85</v>
      </c>
      <c r="Q868" t="s">
        <v>668</v>
      </c>
      <c r="R868" t="s">
        <v>674</v>
      </c>
      <c r="S868" t="s">
        <v>675</v>
      </c>
      <c r="T868" t="s">
        <v>676</v>
      </c>
      <c r="U868" s="10" t="s">
        <v>1061</v>
      </c>
      <c r="V868" s="10" t="s">
        <v>1096</v>
      </c>
      <c r="W868" s="10" t="s">
        <v>1109</v>
      </c>
      <c r="X868" s="10" t="s">
        <v>1097</v>
      </c>
      <c r="Y868" t="s">
        <v>39</v>
      </c>
      <c r="Z868" t="s">
        <v>40</v>
      </c>
      <c r="AA868" t="s">
        <v>63</v>
      </c>
    </row>
    <row r="869" spans="1:27" x14ac:dyDescent="0.8">
      <c r="A869">
        <v>618</v>
      </c>
      <c r="B869">
        <v>215</v>
      </c>
      <c r="C869" s="2">
        <v>44386</v>
      </c>
      <c r="D869" t="s">
        <v>43</v>
      </c>
      <c r="E869" t="s">
        <v>25</v>
      </c>
      <c r="F869" t="s">
        <v>26</v>
      </c>
      <c r="G869" t="s">
        <v>45</v>
      </c>
      <c r="H869" t="s">
        <v>55</v>
      </c>
      <c r="I869" t="s">
        <v>69</v>
      </c>
      <c r="J869" t="s">
        <v>295</v>
      </c>
      <c r="K869" t="s">
        <v>296</v>
      </c>
      <c r="L869" t="s">
        <v>112</v>
      </c>
      <c r="M869" t="s">
        <v>457</v>
      </c>
      <c r="N869" t="s">
        <v>52</v>
      </c>
      <c r="O869" t="s">
        <v>565</v>
      </c>
      <c r="P869" t="s">
        <v>34</v>
      </c>
      <c r="Q869" t="s">
        <v>35</v>
      </c>
      <c r="R869" t="s">
        <v>566</v>
      </c>
      <c r="S869" t="s">
        <v>567</v>
      </c>
      <c r="T869" t="s">
        <v>565</v>
      </c>
      <c r="U869" s="10" t="s">
        <v>1055</v>
      </c>
      <c r="V869" s="10" t="s">
        <v>1089</v>
      </c>
      <c r="W869" s="10" t="s">
        <v>1109</v>
      </c>
      <c r="X869" s="10" t="s">
        <v>1059</v>
      </c>
      <c r="Y869" t="s">
        <v>140</v>
      </c>
      <c r="Z869" t="s">
        <v>40</v>
      </c>
      <c r="AA869" t="s">
        <v>63</v>
      </c>
    </row>
    <row r="870" spans="1:27" x14ac:dyDescent="0.8">
      <c r="A870">
        <v>610</v>
      </c>
      <c r="B870">
        <v>709</v>
      </c>
      <c r="C870" s="2">
        <v>44386</v>
      </c>
      <c r="D870" t="s">
        <v>43</v>
      </c>
      <c r="E870" t="s">
        <v>25</v>
      </c>
      <c r="F870" t="s">
        <v>26</v>
      </c>
      <c r="G870" t="s">
        <v>45</v>
      </c>
      <c r="H870" t="s">
        <v>55</v>
      </c>
      <c r="I870" t="s">
        <v>69</v>
      </c>
      <c r="J870" t="s">
        <v>295</v>
      </c>
      <c r="K870" t="s">
        <v>296</v>
      </c>
      <c r="L870" t="s">
        <v>112</v>
      </c>
      <c r="M870" t="s">
        <v>457</v>
      </c>
      <c r="N870" t="s">
        <v>52</v>
      </c>
      <c r="O870" t="s">
        <v>565</v>
      </c>
      <c r="P870" t="s">
        <v>34</v>
      </c>
      <c r="Q870" t="s">
        <v>35</v>
      </c>
      <c r="R870" t="s">
        <v>566</v>
      </c>
      <c r="S870" t="s">
        <v>567</v>
      </c>
      <c r="T870" t="s">
        <v>565</v>
      </c>
      <c r="U870" s="10" t="s">
        <v>1055</v>
      </c>
      <c r="V870" s="10" t="s">
        <v>1089</v>
      </c>
      <c r="W870" s="10" t="s">
        <v>1109</v>
      </c>
      <c r="X870" s="10" t="s">
        <v>1059</v>
      </c>
      <c r="Y870" t="s">
        <v>140</v>
      </c>
      <c r="Z870" t="s">
        <v>40</v>
      </c>
      <c r="AA870" t="s">
        <v>63</v>
      </c>
    </row>
    <row r="871" spans="1:27" x14ac:dyDescent="0.8">
      <c r="A871">
        <v>1678</v>
      </c>
      <c r="B871">
        <v>451</v>
      </c>
      <c r="C871" s="2">
        <v>44388</v>
      </c>
      <c r="D871" t="s">
        <v>124</v>
      </c>
      <c r="E871" t="s">
        <v>25</v>
      </c>
      <c r="F871" t="s">
        <v>26</v>
      </c>
      <c r="G871" t="s">
        <v>45</v>
      </c>
      <c r="H871" t="s">
        <v>68</v>
      </c>
      <c r="I871" t="s">
        <v>69</v>
      </c>
      <c r="J871" t="s">
        <v>70</v>
      </c>
      <c r="K871" t="s">
        <v>71</v>
      </c>
      <c r="L871" t="s">
        <v>72</v>
      </c>
      <c r="M871" t="s">
        <v>73</v>
      </c>
      <c r="N871" t="s">
        <v>61</v>
      </c>
      <c r="O871" t="s">
        <v>629</v>
      </c>
      <c r="P871" t="s">
        <v>34</v>
      </c>
      <c r="Q871" t="s">
        <v>630</v>
      </c>
      <c r="R871" t="s">
        <v>631</v>
      </c>
      <c r="S871" t="s">
        <v>131</v>
      </c>
      <c r="T871" t="s">
        <v>632</v>
      </c>
      <c r="U871" s="10" t="s">
        <v>1064</v>
      </c>
      <c r="V871" s="10" t="s">
        <v>1094</v>
      </c>
      <c r="W871" s="10" t="s">
        <v>1064</v>
      </c>
      <c r="X871" s="10" t="s">
        <v>1068</v>
      </c>
      <c r="Y871" t="s">
        <v>39</v>
      </c>
      <c r="Z871" t="s">
        <v>202</v>
      </c>
      <c r="AA871" t="s">
        <v>41</v>
      </c>
    </row>
    <row r="872" spans="1:27" x14ac:dyDescent="0.8">
      <c r="A872">
        <v>1679</v>
      </c>
      <c r="B872">
        <v>452</v>
      </c>
      <c r="C872" s="2">
        <v>44388</v>
      </c>
      <c r="D872" t="s">
        <v>124</v>
      </c>
      <c r="E872" t="s">
        <v>25</v>
      </c>
      <c r="F872" t="s">
        <v>26</v>
      </c>
      <c r="G872" t="s">
        <v>45</v>
      </c>
      <c r="H872" t="s">
        <v>68</v>
      </c>
      <c r="I872" t="s">
        <v>69</v>
      </c>
      <c r="J872" t="s">
        <v>70</v>
      </c>
      <c r="K872" t="s">
        <v>71</v>
      </c>
      <c r="L872" t="s">
        <v>72</v>
      </c>
      <c r="M872" t="s">
        <v>73</v>
      </c>
      <c r="N872" t="s">
        <v>61</v>
      </c>
      <c r="O872" t="s">
        <v>629</v>
      </c>
      <c r="P872" t="s">
        <v>34</v>
      </c>
      <c r="Q872" t="s">
        <v>630</v>
      </c>
      <c r="R872" t="s">
        <v>631</v>
      </c>
      <c r="S872" t="s">
        <v>131</v>
      </c>
      <c r="T872" t="s">
        <v>632</v>
      </c>
      <c r="U872" s="10" t="s">
        <v>1064</v>
      </c>
      <c r="V872" s="10" t="s">
        <v>1094</v>
      </c>
      <c r="W872" s="10" t="s">
        <v>1064</v>
      </c>
      <c r="X872" s="10" t="s">
        <v>1068</v>
      </c>
      <c r="Y872" t="s">
        <v>39</v>
      </c>
      <c r="Z872" t="s">
        <v>202</v>
      </c>
      <c r="AA872" t="s">
        <v>41</v>
      </c>
    </row>
    <row r="873" spans="1:27" x14ac:dyDescent="0.8">
      <c r="A873">
        <v>547</v>
      </c>
      <c r="B873">
        <v>178</v>
      </c>
      <c r="C873" s="2">
        <v>44388</v>
      </c>
      <c r="D873" t="s">
        <v>124</v>
      </c>
      <c r="E873" t="s">
        <v>53</v>
      </c>
      <c r="F873" t="s">
        <v>26</v>
      </c>
      <c r="G873" t="s">
        <v>45</v>
      </c>
      <c r="H873" t="s">
        <v>68</v>
      </c>
      <c r="I873" t="s">
        <v>69</v>
      </c>
      <c r="J873" t="s">
        <v>70</v>
      </c>
      <c r="K873" t="s">
        <v>71</v>
      </c>
      <c r="L873" t="s">
        <v>72</v>
      </c>
      <c r="M873" t="s">
        <v>73</v>
      </c>
      <c r="N873" t="s">
        <v>61</v>
      </c>
      <c r="O873" t="s">
        <v>633</v>
      </c>
      <c r="P873" t="s">
        <v>34</v>
      </c>
      <c r="Q873" t="s">
        <v>630</v>
      </c>
      <c r="R873" t="s">
        <v>631</v>
      </c>
      <c r="S873" t="s">
        <v>131</v>
      </c>
      <c r="T873" t="s">
        <v>632</v>
      </c>
      <c r="U873" s="10" t="s">
        <v>1064</v>
      </c>
      <c r="V873" s="10" t="s">
        <v>1094</v>
      </c>
      <c r="W873" s="10" t="s">
        <v>1064</v>
      </c>
      <c r="X873" s="10" t="s">
        <v>1068</v>
      </c>
      <c r="Y873" t="s">
        <v>39</v>
      </c>
      <c r="Z873" t="s">
        <v>40</v>
      </c>
      <c r="AA873" t="s">
        <v>63</v>
      </c>
    </row>
    <row r="874" spans="1:27" x14ac:dyDescent="0.8">
      <c r="A874">
        <v>1205</v>
      </c>
      <c r="B874">
        <v>1752</v>
      </c>
      <c r="C874" s="2">
        <v>44386</v>
      </c>
      <c r="D874" t="s">
        <v>129</v>
      </c>
      <c r="E874" t="s">
        <v>125</v>
      </c>
      <c r="F874" t="s">
        <v>26</v>
      </c>
      <c r="G874" t="s">
        <v>45</v>
      </c>
      <c r="H874" t="s">
        <v>68</v>
      </c>
      <c r="I874" t="s">
        <v>69</v>
      </c>
      <c r="J874" t="s">
        <v>70</v>
      </c>
      <c r="K874" t="s">
        <v>71</v>
      </c>
      <c r="L874" t="s">
        <v>72</v>
      </c>
      <c r="M874" t="s">
        <v>73</v>
      </c>
      <c r="N874" t="s">
        <v>61</v>
      </c>
      <c r="O874" t="s">
        <v>568</v>
      </c>
      <c r="P874" t="s">
        <v>326</v>
      </c>
      <c r="Q874" t="s">
        <v>569</v>
      </c>
      <c r="R874" t="s">
        <v>570</v>
      </c>
      <c r="S874" t="s">
        <v>571</v>
      </c>
      <c r="T874" t="s">
        <v>572</v>
      </c>
      <c r="U874" s="10" t="s">
        <v>1055</v>
      </c>
      <c r="V874" s="10" t="s">
        <v>1090</v>
      </c>
      <c r="W874" s="10" t="s">
        <v>1064</v>
      </c>
      <c r="X874" s="10" t="s">
        <v>1059</v>
      </c>
      <c r="Y874" t="s">
        <v>39</v>
      </c>
      <c r="Z874" t="s">
        <v>40</v>
      </c>
      <c r="AA874" t="s">
        <v>63</v>
      </c>
    </row>
    <row r="875" spans="1:27" x14ac:dyDescent="0.8">
      <c r="A875">
        <v>1337</v>
      </c>
      <c r="B875">
        <v>2420</v>
      </c>
      <c r="C875" s="2">
        <v>44385</v>
      </c>
      <c r="D875" t="s">
        <v>104</v>
      </c>
      <c r="E875" t="s">
        <v>44</v>
      </c>
      <c r="F875" t="s">
        <v>26</v>
      </c>
      <c r="G875" t="s">
        <v>45</v>
      </c>
      <c r="H875" t="s">
        <v>46</v>
      </c>
      <c r="I875" t="s">
        <v>47</v>
      </c>
      <c r="J875" t="s">
        <v>48</v>
      </c>
      <c r="K875" t="s">
        <v>49</v>
      </c>
      <c r="L875" t="s">
        <v>91</v>
      </c>
      <c r="M875" t="s">
        <v>92</v>
      </c>
      <c r="N875" t="s">
        <v>61</v>
      </c>
      <c r="O875" t="s">
        <v>352</v>
      </c>
      <c r="P875" t="s">
        <v>34</v>
      </c>
      <c r="Q875" t="s">
        <v>353</v>
      </c>
      <c r="R875" t="s">
        <v>352</v>
      </c>
      <c r="S875" t="s">
        <v>131</v>
      </c>
      <c r="T875" t="s">
        <v>354</v>
      </c>
      <c r="U875" s="10" t="s">
        <v>1055</v>
      </c>
      <c r="V875" s="10" t="s">
        <v>1064</v>
      </c>
      <c r="W875" s="10" t="s">
        <v>1064</v>
      </c>
      <c r="X875" s="10" t="s">
        <v>1064</v>
      </c>
      <c r="Y875" t="s">
        <v>39</v>
      </c>
      <c r="Z875" t="s">
        <v>40</v>
      </c>
      <c r="AA875" t="s">
        <v>63</v>
      </c>
    </row>
    <row r="876" spans="1:27" x14ac:dyDescent="0.8">
      <c r="A876">
        <v>1336</v>
      </c>
      <c r="B876">
        <v>2419</v>
      </c>
      <c r="C876" s="2">
        <v>44385</v>
      </c>
      <c r="D876" t="s">
        <v>104</v>
      </c>
      <c r="E876" t="s">
        <v>44</v>
      </c>
      <c r="F876" t="s">
        <v>26</v>
      </c>
      <c r="G876" t="s">
        <v>45</v>
      </c>
      <c r="H876" t="s">
        <v>46</v>
      </c>
      <c r="I876" t="s">
        <v>47</v>
      </c>
      <c r="J876" t="s">
        <v>48</v>
      </c>
      <c r="K876" t="s">
        <v>49</v>
      </c>
      <c r="L876" t="s">
        <v>91</v>
      </c>
      <c r="M876" t="s">
        <v>92</v>
      </c>
      <c r="N876" t="s">
        <v>61</v>
      </c>
      <c r="O876" t="s">
        <v>352</v>
      </c>
      <c r="P876" t="s">
        <v>34</v>
      </c>
      <c r="Q876" t="s">
        <v>353</v>
      </c>
      <c r="R876" t="s">
        <v>352</v>
      </c>
      <c r="S876" t="s">
        <v>131</v>
      </c>
      <c r="T876" t="s">
        <v>354</v>
      </c>
      <c r="U876" s="10" t="s">
        <v>1055</v>
      </c>
      <c r="V876" s="10" t="s">
        <v>1064</v>
      </c>
      <c r="W876" s="10" t="s">
        <v>1064</v>
      </c>
      <c r="X876" s="10" t="s">
        <v>1064</v>
      </c>
      <c r="Y876" t="s">
        <v>39</v>
      </c>
      <c r="Z876" t="s">
        <v>40</v>
      </c>
      <c r="AA876" t="s">
        <v>63</v>
      </c>
    </row>
    <row r="877" spans="1:27" x14ac:dyDescent="0.8">
      <c r="A877">
        <v>582</v>
      </c>
      <c r="B877">
        <v>681</v>
      </c>
      <c r="C877" s="2">
        <v>44384</v>
      </c>
      <c r="D877" t="s">
        <v>151</v>
      </c>
      <c r="E877" t="s">
        <v>25</v>
      </c>
      <c r="F877" t="s">
        <v>26</v>
      </c>
      <c r="G877" t="s">
        <v>45</v>
      </c>
      <c r="H877" t="s">
        <v>68</v>
      </c>
      <c r="I877" t="s">
        <v>69</v>
      </c>
      <c r="J877" t="s">
        <v>70</v>
      </c>
      <c r="K877" t="s">
        <v>71</v>
      </c>
      <c r="L877" t="s">
        <v>72</v>
      </c>
      <c r="M877" t="s">
        <v>73</v>
      </c>
      <c r="N877" t="s">
        <v>61</v>
      </c>
      <c r="O877" t="s">
        <v>352</v>
      </c>
      <c r="P877" t="s">
        <v>34</v>
      </c>
      <c r="Q877" t="s">
        <v>353</v>
      </c>
      <c r="R877" t="s">
        <v>352</v>
      </c>
      <c r="S877" t="s">
        <v>131</v>
      </c>
      <c r="T877" t="s">
        <v>354</v>
      </c>
      <c r="U877" s="10" t="s">
        <v>1055</v>
      </c>
      <c r="V877" s="10" t="s">
        <v>1064</v>
      </c>
      <c r="W877" s="10" t="s">
        <v>1064</v>
      </c>
      <c r="X877" s="10" t="s">
        <v>1064</v>
      </c>
      <c r="Y877" t="s">
        <v>140</v>
      </c>
      <c r="Z877" t="s">
        <v>40</v>
      </c>
      <c r="AA877" t="s">
        <v>63</v>
      </c>
    </row>
    <row r="878" spans="1:27" x14ac:dyDescent="0.8">
      <c r="A878">
        <v>286</v>
      </c>
      <c r="B878">
        <v>900</v>
      </c>
      <c r="C878" s="2">
        <v>44386</v>
      </c>
      <c r="D878" t="s">
        <v>43</v>
      </c>
      <c r="E878" t="s">
        <v>25</v>
      </c>
      <c r="F878" t="s">
        <v>26</v>
      </c>
      <c r="G878" t="s">
        <v>45</v>
      </c>
      <c r="H878" t="s">
        <v>46</v>
      </c>
      <c r="I878" t="s">
        <v>47</v>
      </c>
      <c r="J878" t="s">
        <v>48</v>
      </c>
      <c r="K878" t="s">
        <v>49</v>
      </c>
      <c r="L878" t="s">
        <v>50</v>
      </c>
      <c r="M878" t="s">
        <v>51</v>
      </c>
      <c r="N878" t="s">
        <v>52</v>
      </c>
      <c r="O878" t="s">
        <v>401</v>
      </c>
      <c r="P878" t="s">
        <v>34</v>
      </c>
      <c r="Q878" t="s">
        <v>35</v>
      </c>
      <c r="R878" t="s">
        <v>402</v>
      </c>
      <c r="S878" t="s">
        <v>131</v>
      </c>
      <c r="T878" t="s">
        <v>403</v>
      </c>
      <c r="U878" s="10" t="s">
        <v>1061</v>
      </c>
      <c r="V878" s="10" t="s">
        <v>1064</v>
      </c>
      <c r="W878" s="10" t="s">
        <v>1064</v>
      </c>
      <c r="X878" s="10" t="s">
        <v>1059</v>
      </c>
      <c r="Y878" t="s">
        <v>39</v>
      </c>
      <c r="Z878" t="s">
        <v>40</v>
      </c>
      <c r="AA878" t="s">
        <v>53</v>
      </c>
    </row>
    <row r="879" spans="1:27" x14ac:dyDescent="0.8">
      <c r="A879">
        <v>1259</v>
      </c>
      <c r="B879">
        <v>1906</v>
      </c>
      <c r="C879" s="2">
        <v>44387</v>
      </c>
      <c r="D879" t="s">
        <v>102</v>
      </c>
      <c r="E879" t="s">
        <v>63</v>
      </c>
      <c r="F879" t="s">
        <v>26</v>
      </c>
      <c r="G879" t="s">
        <v>45</v>
      </c>
      <c r="H879" t="s">
        <v>46</v>
      </c>
      <c r="I879" t="s">
        <v>47</v>
      </c>
      <c r="J879" t="s">
        <v>48</v>
      </c>
      <c r="K879" t="s">
        <v>49</v>
      </c>
      <c r="L879" t="s">
        <v>50</v>
      </c>
      <c r="M879" t="s">
        <v>51</v>
      </c>
      <c r="N879" t="s">
        <v>61</v>
      </c>
      <c r="O879" t="s">
        <v>401</v>
      </c>
      <c r="P879" t="s">
        <v>34</v>
      </c>
      <c r="Q879" t="s">
        <v>35</v>
      </c>
      <c r="R879" t="s">
        <v>402</v>
      </c>
      <c r="S879" t="s">
        <v>131</v>
      </c>
      <c r="T879" t="s">
        <v>403</v>
      </c>
      <c r="U879" s="10" t="s">
        <v>1061</v>
      </c>
      <c r="V879" s="10" t="s">
        <v>1064</v>
      </c>
      <c r="W879" s="10" t="s">
        <v>1064</v>
      </c>
      <c r="X879" s="10" t="s">
        <v>1059</v>
      </c>
      <c r="Y879" t="s">
        <v>39</v>
      </c>
      <c r="Z879" t="s">
        <v>40</v>
      </c>
      <c r="AA879" t="s">
        <v>63</v>
      </c>
    </row>
    <row r="880" spans="1:27" x14ac:dyDescent="0.8">
      <c r="A880">
        <v>262</v>
      </c>
      <c r="B880">
        <v>1468</v>
      </c>
      <c r="C880" s="2">
        <v>44386</v>
      </c>
      <c r="D880" t="s">
        <v>43</v>
      </c>
      <c r="E880" t="s">
        <v>25</v>
      </c>
      <c r="F880" t="s">
        <v>26</v>
      </c>
      <c r="G880" t="s">
        <v>45</v>
      </c>
      <c r="H880" t="s">
        <v>68</v>
      </c>
      <c r="I880" t="s">
        <v>69</v>
      </c>
      <c r="J880" t="s">
        <v>70</v>
      </c>
      <c r="K880" t="s">
        <v>71</v>
      </c>
      <c r="L880" t="s">
        <v>72</v>
      </c>
      <c r="M880" t="s">
        <v>73</v>
      </c>
      <c r="N880" t="s">
        <v>61</v>
      </c>
      <c r="O880" t="s">
        <v>665</v>
      </c>
      <c r="P880" t="s">
        <v>34</v>
      </c>
      <c r="Q880" t="s">
        <v>136</v>
      </c>
      <c r="R880" t="s">
        <v>656</v>
      </c>
      <c r="S880" t="s">
        <v>131</v>
      </c>
      <c r="T880" t="s">
        <v>666</v>
      </c>
      <c r="U880" s="10" t="s">
        <v>1061</v>
      </c>
      <c r="V880" s="10" t="s">
        <v>1064</v>
      </c>
      <c r="W880" s="10" t="s">
        <v>1064</v>
      </c>
      <c r="X880" s="10" t="s">
        <v>1068</v>
      </c>
      <c r="Y880" t="s">
        <v>39</v>
      </c>
      <c r="Z880" t="s">
        <v>40</v>
      </c>
      <c r="AA880" t="s">
        <v>53</v>
      </c>
    </row>
    <row r="881" spans="1:28" x14ac:dyDescent="0.8">
      <c r="A881">
        <v>294</v>
      </c>
      <c r="B881">
        <v>908</v>
      </c>
      <c r="C881" s="2">
        <v>44386</v>
      </c>
      <c r="D881" t="s">
        <v>43</v>
      </c>
      <c r="E881" t="s">
        <v>53</v>
      </c>
      <c r="F881" t="s">
        <v>26</v>
      </c>
      <c r="G881" t="s">
        <v>94</v>
      </c>
      <c r="H881" t="s">
        <v>95</v>
      </c>
      <c r="I881" t="s">
        <v>96</v>
      </c>
      <c r="J881" t="s">
        <v>97</v>
      </c>
      <c r="K881" t="s">
        <v>98</v>
      </c>
      <c r="L881" t="s">
        <v>99</v>
      </c>
      <c r="M881" t="s">
        <v>100</v>
      </c>
      <c r="N881" t="s">
        <v>101</v>
      </c>
      <c r="O881" t="s">
        <v>665</v>
      </c>
      <c r="P881" t="s">
        <v>34</v>
      </c>
      <c r="Q881" t="s">
        <v>136</v>
      </c>
      <c r="R881" t="s">
        <v>656</v>
      </c>
      <c r="S881" t="s">
        <v>131</v>
      </c>
      <c r="T881" t="s">
        <v>666</v>
      </c>
      <c r="U881" s="10" t="s">
        <v>1061</v>
      </c>
      <c r="V881" s="10" t="s">
        <v>1064</v>
      </c>
      <c r="W881" s="10" t="s">
        <v>1064</v>
      </c>
      <c r="X881" s="10" t="s">
        <v>1068</v>
      </c>
      <c r="Y881" t="s">
        <v>39</v>
      </c>
      <c r="Z881" t="s">
        <v>40</v>
      </c>
      <c r="AA881" t="s">
        <v>53</v>
      </c>
    </row>
    <row r="882" spans="1:28" x14ac:dyDescent="0.8">
      <c r="A882">
        <v>276</v>
      </c>
      <c r="B882">
        <v>890</v>
      </c>
      <c r="C882" s="2">
        <v>44386</v>
      </c>
      <c r="D882" t="s">
        <v>43</v>
      </c>
      <c r="E882" t="s">
        <v>53</v>
      </c>
      <c r="F882" t="s">
        <v>26</v>
      </c>
      <c r="G882" t="s">
        <v>94</v>
      </c>
      <c r="H882" t="s">
        <v>95</v>
      </c>
      <c r="I882" t="s">
        <v>96</v>
      </c>
      <c r="J882" t="s">
        <v>97</v>
      </c>
      <c r="K882" t="s">
        <v>98</v>
      </c>
      <c r="L882" t="s">
        <v>99</v>
      </c>
      <c r="M882" t="s">
        <v>100</v>
      </c>
      <c r="N882" t="s">
        <v>101</v>
      </c>
      <c r="O882" t="s">
        <v>665</v>
      </c>
      <c r="P882" t="s">
        <v>34</v>
      </c>
      <c r="Q882" t="s">
        <v>136</v>
      </c>
      <c r="R882" t="s">
        <v>656</v>
      </c>
      <c r="S882" t="s">
        <v>131</v>
      </c>
      <c r="T882" t="s">
        <v>666</v>
      </c>
      <c r="U882" s="10" t="s">
        <v>1061</v>
      </c>
      <c r="V882" s="10" t="s">
        <v>1064</v>
      </c>
      <c r="W882" s="10" t="s">
        <v>1064</v>
      </c>
      <c r="X882" s="10" t="s">
        <v>1068</v>
      </c>
      <c r="Y882" t="s">
        <v>39</v>
      </c>
      <c r="Z882" t="s">
        <v>40</v>
      </c>
      <c r="AA882" t="s">
        <v>53</v>
      </c>
    </row>
    <row r="883" spans="1:28" x14ac:dyDescent="0.8">
      <c r="A883">
        <v>275</v>
      </c>
      <c r="B883">
        <v>889</v>
      </c>
      <c r="C883" s="2">
        <v>44386</v>
      </c>
      <c r="D883" t="s">
        <v>43</v>
      </c>
      <c r="E883" t="s">
        <v>63</v>
      </c>
      <c r="F883" t="s">
        <v>26</v>
      </c>
      <c r="G883" t="s">
        <v>94</v>
      </c>
      <c r="H883" t="s">
        <v>95</v>
      </c>
      <c r="I883" t="s">
        <v>96</v>
      </c>
      <c r="J883" t="s">
        <v>97</v>
      </c>
      <c r="K883" t="s">
        <v>98</v>
      </c>
      <c r="L883" t="s">
        <v>99</v>
      </c>
      <c r="M883" t="s">
        <v>100</v>
      </c>
      <c r="N883" t="s">
        <v>101</v>
      </c>
      <c r="O883" t="s">
        <v>665</v>
      </c>
      <c r="P883" t="s">
        <v>34</v>
      </c>
      <c r="Q883" t="s">
        <v>136</v>
      </c>
      <c r="R883" t="s">
        <v>656</v>
      </c>
      <c r="S883" t="s">
        <v>131</v>
      </c>
      <c r="T883" t="s">
        <v>666</v>
      </c>
      <c r="U883" s="10" t="s">
        <v>1061</v>
      </c>
      <c r="V883" s="10" t="s">
        <v>1064</v>
      </c>
      <c r="W883" s="10" t="s">
        <v>1064</v>
      </c>
      <c r="X883" s="10" t="s">
        <v>1068</v>
      </c>
      <c r="Y883" t="s">
        <v>39</v>
      </c>
      <c r="Z883" t="s">
        <v>40</v>
      </c>
      <c r="AA883" t="s">
        <v>53</v>
      </c>
    </row>
    <row r="884" spans="1:28" x14ac:dyDescent="0.8">
      <c r="A884">
        <v>1730</v>
      </c>
      <c r="B884">
        <v>817</v>
      </c>
      <c r="C884" s="2">
        <v>44384</v>
      </c>
      <c r="D884" t="s">
        <v>151</v>
      </c>
      <c r="E884" t="s">
        <v>125</v>
      </c>
      <c r="F884" t="s">
        <v>26</v>
      </c>
      <c r="G884" t="s">
        <v>45</v>
      </c>
      <c r="H884" t="s">
        <v>68</v>
      </c>
      <c r="I884" t="s">
        <v>69</v>
      </c>
      <c r="J884" t="s">
        <v>70</v>
      </c>
      <c r="K884" t="s">
        <v>71</v>
      </c>
      <c r="L884" t="s">
        <v>72</v>
      </c>
      <c r="M884" t="s">
        <v>73</v>
      </c>
      <c r="N884" t="s">
        <v>61</v>
      </c>
      <c r="O884" t="s">
        <v>578</v>
      </c>
      <c r="P884" t="s">
        <v>34</v>
      </c>
      <c r="Q884" t="s">
        <v>579</v>
      </c>
      <c r="R884" t="s">
        <v>580</v>
      </c>
      <c r="S884" t="s">
        <v>131</v>
      </c>
      <c r="T884" t="s">
        <v>581</v>
      </c>
      <c r="U884" s="10" t="s">
        <v>1061</v>
      </c>
      <c r="V884" s="10" t="s">
        <v>1064</v>
      </c>
      <c r="W884" s="10" t="s">
        <v>1064</v>
      </c>
      <c r="X884" s="10" t="s">
        <v>1064</v>
      </c>
      <c r="Y884" t="s">
        <v>39</v>
      </c>
      <c r="Z884" t="s">
        <v>40</v>
      </c>
      <c r="AA884" t="s">
        <v>41</v>
      </c>
    </row>
    <row r="885" spans="1:28" x14ac:dyDescent="0.8">
      <c r="A885">
        <v>1000</v>
      </c>
      <c r="B885">
        <v>1356</v>
      </c>
      <c r="C885" s="2">
        <v>44385</v>
      </c>
      <c r="D885" t="s">
        <v>203</v>
      </c>
      <c r="E885" t="s">
        <v>25</v>
      </c>
      <c r="F885" t="s">
        <v>26</v>
      </c>
      <c r="G885" t="s">
        <v>27</v>
      </c>
      <c r="H885" t="s">
        <v>28</v>
      </c>
      <c r="I885" t="s">
        <v>109</v>
      </c>
      <c r="K885" t="s">
        <v>430</v>
      </c>
      <c r="L885" t="s">
        <v>112</v>
      </c>
      <c r="M885" t="s">
        <v>724</v>
      </c>
      <c r="O885" t="s">
        <v>725</v>
      </c>
      <c r="P885" t="s">
        <v>34</v>
      </c>
      <c r="Q885" t="s">
        <v>721</v>
      </c>
      <c r="R885" t="s">
        <v>726</v>
      </c>
      <c r="S885" t="s">
        <v>131</v>
      </c>
      <c r="T885" t="s">
        <v>727</v>
      </c>
      <c r="U885" s="10" t="s">
        <v>1061</v>
      </c>
      <c r="V885" s="10" t="s">
        <v>1064</v>
      </c>
      <c r="W885" s="10" t="s">
        <v>1064</v>
      </c>
      <c r="X885" s="10" t="s">
        <v>1064</v>
      </c>
      <c r="Y885" t="s">
        <v>39</v>
      </c>
      <c r="Z885" t="s">
        <v>40</v>
      </c>
      <c r="AA885" t="s">
        <v>63</v>
      </c>
      <c r="AB885" t="s">
        <v>728</v>
      </c>
    </row>
    <row r="886" spans="1:28" x14ac:dyDescent="0.8">
      <c r="A886">
        <v>987</v>
      </c>
      <c r="B886">
        <v>711</v>
      </c>
      <c r="C886" s="2">
        <v>44385</v>
      </c>
      <c r="D886" t="s">
        <v>203</v>
      </c>
      <c r="E886" t="s">
        <v>25</v>
      </c>
      <c r="F886" t="s">
        <v>26</v>
      </c>
      <c r="G886" t="s">
        <v>45</v>
      </c>
      <c r="H886" t="s">
        <v>155</v>
      </c>
      <c r="I886" t="s">
        <v>69</v>
      </c>
      <c r="J886" t="s">
        <v>156</v>
      </c>
      <c r="K886" t="s">
        <v>157</v>
      </c>
      <c r="L886" t="s">
        <v>500</v>
      </c>
      <c r="M886" t="s">
        <v>501</v>
      </c>
      <c r="N886" t="s">
        <v>61</v>
      </c>
      <c r="O886" t="s">
        <v>725</v>
      </c>
      <c r="P886" t="s">
        <v>34</v>
      </c>
      <c r="Q886" t="s">
        <v>721</v>
      </c>
      <c r="R886" t="s">
        <v>726</v>
      </c>
      <c r="S886" t="s">
        <v>131</v>
      </c>
      <c r="T886" t="s">
        <v>727</v>
      </c>
      <c r="U886" s="10" t="s">
        <v>1061</v>
      </c>
      <c r="V886" s="10" t="s">
        <v>1064</v>
      </c>
      <c r="W886" s="10" t="s">
        <v>1064</v>
      </c>
      <c r="X886" s="10" t="s">
        <v>1064</v>
      </c>
      <c r="Y886" t="s">
        <v>39</v>
      </c>
      <c r="Z886" t="s">
        <v>40</v>
      </c>
      <c r="AA886" t="s">
        <v>63</v>
      </c>
    </row>
    <row r="887" spans="1:28" x14ac:dyDescent="0.8">
      <c r="A887">
        <v>1001</v>
      </c>
      <c r="B887">
        <v>1357</v>
      </c>
      <c r="C887" s="2">
        <v>44385</v>
      </c>
      <c r="D887" t="s">
        <v>203</v>
      </c>
      <c r="E887" t="s">
        <v>25</v>
      </c>
      <c r="F887" t="s">
        <v>26</v>
      </c>
      <c r="G887" t="s">
        <v>45</v>
      </c>
      <c r="H887" t="s">
        <v>46</v>
      </c>
      <c r="I887" t="s">
        <v>47</v>
      </c>
      <c r="J887" t="s">
        <v>48</v>
      </c>
      <c r="K887" t="s">
        <v>141</v>
      </c>
      <c r="L887" t="s">
        <v>59</v>
      </c>
      <c r="M887" t="s">
        <v>346</v>
      </c>
      <c r="N887" t="s">
        <v>61</v>
      </c>
      <c r="O887" t="s">
        <v>725</v>
      </c>
      <c r="P887" t="s">
        <v>34</v>
      </c>
      <c r="Q887" t="s">
        <v>721</v>
      </c>
      <c r="R887" t="s">
        <v>726</v>
      </c>
      <c r="S887" t="s">
        <v>131</v>
      </c>
      <c r="T887" t="s">
        <v>727</v>
      </c>
      <c r="U887" s="10" t="s">
        <v>1061</v>
      </c>
      <c r="V887" s="10" t="s">
        <v>1064</v>
      </c>
      <c r="W887" s="10" t="s">
        <v>1064</v>
      </c>
      <c r="X887" s="10" t="s">
        <v>1064</v>
      </c>
      <c r="Y887" t="s">
        <v>39</v>
      </c>
      <c r="Z887" t="s">
        <v>40</v>
      </c>
      <c r="AA887" t="s">
        <v>63</v>
      </c>
      <c r="AB887" t="s">
        <v>728</v>
      </c>
    </row>
    <row r="888" spans="1:28" x14ac:dyDescent="0.8">
      <c r="A888">
        <v>939</v>
      </c>
      <c r="B888">
        <v>1115</v>
      </c>
      <c r="C888" s="2">
        <v>44384</v>
      </c>
      <c r="D888" t="s">
        <v>242</v>
      </c>
      <c r="E888" t="s">
        <v>25</v>
      </c>
      <c r="F888" t="s">
        <v>26</v>
      </c>
      <c r="G888" t="s">
        <v>45</v>
      </c>
      <c r="H888" t="s">
        <v>68</v>
      </c>
      <c r="I888" t="s">
        <v>69</v>
      </c>
      <c r="J888" t="s">
        <v>70</v>
      </c>
      <c r="K888" t="s">
        <v>71</v>
      </c>
      <c r="L888" t="s">
        <v>72</v>
      </c>
      <c r="M888" t="s">
        <v>73</v>
      </c>
      <c r="N888" t="s">
        <v>61</v>
      </c>
      <c r="O888" t="s">
        <v>800</v>
      </c>
      <c r="P888" t="s">
        <v>85</v>
      </c>
      <c r="Q888" t="s">
        <v>75</v>
      </c>
      <c r="R888" t="s">
        <v>801</v>
      </c>
      <c r="S888" t="s">
        <v>802</v>
      </c>
      <c r="T888" t="s">
        <v>803</v>
      </c>
      <c r="U888" s="10" t="s">
        <v>1061</v>
      </c>
      <c r="V888" s="10" t="s">
        <v>1064</v>
      </c>
      <c r="W888" s="10" t="s">
        <v>1064</v>
      </c>
      <c r="X888" s="10" t="s">
        <v>1064</v>
      </c>
      <c r="Y888" t="s">
        <v>39</v>
      </c>
      <c r="Z888" t="s">
        <v>62</v>
      </c>
      <c r="AA888" t="s">
        <v>63</v>
      </c>
    </row>
    <row r="889" spans="1:28" x14ac:dyDescent="0.8">
      <c r="A889">
        <v>936</v>
      </c>
      <c r="B889">
        <v>1112</v>
      </c>
      <c r="C889" s="2">
        <v>44384</v>
      </c>
      <c r="D889" t="s">
        <v>242</v>
      </c>
      <c r="E889" t="s">
        <v>150</v>
      </c>
      <c r="F889" t="s">
        <v>26</v>
      </c>
      <c r="G889" t="s">
        <v>45</v>
      </c>
      <c r="H889" t="s">
        <v>68</v>
      </c>
      <c r="I889" t="s">
        <v>69</v>
      </c>
      <c r="J889" t="s">
        <v>70</v>
      </c>
      <c r="K889" t="s">
        <v>71</v>
      </c>
      <c r="L889" t="s">
        <v>72</v>
      </c>
      <c r="M889" t="s">
        <v>73</v>
      </c>
      <c r="N889" t="s">
        <v>61</v>
      </c>
      <c r="O889" t="s">
        <v>800</v>
      </c>
      <c r="P889" t="s">
        <v>85</v>
      </c>
      <c r="Q889" t="s">
        <v>75</v>
      </c>
      <c r="R889" t="s">
        <v>801</v>
      </c>
      <c r="S889" t="s">
        <v>802</v>
      </c>
      <c r="T889" t="s">
        <v>803</v>
      </c>
      <c r="U889" s="10" t="s">
        <v>1061</v>
      </c>
      <c r="V889" s="10" t="s">
        <v>1064</v>
      </c>
      <c r="W889" s="10" t="s">
        <v>1064</v>
      </c>
      <c r="X889" s="10" t="s">
        <v>1064</v>
      </c>
      <c r="Y889" t="s">
        <v>39</v>
      </c>
      <c r="Z889" t="s">
        <v>40</v>
      </c>
      <c r="AA889" t="s">
        <v>63</v>
      </c>
    </row>
    <row r="890" spans="1:28" x14ac:dyDescent="0.8">
      <c r="A890">
        <v>933</v>
      </c>
      <c r="B890">
        <v>1109</v>
      </c>
      <c r="C890" s="2">
        <v>44384</v>
      </c>
      <c r="D890" t="s">
        <v>242</v>
      </c>
      <c r="E890" t="s">
        <v>150</v>
      </c>
      <c r="F890" t="s">
        <v>26</v>
      </c>
      <c r="G890" t="s">
        <v>45</v>
      </c>
      <c r="H890" t="s">
        <v>68</v>
      </c>
      <c r="I890" t="s">
        <v>69</v>
      </c>
      <c r="J890" t="s">
        <v>70</v>
      </c>
      <c r="K890" t="s">
        <v>71</v>
      </c>
      <c r="L890" t="s">
        <v>72</v>
      </c>
      <c r="M890" t="s">
        <v>73</v>
      </c>
      <c r="N890" t="s">
        <v>61</v>
      </c>
      <c r="O890" t="s">
        <v>800</v>
      </c>
      <c r="P890" t="s">
        <v>85</v>
      </c>
      <c r="Q890" t="s">
        <v>75</v>
      </c>
      <c r="R890" t="s">
        <v>801</v>
      </c>
      <c r="S890" t="s">
        <v>802</v>
      </c>
      <c r="T890" t="s">
        <v>803</v>
      </c>
      <c r="U890" s="10" t="s">
        <v>1061</v>
      </c>
      <c r="V890" s="10" t="s">
        <v>1064</v>
      </c>
      <c r="W890" s="10" t="s">
        <v>1064</v>
      </c>
      <c r="X890" s="10" t="s">
        <v>1064</v>
      </c>
      <c r="Y890" t="s">
        <v>39</v>
      </c>
      <c r="Z890" t="s">
        <v>40</v>
      </c>
      <c r="AA890" t="s">
        <v>63</v>
      </c>
    </row>
    <row r="891" spans="1:28" x14ac:dyDescent="0.8">
      <c r="A891">
        <v>931</v>
      </c>
      <c r="B891">
        <v>1107</v>
      </c>
      <c r="C891" s="2">
        <v>44384</v>
      </c>
      <c r="D891" t="s">
        <v>242</v>
      </c>
      <c r="E891" t="s">
        <v>25</v>
      </c>
      <c r="F891" t="s">
        <v>26</v>
      </c>
      <c r="G891" t="s">
        <v>45</v>
      </c>
      <c r="H891" t="s">
        <v>68</v>
      </c>
      <c r="I891" t="s">
        <v>69</v>
      </c>
      <c r="J891" t="s">
        <v>70</v>
      </c>
      <c r="K891" t="s">
        <v>71</v>
      </c>
      <c r="L891" t="s">
        <v>72</v>
      </c>
      <c r="M891" t="s">
        <v>73</v>
      </c>
      <c r="N891" t="s">
        <v>61</v>
      </c>
      <c r="O891" t="s">
        <v>800</v>
      </c>
      <c r="P891" t="s">
        <v>85</v>
      </c>
      <c r="Q891" t="s">
        <v>75</v>
      </c>
      <c r="R891" t="s">
        <v>801</v>
      </c>
      <c r="S891" t="s">
        <v>802</v>
      </c>
      <c r="T891" t="s">
        <v>803</v>
      </c>
      <c r="U891" s="10" t="s">
        <v>1061</v>
      </c>
      <c r="V891" s="10" t="s">
        <v>1064</v>
      </c>
      <c r="W891" s="10" t="s">
        <v>1064</v>
      </c>
      <c r="X891" s="10" t="s">
        <v>1064</v>
      </c>
      <c r="Y891" t="s">
        <v>39</v>
      </c>
      <c r="Z891" t="s">
        <v>62</v>
      </c>
      <c r="AA891" t="s">
        <v>63</v>
      </c>
    </row>
    <row r="892" spans="1:28" x14ac:dyDescent="0.8">
      <c r="A892">
        <v>928</v>
      </c>
      <c r="B892">
        <v>1104</v>
      </c>
      <c r="C892" s="2">
        <v>44384</v>
      </c>
      <c r="D892" t="s">
        <v>242</v>
      </c>
      <c r="E892" t="s">
        <v>25</v>
      </c>
      <c r="F892" t="s">
        <v>26</v>
      </c>
      <c r="G892" t="s">
        <v>45</v>
      </c>
      <c r="H892" t="s">
        <v>68</v>
      </c>
      <c r="I892" t="s">
        <v>69</v>
      </c>
      <c r="J892" t="s">
        <v>70</v>
      </c>
      <c r="K892" t="s">
        <v>71</v>
      </c>
      <c r="L892" t="s">
        <v>72</v>
      </c>
      <c r="M892" t="s">
        <v>73</v>
      </c>
      <c r="N892" t="s">
        <v>61</v>
      </c>
      <c r="O892" t="s">
        <v>800</v>
      </c>
      <c r="P892" t="s">
        <v>85</v>
      </c>
      <c r="Q892" t="s">
        <v>75</v>
      </c>
      <c r="R892" t="s">
        <v>801</v>
      </c>
      <c r="S892" t="s">
        <v>802</v>
      </c>
      <c r="T892" t="s">
        <v>803</v>
      </c>
      <c r="U892" s="10" t="s">
        <v>1061</v>
      </c>
      <c r="V892" s="10" t="s">
        <v>1064</v>
      </c>
      <c r="W892" s="10" t="s">
        <v>1064</v>
      </c>
      <c r="X892" s="10" t="s">
        <v>1064</v>
      </c>
      <c r="Y892" t="s">
        <v>39</v>
      </c>
      <c r="Z892" t="s">
        <v>40</v>
      </c>
      <c r="AA892" t="s">
        <v>63</v>
      </c>
    </row>
    <row r="893" spans="1:28" x14ac:dyDescent="0.8">
      <c r="A893">
        <v>966</v>
      </c>
      <c r="B893">
        <v>1274</v>
      </c>
      <c r="C893" s="2">
        <v>44384</v>
      </c>
      <c r="D893" t="s">
        <v>242</v>
      </c>
      <c r="E893" t="s">
        <v>25</v>
      </c>
      <c r="F893" t="s">
        <v>26</v>
      </c>
      <c r="G893" t="s">
        <v>45</v>
      </c>
      <c r="H893" t="s">
        <v>46</v>
      </c>
      <c r="I893" t="s">
        <v>47</v>
      </c>
      <c r="J893" t="s">
        <v>48</v>
      </c>
      <c r="K893" t="s">
        <v>49</v>
      </c>
      <c r="L893" t="s">
        <v>91</v>
      </c>
      <c r="M893" t="s">
        <v>92</v>
      </c>
      <c r="N893" t="s">
        <v>61</v>
      </c>
      <c r="O893" t="s">
        <v>800</v>
      </c>
      <c r="P893" t="s">
        <v>85</v>
      </c>
      <c r="Q893" t="s">
        <v>75</v>
      </c>
      <c r="R893" t="s">
        <v>801</v>
      </c>
      <c r="S893" t="s">
        <v>802</v>
      </c>
      <c r="T893" t="s">
        <v>803</v>
      </c>
      <c r="U893" s="10" t="s">
        <v>1061</v>
      </c>
      <c r="V893" s="10" t="s">
        <v>1064</v>
      </c>
      <c r="W893" s="10" t="s">
        <v>1064</v>
      </c>
      <c r="X893" s="10" t="s">
        <v>1064</v>
      </c>
      <c r="Y893" t="s">
        <v>39</v>
      </c>
      <c r="Z893" t="s">
        <v>40</v>
      </c>
      <c r="AA893" t="s">
        <v>63</v>
      </c>
    </row>
    <row r="894" spans="1:28" x14ac:dyDescent="0.8">
      <c r="A894">
        <v>885</v>
      </c>
      <c r="B894">
        <v>1013</v>
      </c>
      <c r="C894" s="2">
        <v>44388</v>
      </c>
      <c r="D894" t="s">
        <v>189</v>
      </c>
      <c r="E894" t="s">
        <v>53</v>
      </c>
      <c r="F894" t="s">
        <v>26</v>
      </c>
      <c r="G894" t="s">
        <v>45</v>
      </c>
      <c r="H894" t="s">
        <v>155</v>
      </c>
      <c r="I894" t="s">
        <v>69</v>
      </c>
      <c r="J894" t="s">
        <v>156</v>
      </c>
      <c r="K894" t="s">
        <v>157</v>
      </c>
      <c r="L894" t="s">
        <v>158</v>
      </c>
      <c r="M894" t="s">
        <v>159</v>
      </c>
      <c r="N894" t="s">
        <v>52</v>
      </c>
      <c r="O894" t="s">
        <v>804</v>
      </c>
      <c r="P894" t="s">
        <v>34</v>
      </c>
      <c r="Q894" t="s">
        <v>574</v>
      </c>
      <c r="R894" t="s">
        <v>805</v>
      </c>
      <c r="S894" t="s">
        <v>131</v>
      </c>
      <c r="T894" t="s">
        <v>806</v>
      </c>
      <c r="U894" s="10" t="s">
        <v>1061</v>
      </c>
      <c r="V894" s="10" t="s">
        <v>1064</v>
      </c>
      <c r="W894" s="10" t="s">
        <v>1064</v>
      </c>
      <c r="X894" s="10" t="s">
        <v>1064</v>
      </c>
      <c r="Y894" t="s">
        <v>39</v>
      </c>
      <c r="Z894" t="s">
        <v>40</v>
      </c>
      <c r="AA894" t="s">
        <v>63</v>
      </c>
    </row>
    <row r="895" spans="1:28" x14ac:dyDescent="0.8">
      <c r="A895">
        <v>1510</v>
      </c>
      <c r="B895">
        <v>2407</v>
      </c>
      <c r="C895" s="2">
        <v>44388</v>
      </c>
      <c r="D895" t="s">
        <v>134</v>
      </c>
      <c r="E895" t="s">
        <v>53</v>
      </c>
      <c r="F895" t="s">
        <v>26</v>
      </c>
      <c r="G895" t="s">
        <v>45</v>
      </c>
      <c r="H895" t="s">
        <v>155</v>
      </c>
      <c r="I895" t="s">
        <v>69</v>
      </c>
      <c r="J895" t="s">
        <v>156</v>
      </c>
      <c r="K895" t="s">
        <v>157</v>
      </c>
      <c r="L895" t="s">
        <v>158</v>
      </c>
      <c r="M895" t="s">
        <v>159</v>
      </c>
      <c r="N895" t="s">
        <v>52</v>
      </c>
      <c r="O895" t="s">
        <v>804</v>
      </c>
      <c r="P895" t="s">
        <v>34</v>
      </c>
      <c r="Q895" t="s">
        <v>574</v>
      </c>
      <c r="R895" t="s">
        <v>805</v>
      </c>
      <c r="S895" t="s">
        <v>131</v>
      </c>
      <c r="T895" t="s">
        <v>806</v>
      </c>
      <c r="U895" s="10" t="s">
        <v>1061</v>
      </c>
      <c r="V895" s="10" t="s">
        <v>1064</v>
      </c>
      <c r="W895" s="10" t="s">
        <v>1064</v>
      </c>
      <c r="X895" s="10" t="s">
        <v>1064</v>
      </c>
      <c r="Y895" t="s">
        <v>39</v>
      </c>
      <c r="Z895" t="s">
        <v>40</v>
      </c>
      <c r="AA895" t="s">
        <v>63</v>
      </c>
    </row>
    <row r="896" spans="1:28" x14ac:dyDescent="0.8">
      <c r="A896">
        <v>1101</v>
      </c>
      <c r="B896">
        <v>1201</v>
      </c>
      <c r="C896" s="2">
        <v>44384</v>
      </c>
      <c r="D896" t="s">
        <v>384</v>
      </c>
      <c r="E896" t="s">
        <v>63</v>
      </c>
      <c r="F896" t="s">
        <v>26</v>
      </c>
      <c r="G896" t="s">
        <v>45</v>
      </c>
      <c r="H896" t="s">
        <v>68</v>
      </c>
      <c r="I896" t="s">
        <v>69</v>
      </c>
      <c r="J896" t="s">
        <v>70</v>
      </c>
      <c r="K896" t="s">
        <v>71</v>
      </c>
      <c r="L896" t="s">
        <v>72</v>
      </c>
      <c r="M896" t="s">
        <v>73</v>
      </c>
      <c r="N896" t="s">
        <v>61</v>
      </c>
      <c r="O896" t="s">
        <v>804</v>
      </c>
      <c r="P896" t="s">
        <v>34</v>
      </c>
      <c r="Q896" t="s">
        <v>574</v>
      </c>
      <c r="R896" t="s">
        <v>805</v>
      </c>
      <c r="S896" t="s">
        <v>131</v>
      </c>
      <c r="T896" t="s">
        <v>806</v>
      </c>
      <c r="U896" s="10" t="s">
        <v>1061</v>
      </c>
      <c r="V896" s="10" t="s">
        <v>1064</v>
      </c>
      <c r="W896" s="10" t="s">
        <v>1064</v>
      </c>
      <c r="X896" s="10" t="s">
        <v>1064</v>
      </c>
      <c r="Y896" t="s">
        <v>140</v>
      </c>
      <c r="Z896" t="s">
        <v>40</v>
      </c>
      <c r="AA896" t="s">
        <v>63</v>
      </c>
    </row>
    <row r="897" spans="1:28" x14ac:dyDescent="0.8">
      <c r="A897">
        <v>947</v>
      </c>
      <c r="B897">
        <v>1123</v>
      </c>
      <c r="C897" s="2">
        <v>44384</v>
      </c>
      <c r="D897" t="s">
        <v>242</v>
      </c>
      <c r="E897" t="s">
        <v>125</v>
      </c>
      <c r="F897" t="s">
        <v>26</v>
      </c>
      <c r="G897" t="s">
        <v>45</v>
      </c>
      <c r="H897" t="s">
        <v>68</v>
      </c>
      <c r="I897" t="s">
        <v>69</v>
      </c>
      <c r="J897" t="s">
        <v>70</v>
      </c>
      <c r="K897" t="s">
        <v>71</v>
      </c>
      <c r="L897" t="s">
        <v>72</v>
      </c>
      <c r="M897" t="s">
        <v>73</v>
      </c>
      <c r="N897" t="s">
        <v>61</v>
      </c>
      <c r="O897" t="s">
        <v>804</v>
      </c>
      <c r="P897" t="s">
        <v>34</v>
      </c>
      <c r="Q897" t="s">
        <v>574</v>
      </c>
      <c r="R897" t="s">
        <v>805</v>
      </c>
      <c r="S897" t="s">
        <v>131</v>
      </c>
      <c r="T897" t="s">
        <v>806</v>
      </c>
      <c r="U897" s="10" t="s">
        <v>1061</v>
      </c>
      <c r="V897" s="10" t="s">
        <v>1064</v>
      </c>
      <c r="W897" s="10" t="s">
        <v>1064</v>
      </c>
      <c r="X897" s="10" t="s">
        <v>1064</v>
      </c>
      <c r="Y897" t="s">
        <v>39</v>
      </c>
      <c r="Z897" t="s">
        <v>40</v>
      </c>
      <c r="AA897" t="s">
        <v>63</v>
      </c>
    </row>
    <row r="898" spans="1:28" x14ac:dyDescent="0.8">
      <c r="A898">
        <v>1666</v>
      </c>
      <c r="B898">
        <v>439</v>
      </c>
      <c r="C898" s="2">
        <v>44388</v>
      </c>
      <c r="D898" t="s">
        <v>235</v>
      </c>
      <c r="E898" t="s">
        <v>25</v>
      </c>
      <c r="F898" t="s">
        <v>26</v>
      </c>
      <c r="G898" t="s">
        <v>45</v>
      </c>
      <c r="H898" t="s">
        <v>68</v>
      </c>
      <c r="I898" t="s">
        <v>69</v>
      </c>
      <c r="J898" t="s">
        <v>70</v>
      </c>
      <c r="K898" t="s">
        <v>71</v>
      </c>
      <c r="L898" t="s">
        <v>72</v>
      </c>
      <c r="M898" t="s">
        <v>73</v>
      </c>
      <c r="N898" t="s">
        <v>61</v>
      </c>
      <c r="O898" t="s">
        <v>544</v>
      </c>
      <c r="P898" t="s">
        <v>34</v>
      </c>
      <c r="Q898" t="s">
        <v>539</v>
      </c>
      <c r="R898" t="s">
        <v>540</v>
      </c>
      <c r="S898" t="s">
        <v>131</v>
      </c>
      <c r="T898" t="s">
        <v>545</v>
      </c>
      <c r="U898" s="10" t="s">
        <v>1064</v>
      </c>
      <c r="V898" s="10" t="s">
        <v>1064</v>
      </c>
      <c r="W898" s="10" t="s">
        <v>1064</v>
      </c>
      <c r="X898" s="10" t="s">
        <v>1059</v>
      </c>
      <c r="Y898" t="s">
        <v>39</v>
      </c>
      <c r="Z898" t="s">
        <v>40</v>
      </c>
      <c r="AA898" t="s">
        <v>41</v>
      </c>
    </row>
    <row r="899" spans="1:28" x14ac:dyDescent="0.8">
      <c r="A899">
        <v>245</v>
      </c>
      <c r="B899">
        <v>1296</v>
      </c>
      <c r="C899" s="2">
        <v>44384</v>
      </c>
      <c r="D899" t="s">
        <v>24</v>
      </c>
      <c r="E899" t="s">
        <v>25</v>
      </c>
      <c r="F899" t="s">
        <v>26</v>
      </c>
      <c r="G899" t="s">
        <v>45</v>
      </c>
      <c r="H899" t="s">
        <v>155</v>
      </c>
      <c r="I899" t="s">
        <v>69</v>
      </c>
      <c r="J899" t="s">
        <v>156</v>
      </c>
      <c r="K899" t="s">
        <v>157</v>
      </c>
      <c r="L899" t="s">
        <v>158</v>
      </c>
      <c r="M899" t="s">
        <v>159</v>
      </c>
      <c r="N899" t="s">
        <v>52</v>
      </c>
      <c r="O899" t="s">
        <v>744</v>
      </c>
      <c r="P899" t="s">
        <v>85</v>
      </c>
      <c r="Q899" t="s">
        <v>359</v>
      </c>
      <c r="R899" t="s">
        <v>745</v>
      </c>
      <c r="S899" t="s">
        <v>131</v>
      </c>
      <c r="T899" t="s">
        <v>746</v>
      </c>
      <c r="U899" s="10" t="s">
        <v>1064</v>
      </c>
      <c r="V899" s="10" t="s">
        <v>1064</v>
      </c>
      <c r="W899" s="10" t="s">
        <v>1064</v>
      </c>
      <c r="X899" s="10" t="s">
        <v>1068</v>
      </c>
      <c r="Y899" t="s">
        <v>39</v>
      </c>
      <c r="Z899" t="s">
        <v>40</v>
      </c>
      <c r="AA899" t="s">
        <v>53</v>
      </c>
    </row>
    <row r="900" spans="1:28" x14ac:dyDescent="0.8">
      <c r="A900">
        <v>1367</v>
      </c>
      <c r="B900">
        <v>2064</v>
      </c>
      <c r="C900" s="2">
        <v>44386</v>
      </c>
      <c r="D900" t="s">
        <v>67</v>
      </c>
      <c r="E900" t="s">
        <v>44</v>
      </c>
      <c r="F900" t="s">
        <v>26</v>
      </c>
      <c r="G900" t="s">
        <v>45</v>
      </c>
      <c r="H900" t="s">
        <v>68</v>
      </c>
      <c r="I900" t="s">
        <v>69</v>
      </c>
      <c r="J900" t="s">
        <v>70</v>
      </c>
      <c r="K900" t="s">
        <v>71</v>
      </c>
      <c r="L900" t="s">
        <v>72</v>
      </c>
      <c r="M900" t="s">
        <v>73</v>
      </c>
      <c r="N900" t="s">
        <v>61</v>
      </c>
      <c r="O900" t="s">
        <v>744</v>
      </c>
      <c r="P900" t="s">
        <v>85</v>
      </c>
      <c r="Q900" t="s">
        <v>359</v>
      </c>
      <c r="R900" t="s">
        <v>745</v>
      </c>
      <c r="S900" t="s">
        <v>131</v>
      </c>
      <c r="T900" t="s">
        <v>746</v>
      </c>
      <c r="U900" s="10" t="s">
        <v>1064</v>
      </c>
      <c r="V900" s="10" t="s">
        <v>1064</v>
      </c>
      <c r="W900" s="10" t="s">
        <v>1064</v>
      </c>
      <c r="X900" s="10" t="s">
        <v>1068</v>
      </c>
      <c r="Y900" t="s">
        <v>39</v>
      </c>
      <c r="Z900" t="s">
        <v>40</v>
      </c>
      <c r="AA900" t="s">
        <v>63</v>
      </c>
    </row>
    <row r="901" spans="1:28" x14ac:dyDescent="0.8">
      <c r="A901">
        <v>510</v>
      </c>
      <c r="B901">
        <v>50</v>
      </c>
      <c r="C901" s="2">
        <v>44386</v>
      </c>
      <c r="D901" t="s">
        <v>93</v>
      </c>
      <c r="E901" t="s">
        <v>63</v>
      </c>
      <c r="F901" t="s">
        <v>26</v>
      </c>
      <c r="G901" t="s">
        <v>27</v>
      </c>
      <c r="H901" t="s">
        <v>114</v>
      </c>
      <c r="I901" t="s">
        <v>115</v>
      </c>
      <c r="J901" t="s">
        <v>120</v>
      </c>
      <c r="K901" t="s">
        <v>121</v>
      </c>
      <c r="L901" t="s">
        <v>122</v>
      </c>
      <c r="M901" t="s">
        <v>123</v>
      </c>
      <c r="O901" t="s">
        <v>744</v>
      </c>
      <c r="P901" t="s">
        <v>85</v>
      </c>
      <c r="Q901" t="s">
        <v>359</v>
      </c>
      <c r="R901" t="s">
        <v>745</v>
      </c>
      <c r="S901" t="s">
        <v>131</v>
      </c>
      <c r="T901" t="s">
        <v>746</v>
      </c>
      <c r="U901" s="10" t="s">
        <v>1064</v>
      </c>
      <c r="V901" s="10" t="s">
        <v>1064</v>
      </c>
      <c r="W901" s="10" t="s">
        <v>1064</v>
      </c>
      <c r="X901" s="10" t="s">
        <v>1068</v>
      </c>
      <c r="Y901" t="s">
        <v>39</v>
      </c>
      <c r="Z901" t="s">
        <v>40</v>
      </c>
      <c r="AA901" t="s">
        <v>63</v>
      </c>
      <c r="AB901" t="s">
        <v>747</v>
      </c>
    </row>
    <row r="902" spans="1:28" x14ac:dyDescent="0.8">
      <c r="A902">
        <v>509</v>
      </c>
      <c r="B902">
        <v>49</v>
      </c>
      <c r="C902" s="2">
        <v>44386</v>
      </c>
      <c r="D902" t="s">
        <v>93</v>
      </c>
      <c r="E902" t="s">
        <v>63</v>
      </c>
      <c r="F902" t="s">
        <v>26</v>
      </c>
      <c r="G902" t="s">
        <v>27</v>
      </c>
      <c r="H902" t="s">
        <v>114</v>
      </c>
      <c r="I902" t="s">
        <v>115</v>
      </c>
      <c r="J902" t="s">
        <v>120</v>
      </c>
      <c r="K902" t="s">
        <v>121</v>
      </c>
      <c r="L902" t="s">
        <v>122</v>
      </c>
      <c r="M902" t="s">
        <v>123</v>
      </c>
      <c r="O902" t="s">
        <v>744</v>
      </c>
      <c r="P902" t="s">
        <v>85</v>
      </c>
      <c r="Q902" t="s">
        <v>359</v>
      </c>
      <c r="R902" t="s">
        <v>745</v>
      </c>
      <c r="S902" t="s">
        <v>131</v>
      </c>
      <c r="T902" t="s">
        <v>746</v>
      </c>
      <c r="U902" s="10" t="s">
        <v>1064</v>
      </c>
      <c r="V902" s="10" t="s">
        <v>1064</v>
      </c>
      <c r="W902" s="10" t="s">
        <v>1064</v>
      </c>
      <c r="X902" s="10" t="s">
        <v>1068</v>
      </c>
      <c r="Y902" t="s">
        <v>39</v>
      </c>
      <c r="Z902" t="s">
        <v>40</v>
      </c>
      <c r="AA902" t="s">
        <v>63</v>
      </c>
      <c r="AB902" t="s">
        <v>747</v>
      </c>
    </row>
    <row r="903" spans="1:28" x14ac:dyDescent="0.8">
      <c r="A903">
        <v>165</v>
      </c>
      <c r="B903">
        <v>1251</v>
      </c>
      <c r="C903" s="2">
        <v>44388</v>
      </c>
      <c r="D903" t="s">
        <v>235</v>
      </c>
      <c r="E903" t="s">
        <v>25</v>
      </c>
      <c r="F903" t="s">
        <v>26</v>
      </c>
      <c r="G903" t="s">
        <v>45</v>
      </c>
      <c r="H903" t="s">
        <v>68</v>
      </c>
      <c r="I903" t="s">
        <v>69</v>
      </c>
      <c r="J903" t="s">
        <v>70</v>
      </c>
      <c r="K903" t="s">
        <v>71</v>
      </c>
      <c r="L903" t="s">
        <v>72</v>
      </c>
      <c r="M903" t="s">
        <v>73</v>
      </c>
      <c r="N903" t="s">
        <v>61</v>
      </c>
      <c r="O903" t="s">
        <v>744</v>
      </c>
      <c r="P903" t="s">
        <v>85</v>
      </c>
      <c r="Q903" t="s">
        <v>359</v>
      </c>
      <c r="R903" t="s">
        <v>745</v>
      </c>
      <c r="S903" t="s">
        <v>131</v>
      </c>
      <c r="T903" t="s">
        <v>746</v>
      </c>
      <c r="U903" s="10" t="s">
        <v>1064</v>
      </c>
      <c r="V903" s="10" t="s">
        <v>1064</v>
      </c>
      <c r="W903" s="10" t="s">
        <v>1064</v>
      </c>
      <c r="X903" s="10" t="s">
        <v>1068</v>
      </c>
      <c r="Y903" t="s">
        <v>39</v>
      </c>
      <c r="Z903" t="s">
        <v>40</v>
      </c>
      <c r="AA903" t="s">
        <v>53</v>
      </c>
    </row>
    <row r="904" spans="1:28" x14ac:dyDescent="0.8">
      <c r="A904">
        <v>161</v>
      </c>
      <c r="B904">
        <v>1177</v>
      </c>
      <c r="C904" s="2">
        <v>44388</v>
      </c>
      <c r="D904" t="s">
        <v>235</v>
      </c>
      <c r="E904" t="s">
        <v>25</v>
      </c>
      <c r="F904" t="s">
        <v>26</v>
      </c>
      <c r="G904" t="s">
        <v>45</v>
      </c>
      <c r="H904" t="s">
        <v>68</v>
      </c>
      <c r="I904" t="s">
        <v>69</v>
      </c>
      <c r="J904" t="s">
        <v>70</v>
      </c>
      <c r="K904" t="s">
        <v>71</v>
      </c>
      <c r="L904" t="s">
        <v>72</v>
      </c>
      <c r="M904" t="s">
        <v>73</v>
      </c>
      <c r="N904" t="s">
        <v>61</v>
      </c>
      <c r="O904" t="s">
        <v>744</v>
      </c>
      <c r="P904" t="s">
        <v>85</v>
      </c>
      <c r="Q904" t="s">
        <v>359</v>
      </c>
      <c r="R904" t="s">
        <v>745</v>
      </c>
      <c r="S904" t="s">
        <v>131</v>
      </c>
      <c r="T904" t="s">
        <v>746</v>
      </c>
      <c r="U904" s="10" t="s">
        <v>1064</v>
      </c>
      <c r="V904" s="10" t="s">
        <v>1064</v>
      </c>
      <c r="W904" s="10" t="s">
        <v>1064</v>
      </c>
      <c r="X904" s="10" t="s">
        <v>1068</v>
      </c>
      <c r="Y904" t="s">
        <v>39</v>
      </c>
      <c r="Z904" t="s">
        <v>40</v>
      </c>
      <c r="AA904" t="s">
        <v>53</v>
      </c>
    </row>
    <row r="905" spans="1:28" x14ac:dyDescent="0.8">
      <c r="A905">
        <v>1245</v>
      </c>
      <c r="B905">
        <v>1842</v>
      </c>
      <c r="C905" s="2">
        <v>44387</v>
      </c>
      <c r="D905" t="s">
        <v>102</v>
      </c>
      <c r="E905" t="s">
        <v>25</v>
      </c>
      <c r="F905" t="s">
        <v>26</v>
      </c>
      <c r="G905" t="s">
        <v>27</v>
      </c>
      <c r="H905" t="s">
        <v>373</v>
      </c>
      <c r="I905" t="s">
        <v>374</v>
      </c>
      <c r="J905" t="s">
        <v>375</v>
      </c>
      <c r="K905" t="s">
        <v>376</v>
      </c>
      <c r="L905" t="s">
        <v>112</v>
      </c>
      <c r="M905" t="s">
        <v>377</v>
      </c>
      <c r="N905" t="s">
        <v>61</v>
      </c>
      <c r="O905" t="s">
        <v>744</v>
      </c>
      <c r="P905" t="s">
        <v>85</v>
      </c>
      <c r="Q905" t="s">
        <v>359</v>
      </c>
      <c r="R905" t="s">
        <v>745</v>
      </c>
      <c r="S905" t="s">
        <v>131</v>
      </c>
      <c r="T905" t="s">
        <v>746</v>
      </c>
      <c r="U905" s="10" t="s">
        <v>1064</v>
      </c>
      <c r="V905" s="10" t="s">
        <v>1064</v>
      </c>
      <c r="W905" s="10" t="s">
        <v>1064</v>
      </c>
      <c r="X905" s="10" t="s">
        <v>1068</v>
      </c>
      <c r="Y905" t="s">
        <v>39</v>
      </c>
      <c r="Z905" t="s">
        <v>40</v>
      </c>
      <c r="AA905" t="s">
        <v>63</v>
      </c>
    </row>
    <row r="906" spans="1:28" x14ac:dyDescent="0.8">
      <c r="A906">
        <v>1257</v>
      </c>
      <c r="B906">
        <v>1904</v>
      </c>
      <c r="C906" s="2">
        <v>44387</v>
      </c>
      <c r="D906" t="s">
        <v>102</v>
      </c>
      <c r="E906" t="s">
        <v>150</v>
      </c>
      <c r="F906" t="s">
        <v>26</v>
      </c>
      <c r="G906" t="s">
        <v>45</v>
      </c>
      <c r="H906" t="s">
        <v>68</v>
      </c>
      <c r="I906" t="s">
        <v>69</v>
      </c>
      <c r="J906" t="s">
        <v>70</v>
      </c>
      <c r="K906" t="s">
        <v>71</v>
      </c>
      <c r="L906" t="s">
        <v>72</v>
      </c>
      <c r="M906" t="s">
        <v>73</v>
      </c>
      <c r="N906" t="s">
        <v>61</v>
      </c>
      <c r="O906" t="s">
        <v>744</v>
      </c>
      <c r="P906" t="s">
        <v>85</v>
      </c>
      <c r="Q906" t="s">
        <v>359</v>
      </c>
      <c r="R906" t="s">
        <v>745</v>
      </c>
      <c r="S906" t="s">
        <v>131</v>
      </c>
      <c r="T906" t="s">
        <v>746</v>
      </c>
      <c r="U906" s="10" t="s">
        <v>1064</v>
      </c>
      <c r="V906" s="10" t="s">
        <v>1064</v>
      </c>
      <c r="W906" s="10" t="s">
        <v>1064</v>
      </c>
      <c r="X906" s="10" t="s">
        <v>1068</v>
      </c>
      <c r="Y906" t="s">
        <v>39</v>
      </c>
      <c r="Z906" t="s">
        <v>40</v>
      </c>
      <c r="AA906" t="s">
        <v>63</v>
      </c>
    </row>
    <row r="907" spans="1:28" x14ac:dyDescent="0.8">
      <c r="A907">
        <v>1233</v>
      </c>
      <c r="B907">
        <v>1830</v>
      </c>
      <c r="C907" s="2">
        <v>44387</v>
      </c>
      <c r="D907" t="s">
        <v>102</v>
      </c>
      <c r="E907" t="s">
        <v>25</v>
      </c>
      <c r="F907" t="s">
        <v>26</v>
      </c>
      <c r="G907" t="s">
        <v>45</v>
      </c>
      <c r="H907" t="s">
        <v>68</v>
      </c>
      <c r="I907" t="s">
        <v>69</v>
      </c>
      <c r="J907" t="s">
        <v>70</v>
      </c>
      <c r="K907" t="s">
        <v>71</v>
      </c>
      <c r="L907" t="s">
        <v>72</v>
      </c>
      <c r="M907" t="s">
        <v>73</v>
      </c>
      <c r="N907" t="s">
        <v>61</v>
      </c>
      <c r="O907" t="s">
        <v>744</v>
      </c>
      <c r="P907" t="s">
        <v>85</v>
      </c>
      <c r="Q907" t="s">
        <v>359</v>
      </c>
      <c r="R907" t="s">
        <v>745</v>
      </c>
      <c r="S907" t="s">
        <v>131</v>
      </c>
      <c r="T907" t="s">
        <v>746</v>
      </c>
      <c r="U907" s="10" t="s">
        <v>1064</v>
      </c>
      <c r="V907" s="10" t="s">
        <v>1064</v>
      </c>
      <c r="W907" s="10" t="s">
        <v>1064</v>
      </c>
      <c r="X907" s="10" t="s">
        <v>1068</v>
      </c>
      <c r="Y907" t="s">
        <v>39</v>
      </c>
      <c r="Z907" t="s">
        <v>40</v>
      </c>
      <c r="AA907" t="s">
        <v>63</v>
      </c>
    </row>
    <row r="908" spans="1:28" x14ac:dyDescent="0.8">
      <c r="A908">
        <v>1222</v>
      </c>
      <c r="B908">
        <v>1819</v>
      </c>
      <c r="C908" s="2">
        <v>44387</v>
      </c>
      <c r="D908" t="s">
        <v>102</v>
      </c>
      <c r="E908" t="s">
        <v>25</v>
      </c>
      <c r="F908" t="s">
        <v>26</v>
      </c>
      <c r="G908" t="s">
        <v>45</v>
      </c>
      <c r="H908" t="s">
        <v>68</v>
      </c>
      <c r="I908" t="s">
        <v>69</v>
      </c>
      <c r="J908" t="s">
        <v>70</v>
      </c>
      <c r="K908" t="s">
        <v>71</v>
      </c>
      <c r="L908" t="s">
        <v>72</v>
      </c>
      <c r="M908" t="s">
        <v>73</v>
      </c>
      <c r="N908" t="s">
        <v>61</v>
      </c>
      <c r="O908" t="s">
        <v>744</v>
      </c>
      <c r="P908" t="s">
        <v>85</v>
      </c>
      <c r="Q908" t="s">
        <v>359</v>
      </c>
      <c r="R908" t="s">
        <v>745</v>
      </c>
      <c r="S908" t="s">
        <v>131</v>
      </c>
      <c r="T908" t="s">
        <v>746</v>
      </c>
      <c r="U908" s="10" t="s">
        <v>1064</v>
      </c>
      <c r="V908" s="10" t="s">
        <v>1064</v>
      </c>
      <c r="W908" s="10" t="s">
        <v>1064</v>
      </c>
      <c r="X908" s="10" t="s">
        <v>1068</v>
      </c>
      <c r="Y908" t="s">
        <v>39</v>
      </c>
      <c r="Z908" t="s">
        <v>40</v>
      </c>
      <c r="AA908" t="s">
        <v>63</v>
      </c>
    </row>
    <row r="909" spans="1:28" x14ac:dyDescent="0.8">
      <c r="A909">
        <v>1236</v>
      </c>
      <c r="B909">
        <v>1833</v>
      </c>
      <c r="C909" s="2">
        <v>44387</v>
      </c>
      <c r="D909" t="s">
        <v>102</v>
      </c>
      <c r="E909" t="s">
        <v>150</v>
      </c>
      <c r="F909" t="s">
        <v>26</v>
      </c>
      <c r="G909" t="s">
        <v>45</v>
      </c>
      <c r="H909" t="s">
        <v>155</v>
      </c>
      <c r="I909" t="s">
        <v>69</v>
      </c>
      <c r="J909" t="s">
        <v>156</v>
      </c>
      <c r="K909" t="s">
        <v>157</v>
      </c>
      <c r="L909" t="s">
        <v>158</v>
      </c>
      <c r="M909" t="s">
        <v>159</v>
      </c>
      <c r="N909" t="s">
        <v>61</v>
      </c>
      <c r="O909" t="s">
        <v>744</v>
      </c>
      <c r="P909" t="s">
        <v>85</v>
      </c>
      <c r="Q909" t="s">
        <v>359</v>
      </c>
      <c r="R909" t="s">
        <v>745</v>
      </c>
      <c r="S909" t="s">
        <v>131</v>
      </c>
      <c r="T909" t="s">
        <v>746</v>
      </c>
      <c r="U909" s="10" t="s">
        <v>1064</v>
      </c>
      <c r="V909" s="10" t="s">
        <v>1064</v>
      </c>
      <c r="W909" s="10" t="s">
        <v>1064</v>
      </c>
      <c r="X909" s="10" t="s">
        <v>1068</v>
      </c>
      <c r="Y909" t="s">
        <v>39</v>
      </c>
      <c r="Z909" t="s">
        <v>40</v>
      </c>
      <c r="AA909" t="s">
        <v>63</v>
      </c>
    </row>
    <row r="910" spans="1:28" x14ac:dyDescent="0.8">
      <c r="A910">
        <v>1062</v>
      </c>
      <c r="B910">
        <v>883</v>
      </c>
      <c r="C910" s="2">
        <v>44387</v>
      </c>
      <c r="D910" t="s">
        <v>54</v>
      </c>
      <c r="E910" t="s">
        <v>63</v>
      </c>
      <c r="F910" t="s">
        <v>26</v>
      </c>
      <c r="G910" t="s">
        <v>45</v>
      </c>
      <c r="H910" t="s">
        <v>68</v>
      </c>
      <c r="I910" t="s">
        <v>69</v>
      </c>
      <c r="J910" t="s">
        <v>70</v>
      </c>
      <c r="K910" t="s">
        <v>71</v>
      </c>
      <c r="L910" t="s">
        <v>72</v>
      </c>
      <c r="M910" t="s">
        <v>73</v>
      </c>
      <c r="N910" t="s">
        <v>61</v>
      </c>
      <c r="O910" t="s">
        <v>744</v>
      </c>
      <c r="P910" t="s">
        <v>85</v>
      </c>
      <c r="Q910" t="s">
        <v>359</v>
      </c>
      <c r="R910" t="s">
        <v>745</v>
      </c>
      <c r="S910" t="s">
        <v>131</v>
      </c>
      <c r="T910" t="s">
        <v>746</v>
      </c>
      <c r="U910" s="10" t="s">
        <v>1064</v>
      </c>
      <c r="V910" s="10" t="s">
        <v>1064</v>
      </c>
      <c r="W910" s="10" t="s">
        <v>1064</v>
      </c>
      <c r="X910" s="10" t="s">
        <v>1068</v>
      </c>
      <c r="Y910" t="s">
        <v>39</v>
      </c>
      <c r="Z910" t="s">
        <v>40</v>
      </c>
      <c r="AA910" t="s">
        <v>63</v>
      </c>
    </row>
    <row r="911" spans="1:28" x14ac:dyDescent="0.8">
      <c r="A911">
        <v>1039</v>
      </c>
      <c r="B911">
        <v>1443</v>
      </c>
      <c r="C911" s="2">
        <v>44387</v>
      </c>
      <c r="D911" t="s">
        <v>54</v>
      </c>
      <c r="E911" t="s">
        <v>150</v>
      </c>
      <c r="F911" t="s">
        <v>26</v>
      </c>
      <c r="G911" t="s">
        <v>45</v>
      </c>
      <c r="H911" t="s">
        <v>68</v>
      </c>
      <c r="I911" t="s">
        <v>69</v>
      </c>
      <c r="J911" t="s">
        <v>70</v>
      </c>
      <c r="K911" t="s">
        <v>71</v>
      </c>
      <c r="L911" t="s">
        <v>72</v>
      </c>
      <c r="M911" t="s">
        <v>73</v>
      </c>
      <c r="N911" t="s">
        <v>61</v>
      </c>
      <c r="O911" t="s">
        <v>744</v>
      </c>
      <c r="P911" t="s">
        <v>85</v>
      </c>
      <c r="Q911" t="s">
        <v>359</v>
      </c>
      <c r="R911" t="s">
        <v>745</v>
      </c>
      <c r="S911" t="s">
        <v>131</v>
      </c>
      <c r="T911" t="s">
        <v>746</v>
      </c>
      <c r="U911" s="10" t="s">
        <v>1064</v>
      </c>
      <c r="V911" s="10" t="s">
        <v>1064</v>
      </c>
      <c r="W911" s="10" t="s">
        <v>1064</v>
      </c>
      <c r="X911" s="10" t="s">
        <v>1068</v>
      </c>
      <c r="Y911" t="s">
        <v>140</v>
      </c>
      <c r="Z911" t="s">
        <v>40</v>
      </c>
      <c r="AA911" t="s">
        <v>63</v>
      </c>
    </row>
    <row r="912" spans="1:28" x14ac:dyDescent="0.8">
      <c r="A912">
        <v>1054</v>
      </c>
      <c r="B912">
        <v>1458</v>
      </c>
      <c r="C912" s="2">
        <v>44387</v>
      </c>
      <c r="D912" t="s">
        <v>54</v>
      </c>
      <c r="E912" t="s">
        <v>25</v>
      </c>
      <c r="F912" t="s">
        <v>26</v>
      </c>
      <c r="G912" t="s">
        <v>45</v>
      </c>
      <c r="H912" t="s">
        <v>55</v>
      </c>
      <c r="I912" t="s">
        <v>56</v>
      </c>
      <c r="J912" t="s">
        <v>57</v>
      </c>
      <c r="K912" t="s">
        <v>58</v>
      </c>
      <c r="L912" t="s">
        <v>65</v>
      </c>
      <c r="M912" t="s">
        <v>66</v>
      </c>
      <c r="N912" t="s">
        <v>52</v>
      </c>
      <c r="O912" t="s">
        <v>744</v>
      </c>
      <c r="P912" t="s">
        <v>85</v>
      </c>
      <c r="Q912" t="s">
        <v>359</v>
      </c>
      <c r="R912" t="s">
        <v>745</v>
      </c>
      <c r="S912" t="s">
        <v>131</v>
      </c>
      <c r="T912" t="s">
        <v>746</v>
      </c>
      <c r="U912" s="10" t="s">
        <v>1064</v>
      </c>
      <c r="V912" s="10" t="s">
        <v>1064</v>
      </c>
      <c r="W912" s="10" t="s">
        <v>1064</v>
      </c>
      <c r="X912" s="10" t="s">
        <v>1068</v>
      </c>
      <c r="Y912" t="s">
        <v>39</v>
      </c>
      <c r="Z912" t="s">
        <v>40</v>
      </c>
      <c r="AA912" t="s">
        <v>63</v>
      </c>
    </row>
    <row r="913" spans="1:28" x14ac:dyDescent="0.8">
      <c r="A913">
        <v>1133</v>
      </c>
      <c r="B913">
        <v>1580</v>
      </c>
      <c r="C913" s="2">
        <v>44384</v>
      </c>
      <c r="D913" t="s">
        <v>384</v>
      </c>
      <c r="E913" t="s">
        <v>63</v>
      </c>
      <c r="F913" t="s">
        <v>26</v>
      </c>
      <c r="G913" t="s">
        <v>45</v>
      </c>
      <c r="H913" t="s">
        <v>748</v>
      </c>
      <c r="I913" t="s">
        <v>749</v>
      </c>
      <c r="K913" t="s">
        <v>750</v>
      </c>
      <c r="L913" t="s">
        <v>112</v>
      </c>
      <c r="M913" t="s">
        <v>751</v>
      </c>
      <c r="O913" t="s">
        <v>744</v>
      </c>
      <c r="P913" t="s">
        <v>85</v>
      </c>
      <c r="Q913" t="s">
        <v>359</v>
      </c>
      <c r="R913" t="s">
        <v>745</v>
      </c>
      <c r="S913" t="s">
        <v>131</v>
      </c>
      <c r="T913" t="s">
        <v>746</v>
      </c>
      <c r="U913" s="10" t="s">
        <v>1064</v>
      </c>
      <c r="V913" s="10" t="s">
        <v>1064</v>
      </c>
      <c r="W913" s="10" t="s">
        <v>1064</v>
      </c>
      <c r="X913" s="10" t="s">
        <v>1068</v>
      </c>
      <c r="Y913" t="s">
        <v>39</v>
      </c>
      <c r="Z913" t="s">
        <v>40</v>
      </c>
      <c r="AA913" t="s">
        <v>63</v>
      </c>
    </row>
    <row r="914" spans="1:28" x14ac:dyDescent="0.8">
      <c r="A914">
        <v>1147</v>
      </c>
      <c r="B914">
        <v>1644</v>
      </c>
      <c r="C914" s="2">
        <v>44384</v>
      </c>
      <c r="D914" t="s">
        <v>384</v>
      </c>
      <c r="E914" t="s">
        <v>25</v>
      </c>
      <c r="F914" t="s">
        <v>26</v>
      </c>
      <c r="G914" t="s">
        <v>45</v>
      </c>
      <c r="H914" t="s">
        <v>46</v>
      </c>
      <c r="I914" t="s">
        <v>47</v>
      </c>
      <c r="J914" t="s">
        <v>48</v>
      </c>
      <c r="K914" t="s">
        <v>141</v>
      </c>
      <c r="L914" t="s">
        <v>293</v>
      </c>
      <c r="M914" t="s">
        <v>294</v>
      </c>
      <c r="N914" t="s">
        <v>52</v>
      </c>
      <c r="O914" t="s">
        <v>744</v>
      </c>
      <c r="P914" t="s">
        <v>85</v>
      </c>
      <c r="Q914" t="s">
        <v>359</v>
      </c>
      <c r="R914" t="s">
        <v>745</v>
      </c>
      <c r="S914" t="s">
        <v>131</v>
      </c>
      <c r="T914" t="s">
        <v>746</v>
      </c>
      <c r="U914" s="10" t="s">
        <v>1064</v>
      </c>
      <c r="V914" s="10" t="s">
        <v>1064</v>
      </c>
      <c r="W914" s="10" t="s">
        <v>1064</v>
      </c>
      <c r="X914" s="10" t="s">
        <v>1068</v>
      </c>
      <c r="Y914" t="s">
        <v>39</v>
      </c>
      <c r="Z914" t="s">
        <v>40</v>
      </c>
      <c r="AA914" t="s">
        <v>63</v>
      </c>
    </row>
    <row r="915" spans="1:28" x14ac:dyDescent="0.8">
      <c r="A915">
        <v>1172</v>
      </c>
      <c r="B915">
        <v>1669</v>
      </c>
      <c r="C915" s="2">
        <v>44386</v>
      </c>
      <c r="D915" t="s">
        <v>129</v>
      </c>
      <c r="E915" t="s">
        <v>25</v>
      </c>
      <c r="F915" t="s">
        <v>26</v>
      </c>
      <c r="G915" t="s">
        <v>45</v>
      </c>
      <c r="H915" t="s">
        <v>68</v>
      </c>
      <c r="I915" t="s">
        <v>69</v>
      </c>
      <c r="J915" t="s">
        <v>70</v>
      </c>
      <c r="K915" t="s">
        <v>71</v>
      </c>
      <c r="L915" t="s">
        <v>72</v>
      </c>
      <c r="M915" t="s">
        <v>73</v>
      </c>
      <c r="N915" t="s">
        <v>61</v>
      </c>
      <c r="O915" t="s">
        <v>744</v>
      </c>
      <c r="P915" t="s">
        <v>85</v>
      </c>
      <c r="Q915" t="s">
        <v>359</v>
      </c>
      <c r="R915" t="s">
        <v>745</v>
      </c>
      <c r="S915" t="s">
        <v>131</v>
      </c>
      <c r="T915" t="s">
        <v>746</v>
      </c>
      <c r="U915" s="10" t="s">
        <v>1064</v>
      </c>
      <c r="V915" s="10" t="s">
        <v>1064</v>
      </c>
      <c r="W915" s="10" t="s">
        <v>1064</v>
      </c>
      <c r="X915" s="10" t="s">
        <v>1068</v>
      </c>
      <c r="Y915" t="s">
        <v>39</v>
      </c>
      <c r="Z915" t="s">
        <v>40</v>
      </c>
      <c r="AA915" t="s">
        <v>63</v>
      </c>
    </row>
    <row r="916" spans="1:28" x14ac:dyDescent="0.8">
      <c r="A916">
        <v>1180</v>
      </c>
      <c r="B916">
        <v>1677</v>
      </c>
      <c r="C916" s="2">
        <v>44386</v>
      </c>
      <c r="D916" t="s">
        <v>129</v>
      </c>
      <c r="E916" t="s">
        <v>25</v>
      </c>
      <c r="F916" t="s">
        <v>26</v>
      </c>
      <c r="G916" t="s">
        <v>45</v>
      </c>
      <c r="H916" t="s">
        <v>55</v>
      </c>
      <c r="I916" t="s">
        <v>69</v>
      </c>
      <c r="J916" t="s">
        <v>461</v>
      </c>
      <c r="K916" t="s">
        <v>462</v>
      </c>
      <c r="L916" t="s">
        <v>463</v>
      </c>
      <c r="M916" t="s">
        <v>464</v>
      </c>
      <c r="N916" t="s">
        <v>52</v>
      </c>
      <c r="O916" t="s">
        <v>744</v>
      </c>
      <c r="P916" t="s">
        <v>85</v>
      </c>
      <c r="Q916" t="s">
        <v>359</v>
      </c>
      <c r="R916" t="s">
        <v>745</v>
      </c>
      <c r="S916" t="s">
        <v>131</v>
      </c>
      <c r="T916" t="s">
        <v>746</v>
      </c>
      <c r="U916" s="10" t="s">
        <v>1064</v>
      </c>
      <c r="V916" s="10" t="s">
        <v>1064</v>
      </c>
      <c r="W916" s="10" t="s">
        <v>1064</v>
      </c>
      <c r="X916" s="10" t="s">
        <v>1068</v>
      </c>
      <c r="Y916" t="s">
        <v>39</v>
      </c>
      <c r="Z916" t="s">
        <v>40</v>
      </c>
      <c r="AA916" t="s">
        <v>63</v>
      </c>
    </row>
    <row r="917" spans="1:28" x14ac:dyDescent="0.8">
      <c r="A917">
        <v>1717</v>
      </c>
      <c r="B917">
        <v>804</v>
      </c>
      <c r="C917" s="2">
        <v>44384</v>
      </c>
      <c r="D917" t="s">
        <v>151</v>
      </c>
      <c r="E917" t="s">
        <v>150</v>
      </c>
      <c r="F917" t="s">
        <v>26</v>
      </c>
      <c r="G917" t="s">
        <v>45</v>
      </c>
      <c r="H917" t="s">
        <v>155</v>
      </c>
      <c r="I917" t="s">
        <v>69</v>
      </c>
      <c r="J917" t="s">
        <v>156</v>
      </c>
      <c r="K917" t="s">
        <v>157</v>
      </c>
      <c r="L917" t="s">
        <v>232</v>
      </c>
      <c r="M917" t="s">
        <v>233</v>
      </c>
      <c r="N917" t="s">
        <v>61</v>
      </c>
      <c r="O917" t="s">
        <v>744</v>
      </c>
      <c r="P917" t="s">
        <v>85</v>
      </c>
      <c r="Q917" t="s">
        <v>359</v>
      </c>
      <c r="R917" t="s">
        <v>745</v>
      </c>
      <c r="S917" t="s">
        <v>131</v>
      </c>
      <c r="T917" t="s">
        <v>746</v>
      </c>
      <c r="U917" s="10" t="s">
        <v>1064</v>
      </c>
      <c r="V917" s="10" t="s">
        <v>1064</v>
      </c>
      <c r="W917" s="10" t="s">
        <v>1064</v>
      </c>
      <c r="X917" s="10" t="s">
        <v>1068</v>
      </c>
      <c r="Y917" t="s">
        <v>39</v>
      </c>
      <c r="Z917" t="s">
        <v>40</v>
      </c>
      <c r="AA917" t="s">
        <v>41</v>
      </c>
      <c r="AB917" t="s">
        <v>160</v>
      </c>
    </row>
    <row r="918" spans="1:28" x14ac:dyDescent="0.8">
      <c r="A918">
        <v>1685</v>
      </c>
      <c r="B918">
        <v>564</v>
      </c>
      <c r="C918" s="2">
        <v>44388</v>
      </c>
      <c r="D918" t="s">
        <v>124</v>
      </c>
      <c r="E918" t="s">
        <v>25</v>
      </c>
      <c r="F918" t="s">
        <v>26</v>
      </c>
      <c r="G918" t="s">
        <v>45</v>
      </c>
      <c r="H918" t="s">
        <v>68</v>
      </c>
      <c r="I918" t="s">
        <v>69</v>
      </c>
      <c r="J918" t="s">
        <v>70</v>
      </c>
      <c r="K918" t="s">
        <v>71</v>
      </c>
      <c r="L918" t="s">
        <v>72</v>
      </c>
      <c r="M918" t="s">
        <v>73</v>
      </c>
      <c r="N918" t="s">
        <v>61</v>
      </c>
      <c r="O918" t="s">
        <v>744</v>
      </c>
      <c r="P918" t="s">
        <v>85</v>
      </c>
      <c r="Q918" t="s">
        <v>359</v>
      </c>
      <c r="R918" t="s">
        <v>745</v>
      </c>
      <c r="S918" t="s">
        <v>131</v>
      </c>
      <c r="T918" t="s">
        <v>746</v>
      </c>
      <c r="U918" s="10" t="s">
        <v>1064</v>
      </c>
      <c r="V918" s="10" t="s">
        <v>1064</v>
      </c>
      <c r="W918" s="10" t="s">
        <v>1064</v>
      </c>
      <c r="X918" s="10" t="s">
        <v>1068</v>
      </c>
      <c r="Y918" t="s">
        <v>39</v>
      </c>
      <c r="Z918" t="s">
        <v>40</v>
      </c>
      <c r="AA918" t="s">
        <v>41</v>
      </c>
    </row>
    <row r="919" spans="1:28" x14ac:dyDescent="0.8">
      <c r="A919">
        <v>881</v>
      </c>
      <c r="B919">
        <v>209</v>
      </c>
      <c r="C919" s="2">
        <v>44388</v>
      </c>
      <c r="D919" t="s">
        <v>189</v>
      </c>
      <c r="E919" t="s">
        <v>25</v>
      </c>
      <c r="F919" t="s">
        <v>26</v>
      </c>
      <c r="G919" t="s">
        <v>45</v>
      </c>
      <c r="H919" t="s">
        <v>155</v>
      </c>
      <c r="I919" t="s">
        <v>69</v>
      </c>
      <c r="J919" t="s">
        <v>156</v>
      </c>
      <c r="K919" t="s">
        <v>157</v>
      </c>
      <c r="L919" t="s">
        <v>158</v>
      </c>
      <c r="M919" t="s">
        <v>159</v>
      </c>
      <c r="N919" t="s">
        <v>52</v>
      </c>
      <c r="O919" t="s">
        <v>811</v>
      </c>
      <c r="P919" t="s">
        <v>34</v>
      </c>
      <c r="Q919" t="s">
        <v>524</v>
      </c>
      <c r="R919" t="s">
        <v>808</v>
      </c>
      <c r="S919" t="s">
        <v>131</v>
      </c>
      <c r="T919" t="s">
        <v>812</v>
      </c>
      <c r="U919" s="10" t="s">
        <v>1064</v>
      </c>
      <c r="V919" s="10" t="s">
        <v>1064</v>
      </c>
      <c r="W919" s="10" t="s">
        <v>1064</v>
      </c>
      <c r="X919" s="10" t="s">
        <v>1068</v>
      </c>
      <c r="Y919" t="s">
        <v>39</v>
      </c>
      <c r="Z919" t="s">
        <v>40</v>
      </c>
      <c r="AA919" t="s">
        <v>63</v>
      </c>
    </row>
    <row r="920" spans="1:28" x14ac:dyDescent="0.8">
      <c r="A920">
        <v>554</v>
      </c>
      <c r="B920">
        <v>185</v>
      </c>
      <c r="C920" s="2">
        <v>44388</v>
      </c>
      <c r="D920" t="s">
        <v>124</v>
      </c>
      <c r="E920" t="s">
        <v>25</v>
      </c>
      <c r="F920" t="s">
        <v>26</v>
      </c>
      <c r="G920" t="s">
        <v>45</v>
      </c>
      <c r="H920" t="s">
        <v>155</v>
      </c>
      <c r="I920" t="s">
        <v>69</v>
      </c>
      <c r="J920" t="s">
        <v>156</v>
      </c>
      <c r="K920" t="s">
        <v>157</v>
      </c>
      <c r="L920" t="s">
        <v>158</v>
      </c>
      <c r="M920" t="s">
        <v>159</v>
      </c>
      <c r="N920" t="s">
        <v>52</v>
      </c>
      <c r="O920" t="s">
        <v>813</v>
      </c>
      <c r="P920" t="s">
        <v>34</v>
      </c>
      <c r="Q920" t="s">
        <v>524</v>
      </c>
      <c r="R920" t="s">
        <v>808</v>
      </c>
      <c r="S920" t="s">
        <v>131</v>
      </c>
      <c r="T920" t="s">
        <v>814</v>
      </c>
      <c r="U920" s="10" t="s">
        <v>1064</v>
      </c>
      <c r="V920" s="10" t="s">
        <v>1064</v>
      </c>
      <c r="W920" s="10" t="s">
        <v>1064</v>
      </c>
      <c r="X920" s="10" t="s">
        <v>1068</v>
      </c>
      <c r="Y920" t="s">
        <v>39</v>
      </c>
      <c r="Z920" t="s">
        <v>62</v>
      </c>
      <c r="AA920" t="s">
        <v>63</v>
      </c>
    </row>
    <row r="921" spans="1:28" x14ac:dyDescent="0.8">
      <c r="A921">
        <v>205</v>
      </c>
      <c r="B921">
        <v>1431</v>
      </c>
      <c r="C921" s="2">
        <v>44388</v>
      </c>
      <c r="D921" t="s">
        <v>124</v>
      </c>
      <c r="E921" t="s">
        <v>25</v>
      </c>
      <c r="F921" t="s">
        <v>26</v>
      </c>
      <c r="G921" t="s">
        <v>45</v>
      </c>
      <c r="H921" t="s">
        <v>155</v>
      </c>
      <c r="I921" t="s">
        <v>69</v>
      </c>
      <c r="J921" t="s">
        <v>156</v>
      </c>
      <c r="K921" t="s">
        <v>157</v>
      </c>
      <c r="L921" t="s">
        <v>158</v>
      </c>
      <c r="M921" t="s">
        <v>159</v>
      </c>
      <c r="N921" t="s">
        <v>61</v>
      </c>
      <c r="O921" t="s">
        <v>815</v>
      </c>
      <c r="P921" t="s">
        <v>34</v>
      </c>
      <c r="Q921" t="s">
        <v>524</v>
      </c>
      <c r="R921" t="s">
        <v>808</v>
      </c>
      <c r="S921" t="s">
        <v>131</v>
      </c>
      <c r="T921" t="s">
        <v>814</v>
      </c>
      <c r="U921" s="10" t="s">
        <v>1064</v>
      </c>
      <c r="V921" s="10" t="s">
        <v>1064</v>
      </c>
      <c r="W921" s="10" t="s">
        <v>1064</v>
      </c>
      <c r="X921" s="10" t="s">
        <v>1068</v>
      </c>
      <c r="Y921" t="s">
        <v>39</v>
      </c>
      <c r="Z921" t="s">
        <v>62</v>
      </c>
      <c r="AA921" t="s">
        <v>53</v>
      </c>
    </row>
    <row r="922" spans="1:28" x14ac:dyDescent="0.8">
      <c r="A922">
        <v>550</v>
      </c>
      <c r="B922">
        <v>181</v>
      </c>
      <c r="C922" s="2">
        <v>44388</v>
      </c>
      <c r="D922" t="s">
        <v>124</v>
      </c>
      <c r="E922" t="s">
        <v>25</v>
      </c>
      <c r="F922" t="s">
        <v>26</v>
      </c>
      <c r="G922" t="s">
        <v>45</v>
      </c>
      <c r="H922" t="s">
        <v>55</v>
      </c>
      <c r="I922" t="s">
        <v>249</v>
      </c>
      <c r="J922" t="s">
        <v>281</v>
      </c>
      <c r="K922" t="s">
        <v>816</v>
      </c>
      <c r="L922" t="s">
        <v>59</v>
      </c>
      <c r="M922" t="s">
        <v>817</v>
      </c>
      <c r="N922" t="s">
        <v>61</v>
      </c>
      <c r="O922" t="s">
        <v>815</v>
      </c>
      <c r="P922" t="s">
        <v>34</v>
      </c>
      <c r="Q922" t="s">
        <v>524</v>
      </c>
      <c r="R922" t="s">
        <v>808</v>
      </c>
      <c r="S922" t="s">
        <v>131</v>
      </c>
      <c r="T922" t="s">
        <v>814</v>
      </c>
      <c r="U922" s="10" t="s">
        <v>1064</v>
      </c>
      <c r="V922" s="10" t="s">
        <v>1064</v>
      </c>
      <c r="W922" s="10" t="s">
        <v>1064</v>
      </c>
      <c r="X922" s="10" t="s">
        <v>1068</v>
      </c>
      <c r="Y922" t="s">
        <v>39</v>
      </c>
      <c r="Z922" t="s">
        <v>62</v>
      </c>
      <c r="AA922" t="s">
        <v>63</v>
      </c>
    </row>
    <row r="923" spans="1:28" x14ac:dyDescent="0.8">
      <c r="A923">
        <v>1322</v>
      </c>
      <c r="B923">
        <v>2019</v>
      </c>
      <c r="C923" s="2">
        <v>44385</v>
      </c>
      <c r="D923" t="s">
        <v>104</v>
      </c>
      <c r="E923" t="s">
        <v>25</v>
      </c>
      <c r="F923" t="s">
        <v>26</v>
      </c>
      <c r="G923" t="s">
        <v>45</v>
      </c>
      <c r="H923" t="s">
        <v>46</v>
      </c>
      <c r="I923" t="s">
        <v>47</v>
      </c>
      <c r="J923" t="s">
        <v>48</v>
      </c>
      <c r="K923" t="s">
        <v>49</v>
      </c>
      <c r="L923" t="s">
        <v>91</v>
      </c>
      <c r="M923" t="s">
        <v>92</v>
      </c>
      <c r="N923" t="s">
        <v>61</v>
      </c>
      <c r="O923" t="s">
        <v>130</v>
      </c>
      <c r="P923" t="s">
        <v>85</v>
      </c>
      <c r="Q923" t="s">
        <v>86</v>
      </c>
      <c r="R923" t="s">
        <v>87</v>
      </c>
      <c r="S923" t="s">
        <v>131</v>
      </c>
      <c r="T923" t="s">
        <v>132</v>
      </c>
      <c r="U923" s="10" t="s">
        <v>1064</v>
      </c>
      <c r="V923" s="10" t="s">
        <v>1064</v>
      </c>
      <c r="W923" s="10" t="s">
        <v>1064</v>
      </c>
      <c r="X923" s="10" t="s">
        <v>1064</v>
      </c>
      <c r="Y923" t="s">
        <v>39</v>
      </c>
      <c r="Z923" t="s">
        <v>62</v>
      </c>
      <c r="AA923" t="s">
        <v>63</v>
      </c>
    </row>
    <row r="924" spans="1:28" x14ac:dyDescent="0.8">
      <c r="A924">
        <v>721</v>
      </c>
      <c r="B924">
        <v>1154</v>
      </c>
      <c r="C924" s="2">
        <v>44385</v>
      </c>
      <c r="D924" t="s">
        <v>133</v>
      </c>
      <c r="E924" t="s">
        <v>25</v>
      </c>
      <c r="F924" t="s">
        <v>26</v>
      </c>
      <c r="G924" t="s">
        <v>45</v>
      </c>
      <c r="H924" t="s">
        <v>68</v>
      </c>
      <c r="I924" t="s">
        <v>69</v>
      </c>
      <c r="J924" t="s">
        <v>70</v>
      </c>
      <c r="K924" t="s">
        <v>71</v>
      </c>
      <c r="L924" t="s">
        <v>72</v>
      </c>
      <c r="M924" t="s">
        <v>73</v>
      </c>
      <c r="N924" t="s">
        <v>61</v>
      </c>
      <c r="O924" t="s">
        <v>130</v>
      </c>
      <c r="P924" t="s">
        <v>85</v>
      </c>
      <c r="Q924" t="s">
        <v>86</v>
      </c>
      <c r="R924" t="s">
        <v>87</v>
      </c>
      <c r="S924" t="s">
        <v>131</v>
      </c>
      <c r="T924" t="s">
        <v>132</v>
      </c>
      <c r="U924" s="10" t="s">
        <v>1064</v>
      </c>
      <c r="V924" s="10" t="s">
        <v>1064</v>
      </c>
      <c r="W924" s="10" t="s">
        <v>1064</v>
      </c>
      <c r="X924" s="10" t="s">
        <v>1064</v>
      </c>
      <c r="Y924" t="s">
        <v>39</v>
      </c>
      <c r="Z924" t="s">
        <v>40</v>
      </c>
      <c r="AA924" t="s">
        <v>63</v>
      </c>
    </row>
    <row r="925" spans="1:28" x14ac:dyDescent="0.8">
      <c r="A925">
        <v>1752</v>
      </c>
      <c r="B925">
        <v>90</v>
      </c>
      <c r="C925" s="2">
        <v>44384</v>
      </c>
      <c r="D925" t="s">
        <v>24</v>
      </c>
      <c r="E925" t="s">
        <v>25</v>
      </c>
      <c r="F925" t="s">
        <v>26</v>
      </c>
      <c r="G925" t="s">
        <v>45</v>
      </c>
      <c r="H925" t="s">
        <v>68</v>
      </c>
      <c r="I925" t="s">
        <v>69</v>
      </c>
      <c r="J925" t="s">
        <v>70</v>
      </c>
      <c r="K925" t="s">
        <v>71</v>
      </c>
      <c r="L925" t="s">
        <v>72</v>
      </c>
      <c r="M925" t="s">
        <v>73</v>
      </c>
      <c r="N925" t="s">
        <v>61</v>
      </c>
      <c r="O925" t="s">
        <v>200</v>
      </c>
      <c r="P925" t="s">
        <v>34</v>
      </c>
      <c r="Q925" t="s">
        <v>191</v>
      </c>
      <c r="R925" t="s">
        <v>192</v>
      </c>
      <c r="S925" t="s">
        <v>131</v>
      </c>
      <c r="T925" t="s">
        <v>201</v>
      </c>
      <c r="U925" s="10" t="s">
        <v>1064</v>
      </c>
      <c r="V925" s="10" t="s">
        <v>1064</v>
      </c>
      <c r="W925" s="10" t="s">
        <v>1064</v>
      </c>
      <c r="X925" s="10" t="s">
        <v>1064</v>
      </c>
      <c r="Y925" t="s">
        <v>39</v>
      </c>
      <c r="Z925" t="s">
        <v>202</v>
      </c>
      <c r="AA925" t="s">
        <v>41</v>
      </c>
    </row>
    <row r="926" spans="1:28" x14ac:dyDescent="0.8">
      <c r="A926">
        <v>598</v>
      </c>
      <c r="B926">
        <v>697</v>
      </c>
      <c r="C926" s="2">
        <v>44384</v>
      </c>
      <c r="D926" t="s">
        <v>24</v>
      </c>
      <c r="E926" t="s">
        <v>25</v>
      </c>
      <c r="F926" t="s">
        <v>26</v>
      </c>
      <c r="G926" t="s">
        <v>45</v>
      </c>
      <c r="H926" t="s">
        <v>68</v>
      </c>
      <c r="I926" t="s">
        <v>69</v>
      </c>
      <c r="J926" t="s">
        <v>70</v>
      </c>
      <c r="K926" t="s">
        <v>71</v>
      </c>
      <c r="L926" t="s">
        <v>72</v>
      </c>
      <c r="M926" t="s">
        <v>73</v>
      </c>
      <c r="N926" t="s">
        <v>61</v>
      </c>
      <c r="O926" t="s">
        <v>200</v>
      </c>
      <c r="P926" t="s">
        <v>34</v>
      </c>
      <c r="Q926" t="s">
        <v>191</v>
      </c>
      <c r="R926" t="s">
        <v>192</v>
      </c>
      <c r="S926" t="s">
        <v>131</v>
      </c>
      <c r="T926" t="s">
        <v>201</v>
      </c>
      <c r="U926" s="10" t="s">
        <v>1064</v>
      </c>
      <c r="V926" s="10" t="s">
        <v>1064</v>
      </c>
      <c r="W926" s="10" t="s">
        <v>1064</v>
      </c>
      <c r="X926" s="10" t="s">
        <v>1064</v>
      </c>
      <c r="Y926" t="s">
        <v>39</v>
      </c>
      <c r="Z926" t="s">
        <v>40</v>
      </c>
      <c r="AA926" t="s">
        <v>63</v>
      </c>
    </row>
    <row r="927" spans="1:28" x14ac:dyDescent="0.8">
      <c r="A927">
        <v>1570</v>
      </c>
      <c r="B927">
        <v>315</v>
      </c>
      <c r="C927" s="2">
        <v>44388</v>
      </c>
      <c r="D927" t="s">
        <v>235</v>
      </c>
      <c r="E927" t="s">
        <v>63</v>
      </c>
      <c r="F927" t="s">
        <v>26</v>
      </c>
      <c r="G927" t="s">
        <v>45</v>
      </c>
      <c r="H927" t="s">
        <v>55</v>
      </c>
      <c r="I927" t="s">
        <v>249</v>
      </c>
      <c r="J927" t="s">
        <v>250</v>
      </c>
      <c r="K927" t="s">
        <v>251</v>
      </c>
      <c r="L927" t="s">
        <v>323</v>
      </c>
      <c r="M927" t="s">
        <v>324</v>
      </c>
      <c r="N927" t="s">
        <v>61</v>
      </c>
      <c r="O927" t="s">
        <v>325</v>
      </c>
      <c r="P927" t="s">
        <v>326</v>
      </c>
      <c r="Q927" t="s">
        <v>35</v>
      </c>
      <c r="R927" t="s">
        <v>311</v>
      </c>
      <c r="S927" t="s">
        <v>131</v>
      </c>
      <c r="T927" t="s">
        <v>327</v>
      </c>
      <c r="U927" s="10" t="s">
        <v>1064</v>
      </c>
      <c r="V927" s="10" t="s">
        <v>1064</v>
      </c>
      <c r="W927" s="10" t="s">
        <v>1064</v>
      </c>
      <c r="X927" s="10" t="s">
        <v>1064</v>
      </c>
      <c r="Y927" t="s">
        <v>140</v>
      </c>
      <c r="Z927" t="s">
        <v>40</v>
      </c>
      <c r="AA927" t="s">
        <v>125</v>
      </c>
    </row>
    <row r="928" spans="1:28" x14ac:dyDescent="0.8">
      <c r="A928">
        <v>1701</v>
      </c>
      <c r="B928">
        <v>551</v>
      </c>
      <c r="C928" s="2">
        <v>44388</v>
      </c>
      <c r="D928" t="s">
        <v>328</v>
      </c>
      <c r="E928" t="s">
        <v>25</v>
      </c>
      <c r="F928" t="s">
        <v>26</v>
      </c>
      <c r="G928" t="s">
        <v>45</v>
      </c>
      <c r="H928" t="s">
        <v>68</v>
      </c>
      <c r="I928" t="s">
        <v>69</v>
      </c>
      <c r="J928" t="s">
        <v>70</v>
      </c>
      <c r="K928" t="s">
        <v>71</v>
      </c>
      <c r="L928" t="s">
        <v>72</v>
      </c>
      <c r="M928" t="s">
        <v>73</v>
      </c>
      <c r="N928" t="s">
        <v>61</v>
      </c>
      <c r="O928" t="s">
        <v>329</v>
      </c>
      <c r="P928" t="s">
        <v>34</v>
      </c>
      <c r="Q928" t="s">
        <v>35</v>
      </c>
      <c r="R928" t="s">
        <v>330</v>
      </c>
      <c r="S928" t="s">
        <v>131</v>
      </c>
      <c r="T928" t="s">
        <v>331</v>
      </c>
      <c r="U928" s="10" t="s">
        <v>1064</v>
      </c>
      <c r="V928" s="10" t="s">
        <v>1064</v>
      </c>
      <c r="W928" s="10" t="s">
        <v>1064</v>
      </c>
      <c r="X928" s="10" t="s">
        <v>1064</v>
      </c>
      <c r="Y928" t="s">
        <v>39</v>
      </c>
      <c r="Z928" t="s">
        <v>40</v>
      </c>
      <c r="AA928" t="s">
        <v>41</v>
      </c>
    </row>
    <row r="929" spans="1:28" x14ac:dyDescent="0.8">
      <c r="A929">
        <v>1396</v>
      </c>
      <c r="B929">
        <v>2093</v>
      </c>
      <c r="C929" s="2">
        <v>44386</v>
      </c>
      <c r="D929" t="s">
        <v>67</v>
      </c>
      <c r="E929" t="s">
        <v>63</v>
      </c>
      <c r="F929" t="s">
        <v>26</v>
      </c>
      <c r="G929" t="s">
        <v>45</v>
      </c>
      <c r="H929" t="s">
        <v>55</v>
      </c>
      <c r="I929" t="s">
        <v>69</v>
      </c>
      <c r="J929" t="s">
        <v>295</v>
      </c>
      <c r="K929" t="s">
        <v>296</v>
      </c>
      <c r="L929" t="s">
        <v>59</v>
      </c>
      <c r="M929" t="s">
        <v>460</v>
      </c>
      <c r="N929" t="s">
        <v>52</v>
      </c>
      <c r="O929" t="s">
        <v>535</v>
      </c>
      <c r="P929" t="s">
        <v>34</v>
      </c>
      <c r="Q929" t="s">
        <v>35</v>
      </c>
      <c r="R929" t="s">
        <v>536</v>
      </c>
      <c r="S929" t="s">
        <v>131</v>
      </c>
      <c r="T929" t="s">
        <v>537</v>
      </c>
      <c r="U929" s="10" t="s">
        <v>1064</v>
      </c>
      <c r="V929" s="10" t="s">
        <v>1064</v>
      </c>
      <c r="W929" s="10" t="s">
        <v>1064</v>
      </c>
      <c r="X929" s="10" t="s">
        <v>1064</v>
      </c>
      <c r="Y929" t="s">
        <v>39</v>
      </c>
      <c r="Z929" t="s">
        <v>40</v>
      </c>
      <c r="AA929" t="s">
        <v>63</v>
      </c>
    </row>
    <row r="930" spans="1:28" x14ac:dyDescent="0.8">
      <c r="A930">
        <v>546</v>
      </c>
      <c r="B930">
        <v>177</v>
      </c>
      <c r="C930" s="2">
        <v>44388</v>
      </c>
      <c r="D930" t="s">
        <v>124</v>
      </c>
      <c r="E930" t="s">
        <v>53</v>
      </c>
      <c r="F930" t="s">
        <v>26</v>
      </c>
      <c r="G930" t="s">
        <v>45</v>
      </c>
      <c r="H930" t="s">
        <v>68</v>
      </c>
      <c r="I930" t="s">
        <v>69</v>
      </c>
      <c r="J930" t="s">
        <v>70</v>
      </c>
      <c r="K930" t="s">
        <v>71</v>
      </c>
      <c r="L930" t="s">
        <v>72</v>
      </c>
      <c r="M930" t="s">
        <v>73</v>
      </c>
      <c r="N930" t="s">
        <v>61</v>
      </c>
      <c r="O930" t="s">
        <v>535</v>
      </c>
      <c r="P930" t="s">
        <v>34</v>
      </c>
      <c r="Q930" t="s">
        <v>35</v>
      </c>
      <c r="R930" t="s">
        <v>536</v>
      </c>
      <c r="S930" t="s">
        <v>131</v>
      </c>
      <c r="T930" t="s">
        <v>537</v>
      </c>
      <c r="U930" s="10" t="s">
        <v>1064</v>
      </c>
      <c r="V930" s="10" t="s">
        <v>1064</v>
      </c>
      <c r="W930" s="10" t="s">
        <v>1064</v>
      </c>
      <c r="X930" s="10" t="s">
        <v>1064</v>
      </c>
      <c r="Y930" t="s">
        <v>39</v>
      </c>
      <c r="Z930" t="s">
        <v>40</v>
      </c>
      <c r="AA930" t="s">
        <v>63</v>
      </c>
    </row>
    <row r="931" spans="1:28" x14ac:dyDescent="0.8">
      <c r="A931">
        <v>1557</v>
      </c>
      <c r="B931">
        <v>301</v>
      </c>
      <c r="C931" s="2">
        <v>44386</v>
      </c>
      <c r="D931" t="s">
        <v>93</v>
      </c>
      <c r="E931" t="s">
        <v>63</v>
      </c>
      <c r="F931" t="s">
        <v>26</v>
      </c>
      <c r="G931" t="s">
        <v>45</v>
      </c>
      <c r="H931" t="s">
        <v>68</v>
      </c>
      <c r="I931" t="s">
        <v>69</v>
      </c>
      <c r="J931" t="s">
        <v>70</v>
      </c>
      <c r="K931" t="s">
        <v>71</v>
      </c>
      <c r="L931" t="s">
        <v>72</v>
      </c>
      <c r="M931" t="s">
        <v>73</v>
      </c>
      <c r="N931" t="s">
        <v>61</v>
      </c>
      <c r="O931" t="s">
        <v>648</v>
      </c>
      <c r="P931" t="s">
        <v>85</v>
      </c>
      <c r="Q931" t="s">
        <v>359</v>
      </c>
      <c r="R931" t="s">
        <v>359</v>
      </c>
      <c r="S931" t="s">
        <v>649</v>
      </c>
      <c r="T931" t="s">
        <v>650</v>
      </c>
      <c r="U931" s="10" t="s">
        <v>1064</v>
      </c>
      <c r="V931" s="10" t="s">
        <v>1064</v>
      </c>
      <c r="W931" s="10" t="s">
        <v>1064</v>
      </c>
      <c r="X931" s="10" t="s">
        <v>1064</v>
      </c>
      <c r="Y931" t="s">
        <v>207</v>
      </c>
      <c r="Z931" t="s">
        <v>40</v>
      </c>
      <c r="AA931" t="s">
        <v>125</v>
      </c>
    </row>
    <row r="932" spans="1:28" x14ac:dyDescent="0.8">
      <c r="A932">
        <v>1556</v>
      </c>
      <c r="B932">
        <v>300</v>
      </c>
      <c r="C932" s="2">
        <v>44386</v>
      </c>
      <c r="D932" t="s">
        <v>93</v>
      </c>
      <c r="E932" t="s">
        <v>53</v>
      </c>
      <c r="F932" t="s">
        <v>26</v>
      </c>
      <c r="G932" t="s">
        <v>45</v>
      </c>
      <c r="H932" t="s">
        <v>68</v>
      </c>
      <c r="I932" t="s">
        <v>69</v>
      </c>
      <c r="J932" t="s">
        <v>70</v>
      </c>
      <c r="K932" t="s">
        <v>71</v>
      </c>
      <c r="L932" t="s">
        <v>72</v>
      </c>
      <c r="M932" t="s">
        <v>73</v>
      </c>
      <c r="N932" t="s">
        <v>61</v>
      </c>
      <c r="O932" t="s">
        <v>648</v>
      </c>
      <c r="P932" t="s">
        <v>85</v>
      </c>
      <c r="Q932" t="s">
        <v>359</v>
      </c>
      <c r="R932" t="s">
        <v>359</v>
      </c>
      <c r="S932" t="s">
        <v>649</v>
      </c>
      <c r="T932" t="s">
        <v>650</v>
      </c>
      <c r="U932" s="10" t="s">
        <v>1064</v>
      </c>
      <c r="V932" s="10" t="s">
        <v>1064</v>
      </c>
      <c r="W932" s="10" t="s">
        <v>1064</v>
      </c>
      <c r="X932" s="10" t="s">
        <v>1064</v>
      </c>
      <c r="Y932" t="s">
        <v>207</v>
      </c>
      <c r="Z932" t="s">
        <v>40</v>
      </c>
      <c r="AA932" t="s">
        <v>125</v>
      </c>
    </row>
    <row r="933" spans="1:28" x14ac:dyDescent="0.8">
      <c r="A933">
        <v>804</v>
      </c>
      <c r="B933">
        <v>1333</v>
      </c>
      <c r="C933" s="2">
        <v>44387</v>
      </c>
      <c r="D933" t="s">
        <v>149</v>
      </c>
      <c r="E933" t="s">
        <v>63</v>
      </c>
      <c r="F933" t="s">
        <v>26</v>
      </c>
      <c r="G933" t="s">
        <v>27</v>
      </c>
      <c r="H933" t="s">
        <v>114</v>
      </c>
      <c r="I933" t="s">
        <v>115</v>
      </c>
      <c r="J933" t="s">
        <v>174</v>
      </c>
      <c r="K933" t="s">
        <v>175</v>
      </c>
      <c r="L933" t="s">
        <v>176</v>
      </c>
      <c r="M933" t="s">
        <v>177</v>
      </c>
      <c r="O933" t="s">
        <v>694</v>
      </c>
      <c r="P933" t="s">
        <v>34</v>
      </c>
      <c r="Q933" t="s">
        <v>35</v>
      </c>
      <c r="R933" t="s">
        <v>694</v>
      </c>
      <c r="S933" t="s">
        <v>131</v>
      </c>
      <c r="T933" t="s">
        <v>695</v>
      </c>
      <c r="U933" s="10" t="s">
        <v>1064</v>
      </c>
      <c r="V933" s="10" t="s">
        <v>1064</v>
      </c>
      <c r="W933" s="10" t="s">
        <v>1064</v>
      </c>
      <c r="X933" s="10" t="s">
        <v>1064</v>
      </c>
      <c r="Y933" t="s">
        <v>39</v>
      </c>
      <c r="Z933" t="s">
        <v>40</v>
      </c>
      <c r="AA933" t="s">
        <v>63</v>
      </c>
    </row>
    <row r="934" spans="1:28" x14ac:dyDescent="0.8">
      <c r="A934">
        <v>833</v>
      </c>
      <c r="B934">
        <v>1410</v>
      </c>
      <c r="C934" s="2">
        <v>44387</v>
      </c>
      <c r="D934" t="s">
        <v>149</v>
      </c>
      <c r="E934" t="s">
        <v>63</v>
      </c>
      <c r="F934" t="s">
        <v>26</v>
      </c>
      <c r="G934" t="s">
        <v>94</v>
      </c>
      <c r="H934" t="s">
        <v>95</v>
      </c>
      <c r="I934" t="s">
        <v>660</v>
      </c>
      <c r="J934" t="s">
        <v>696</v>
      </c>
      <c r="K934" t="s">
        <v>697</v>
      </c>
      <c r="L934" t="s">
        <v>698</v>
      </c>
      <c r="M934" t="s">
        <v>699</v>
      </c>
      <c r="N934" t="s">
        <v>700</v>
      </c>
      <c r="O934" t="s">
        <v>694</v>
      </c>
      <c r="P934" t="s">
        <v>34</v>
      </c>
      <c r="Q934" t="s">
        <v>35</v>
      </c>
      <c r="R934" t="s">
        <v>694</v>
      </c>
      <c r="S934" t="s">
        <v>131</v>
      </c>
      <c r="T934" t="s">
        <v>695</v>
      </c>
      <c r="U934" s="10" t="s">
        <v>1064</v>
      </c>
      <c r="V934" s="10" t="s">
        <v>1064</v>
      </c>
      <c r="W934" s="10" t="s">
        <v>1064</v>
      </c>
      <c r="X934" s="10" t="s">
        <v>1064</v>
      </c>
      <c r="Y934" t="s">
        <v>39</v>
      </c>
      <c r="Z934" t="s">
        <v>40</v>
      </c>
      <c r="AA934" t="s">
        <v>63</v>
      </c>
    </row>
    <row r="935" spans="1:28" x14ac:dyDescent="0.8">
      <c r="A935">
        <v>800</v>
      </c>
      <c r="B935">
        <v>1329</v>
      </c>
      <c r="C935" s="2">
        <v>44387</v>
      </c>
      <c r="D935" t="s">
        <v>149</v>
      </c>
      <c r="E935" t="s">
        <v>103</v>
      </c>
      <c r="F935" t="s">
        <v>26</v>
      </c>
      <c r="G935" t="s">
        <v>45</v>
      </c>
      <c r="H935" t="s">
        <v>155</v>
      </c>
      <c r="I935" t="s">
        <v>69</v>
      </c>
      <c r="J935" t="s">
        <v>156</v>
      </c>
      <c r="K935" t="s">
        <v>157</v>
      </c>
      <c r="L935" t="s">
        <v>158</v>
      </c>
      <c r="M935" t="s">
        <v>159</v>
      </c>
      <c r="N935" t="s">
        <v>52</v>
      </c>
      <c r="O935" t="s">
        <v>709</v>
      </c>
      <c r="P935" t="s">
        <v>34</v>
      </c>
      <c r="Q935" t="s">
        <v>710</v>
      </c>
      <c r="R935" t="s">
        <v>711</v>
      </c>
      <c r="S935" t="s">
        <v>131</v>
      </c>
      <c r="T935" t="s">
        <v>712</v>
      </c>
      <c r="U935" s="10" t="s">
        <v>1064</v>
      </c>
      <c r="V935" s="10" t="s">
        <v>1064</v>
      </c>
      <c r="W935" s="10" t="s">
        <v>1064</v>
      </c>
      <c r="X935" s="10" t="s">
        <v>1064</v>
      </c>
      <c r="Y935" t="s">
        <v>39</v>
      </c>
      <c r="Z935" t="s">
        <v>40</v>
      </c>
      <c r="AA935" t="s">
        <v>63</v>
      </c>
    </row>
    <row r="936" spans="1:28" x14ac:dyDescent="0.8">
      <c r="A936">
        <v>142</v>
      </c>
      <c r="B936">
        <v>1088</v>
      </c>
      <c r="C936" s="2">
        <v>44386</v>
      </c>
      <c r="D936" t="s">
        <v>93</v>
      </c>
      <c r="E936" t="s">
        <v>63</v>
      </c>
      <c r="F936" t="s">
        <v>26</v>
      </c>
      <c r="G936" t="s">
        <v>45</v>
      </c>
      <c r="H936" t="s">
        <v>46</v>
      </c>
      <c r="I936" t="s">
        <v>47</v>
      </c>
      <c r="J936" t="s">
        <v>48</v>
      </c>
      <c r="K936" t="s">
        <v>105</v>
      </c>
      <c r="L936" t="s">
        <v>106</v>
      </c>
      <c r="M936" t="s">
        <v>107</v>
      </c>
      <c r="O936" t="s">
        <v>720</v>
      </c>
      <c r="P936" t="s">
        <v>34</v>
      </c>
      <c r="Q936" t="s">
        <v>721</v>
      </c>
      <c r="R936" t="s">
        <v>722</v>
      </c>
      <c r="S936" t="s">
        <v>131</v>
      </c>
      <c r="T936" t="s">
        <v>723</v>
      </c>
      <c r="U936" s="10" t="s">
        <v>1064</v>
      </c>
      <c r="V936" s="10" t="s">
        <v>1064</v>
      </c>
      <c r="W936" s="10" t="s">
        <v>1064</v>
      </c>
      <c r="X936" s="10" t="s">
        <v>1064</v>
      </c>
      <c r="Y936" t="s">
        <v>39</v>
      </c>
      <c r="Z936" t="s">
        <v>40</v>
      </c>
      <c r="AA936" t="s">
        <v>53</v>
      </c>
    </row>
    <row r="937" spans="1:28" x14ac:dyDescent="0.8">
      <c r="A937">
        <v>534</v>
      </c>
      <c r="B937">
        <v>75</v>
      </c>
      <c r="C937" s="2">
        <v>44388</v>
      </c>
      <c r="D937" t="s">
        <v>235</v>
      </c>
      <c r="E937" t="s">
        <v>25</v>
      </c>
      <c r="F937" t="s">
        <v>26</v>
      </c>
      <c r="G937" t="s">
        <v>45</v>
      </c>
      <c r="H937" t="s">
        <v>46</v>
      </c>
      <c r="I937" t="s">
        <v>47</v>
      </c>
      <c r="J937" t="s">
        <v>48</v>
      </c>
      <c r="K937" t="s">
        <v>49</v>
      </c>
      <c r="L937" t="s">
        <v>91</v>
      </c>
      <c r="M937" t="s">
        <v>92</v>
      </c>
      <c r="N937" t="s">
        <v>61</v>
      </c>
      <c r="O937" t="s">
        <v>791</v>
      </c>
      <c r="P937" t="s">
        <v>326</v>
      </c>
      <c r="Q937" t="s">
        <v>792</v>
      </c>
      <c r="R937" t="s">
        <v>793</v>
      </c>
      <c r="S937" t="s">
        <v>131</v>
      </c>
      <c r="T937" t="s">
        <v>794</v>
      </c>
      <c r="U937" s="10" t="s">
        <v>1064</v>
      </c>
      <c r="V937" s="10" t="s">
        <v>1064</v>
      </c>
      <c r="W937" s="10" t="s">
        <v>1064</v>
      </c>
      <c r="X937" s="10" t="s">
        <v>1064</v>
      </c>
      <c r="Y937" t="s">
        <v>39</v>
      </c>
      <c r="Z937" t="s">
        <v>62</v>
      </c>
      <c r="AA937" t="s">
        <v>63</v>
      </c>
    </row>
    <row r="938" spans="1:28" x14ac:dyDescent="0.8">
      <c r="A938">
        <v>532</v>
      </c>
      <c r="B938">
        <v>73</v>
      </c>
      <c r="C938" s="2">
        <v>44388</v>
      </c>
      <c r="D938" t="s">
        <v>235</v>
      </c>
      <c r="E938" t="s">
        <v>125</v>
      </c>
      <c r="F938" t="s">
        <v>26</v>
      </c>
      <c r="G938" t="s">
        <v>94</v>
      </c>
      <c r="H938" t="s">
        <v>389</v>
      </c>
      <c r="I938" t="s">
        <v>390</v>
      </c>
      <c r="J938" t="s">
        <v>795</v>
      </c>
      <c r="K938" t="s">
        <v>392</v>
      </c>
      <c r="L938" t="s">
        <v>490</v>
      </c>
      <c r="M938" t="s">
        <v>491</v>
      </c>
      <c r="N938" t="s">
        <v>395</v>
      </c>
      <c r="O938" t="s">
        <v>791</v>
      </c>
      <c r="P938" t="s">
        <v>326</v>
      </c>
      <c r="Q938" t="s">
        <v>792</v>
      </c>
      <c r="R938" t="s">
        <v>793</v>
      </c>
      <c r="S938" t="s">
        <v>131</v>
      </c>
      <c r="T938" t="s">
        <v>794</v>
      </c>
      <c r="U938" s="10" t="s">
        <v>1064</v>
      </c>
      <c r="V938" s="10" t="s">
        <v>1064</v>
      </c>
      <c r="W938" s="10" t="s">
        <v>1064</v>
      </c>
      <c r="X938" s="10" t="s">
        <v>1064</v>
      </c>
      <c r="Y938" t="s">
        <v>39</v>
      </c>
      <c r="Z938" t="s">
        <v>40</v>
      </c>
      <c r="AA938" t="s">
        <v>63</v>
      </c>
    </row>
    <row r="939" spans="1:28" x14ac:dyDescent="0.8">
      <c r="A939">
        <v>1079</v>
      </c>
      <c r="B939">
        <v>501</v>
      </c>
      <c r="C939" s="2">
        <v>44387</v>
      </c>
      <c r="D939" t="s">
        <v>54</v>
      </c>
      <c r="E939" t="s">
        <v>63</v>
      </c>
      <c r="F939" t="s">
        <v>26</v>
      </c>
      <c r="G939" t="s">
        <v>45</v>
      </c>
      <c r="H939" t="s">
        <v>68</v>
      </c>
      <c r="I939" t="s">
        <v>69</v>
      </c>
      <c r="J939" t="s">
        <v>70</v>
      </c>
      <c r="K939" t="s">
        <v>71</v>
      </c>
      <c r="L939" t="s">
        <v>72</v>
      </c>
      <c r="M939" t="s">
        <v>73</v>
      </c>
      <c r="N939" t="s">
        <v>61</v>
      </c>
      <c r="O939" t="s">
        <v>936</v>
      </c>
      <c r="P939" t="s">
        <v>34</v>
      </c>
      <c r="Q939" t="s">
        <v>359</v>
      </c>
      <c r="R939" t="s">
        <v>911</v>
      </c>
      <c r="S939" t="s">
        <v>131</v>
      </c>
      <c r="T939" t="s">
        <v>937</v>
      </c>
      <c r="U939" s="10" t="s">
        <v>1064</v>
      </c>
      <c r="V939" s="10" t="s">
        <v>1064</v>
      </c>
      <c r="W939" s="10" t="s">
        <v>1064</v>
      </c>
      <c r="X939" s="10" t="s">
        <v>1064</v>
      </c>
      <c r="Y939" t="s">
        <v>39</v>
      </c>
      <c r="Z939" t="s">
        <v>40</v>
      </c>
      <c r="AA939" t="s">
        <v>63</v>
      </c>
      <c r="AB939" t="s">
        <v>938</v>
      </c>
    </row>
    <row r="940" spans="1:28" x14ac:dyDescent="0.8">
      <c r="A940">
        <v>1065</v>
      </c>
      <c r="B940">
        <v>249</v>
      </c>
      <c r="C940" s="2">
        <v>44387</v>
      </c>
      <c r="D940" t="s">
        <v>54</v>
      </c>
      <c r="E940" t="s">
        <v>25</v>
      </c>
      <c r="F940" t="s">
        <v>26</v>
      </c>
      <c r="G940" t="s">
        <v>45</v>
      </c>
      <c r="H940" t="s">
        <v>68</v>
      </c>
      <c r="I940" t="s">
        <v>69</v>
      </c>
      <c r="J940" t="s">
        <v>70</v>
      </c>
      <c r="K940" t="s">
        <v>71</v>
      </c>
      <c r="L940" t="s">
        <v>72</v>
      </c>
      <c r="M940" t="s">
        <v>73</v>
      </c>
      <c r="N940" t="s">
        <v>61</v>
      </c>
      <c r="O940" t="s">
        <v>936</v>
      </c>
      <c r="P940" t="s">
        <v>34</v>
      </c>
      <c r="Q940" t="s">
        <v>359</v>
      </c>
      <c r="R940" t="s">
        <v>911</v>
      </c>
      <c r="S940" t="s">
        <v>131</v>
      </c>
      <c r="T940" t="s">
        <v>937</v>
      </c>
      <c r="U940" s="10" t="s">
        <v>1064</v>
      </c>
      <c r="V940" s="10" t="s">
        <v>1064</v>
      </c>
      <c r="W940" s="10" t="s">
        <v>1064</v>
      </c>
      <c r="X940" s="10" t="s">
        <v>1064</v>
      </c>
      <c r="Y940" t="s">
        <v>39</v>
      </c>
      <c r="Z940" t="s">
        <v>40</v>
      </c>
      <c r="AA940" t="s">
        <v>63</v>
      </c>
    </row>
    <row r="941" spans="1:28" x14ac:dyDescent="0.8">
      <c r="A941">
        <v>1080</v>
      </c>
      <c r="B941">
        <v>502</v>
      </c>
      <c r="C941" s="2">
        <v>44387</v>
      </c>
      <c r="D941" t="s">
        <v>54</v>
      </c>
      <c r="E941" t="s">
        <v>63</v>
      </c>
      <c r="F941" t="s">
        <v>26</v>
      </c>
      <c r="G941" t="s">
        <v>45</v>
      </c>
      <c r="H941" t="s">
        <v>79</v>
      </c>
      <c r="I941" t="s">
        <v>69</v>
      </c>
      <c r="J941" t="s">
        <v>80</v>
      </c>
      <c r="K941" t="s">
        <v>81</v>
      </c>
      <c r="L941" t="s">
        <v>638</v>
      </c>
      <c r="M941" t="s">
        <v>639</v>
      </c>
      <c r="N941" t="s">
        <v>61</v>
      </c>
      <c r="O941" t="s">
        <v>936</v>
      </c>
      <c r="P941" t="s">
        <v>34</v>
      </c>
      <c r="Q941" t="s">
        <v>359</v>
      </c>
      <c r="R941" t="s">
        <v>911</v>
      </c>
      <c r="S941" t="s">
        <v>131</v>
      </c>
      <c r="T941" t="s">
        <v>937</v>
      </c>
      <c r="U941" s="10" t="s">
        <v>1064</v>
      </c>
      <c r="V941" s="10" t="s">
        <v>1064</v>
      </c>
      <c r="W941" s="10" t="s">
        <v>1064</v>
      </c>
      <c r="X941" s="10" t="s">
        <v>1064</v>
      </c>
      <c r="Y941" t="s">
        <v>39</v>
      </c>
      <c r="Z941" t="s">
        <v>40</v>
      </c>
      <c r="AA941" t="s">
        <v>63</v>
      </c>
      <c r="AB941" t="s">
        <v>938</v>
      </c>
    </row>
    <row r="942" spans="1:28" x14ac:dyDescent="0.8">
      <c r="A942">
        <v>866</v>
      </c>
      <c r="B942">
        <v>946</v>
      </c>
      <c r="C942" s="2">
        <v>44388</v>
      </c>
      <c r="D942" t="s">
        <v>189</v>
      </c>
      <c r="E942" t="s">
        <v>53</v>
      </c>
      <c r="F942" t="s">
        <v>26</v>
      </c>
      <c r="G942" t="s">
        <v>45</v>
      </c>
      <c r="H942" t="s">
        <v>68</v>
      </c>
      <c r="I942" t="s">
        <v>69</v>
      </c>
      <c r="J942" t="s">
        <v>70</v>
      </c>
      <c r="K942" t="s">
        <v>71</v>
      </c>
      <c r="L942" t="s">
        <v>72</v>
      </c>
      <c r="M942" t="s">
        <v>73</v>
      </c>
      <c r="N942" t="s">
        <v>61</v>
      </c>
      <c r="O942" t="s">
        <v>934</v>
      </c>
      <c r="P942" t="s">
        <v>34</v>
      </c>
      <c r="Q942" t="s">
        <v>359</v>
      </c>
      <c r="R942" t="s">
        <v>911</v>
      </c>
      <c r="S942" t="s">
        <v>131</v>
      </c>
      <c r="T942" t="s">
        <v>939</v>
      </c>
      <c r="U942" s="10" t="s">
        <v>1064</v>
      </c>
      <c r="V942" s="10" t="s">
        <v>1064</v>
      </c>
      <c r="W942" s="10" t="s">
        <v>1064</v>
      </c>
      <c r="X942" s="10" t="s">
        <v>1064</v>
      </c>
      <c r="Y942" t="s">
        <v>39</v>
      </c>
      <c r="Z942" t="s">
        <v>40</v>
      </c>
      <c r="AA942" t="s">
        <v>63</v>
      </c>
    </row>
    <row r="943" spans="1:28" x14ac:dyDescent="0.8">
      <c r="A943">
        <v>849</v>
      </c>
      <c r="B943">
        <v>929</v>
      </c>
      <c r="C943" s="2">
        <v>44388</v>
      </c>
      <c r="D943" t="s">
        <v>189</v>
      </c>
      <c r="E943" t="s">
        <v>53</v>
      </c>
      <c r="F943" t="s">
        <v>26</v>
      </c>
      <c r="G943" t="s">
        <v>45</v>
      </c>
      <c r="H943" t="s">
        <v>155</v>
      </c>
      <c r="I943" t="s">
        <v>69</v>
      </c>
      <c r="J943" t="s">
        <v>156</v>
      </c>
      <c r="K943" t="s">
        <v>157</v>
      </c>
      <c r="L943" t="s">
        <v>451</v>
      </c>
      <c r="M943" t="s">
        <v>452</v>
      </c>
      <c r="N943" t="s">
        <v>52</v>
      </c>
      <c r="O943" t="s">
        <v>934</v>
      </c>
      <c r="P943" t="s">
        <v>34</v>
      </c>
      <c r="Q943" t="s">
        <v>359</v>
      </c>
      <c r="R943" t="s">
        <v>911</v>
      </c>
      <c r="S943" t="s">
        <v>131</v>
      </c>
      <c r="T943" t="s">
        <v>939</v>
      </c>
      <c r="U943" s="10" t="s">
        <v>1064</v>
      </c>
      <c r="V943" s="10" t="s">
        <v>1064</v>
      </c>
      <c r="W943" s="10" t="s">
        <v>1064</v>
      </c>
      <c r="X943" s="10" t="s">
        <v>1064</v>
      </c>
      <c r="Y943" t="s">
        <v>140</v>
      </c>
      <c r="Z943" t="s">
        <v>40</v>
      </c>
      <c r="AA943" t="s">
        <v>63</v>
      </c>
    </row>
    <row r="944" spans="1:28" x14ac:dyDescent="0.8">
      <c r="A944">
        <v>857</v>
      </c>
      <c r="B944">
        <v>937</v>
      </c>
      <c r="C944" s="2">
        <v>44388</v>
      </c>
      <c r="D944" t="s">
        <v>189</v>
      </c>
      <c r="E944" t="s">
        <v>53</v>
      </c>
      <c r="F944" t="s">
        <v>26</v>
      </c>
      <c r="G944" t="s">
        <v>45</v>
      </c>
      <c r="H944" t="s">
        <v>79</v>
      </c>
      <c r="I944" t="s">
        <v>69</v>
      </c>
      <c r="J944" t="s">
        <v>80</v>
      </c>
      <c r="K944" t="s">
        <v>81</v>
      </c>
      <c r="L944" t="s">
        <v>638</v>
      </c>
      <c r="M944" t="s">
        <v>639</v>
      </c>
      <c r="N944" t="s">
        <v>52</v>
      </c>
      <c r="O944" t="s">
        <v>934</v>
      </c>
      <c r="P944" t="s">
        <v>34</v>
      </c>
      <c r="Q944" t="s">
        <v>359</v>
      </c>
      <c r="R944" t="s">
        <v>911</v>
      </c>
      <c r="S944" t="s">
        <v>131</v>
      </c>
      <c r="T944" t="s">
        <v>939</v>
      </c>
      <c r="U944" s="10" t="s">
        <v>1064</v>
      </c>
      <c r="V944" s="10" t="s">
        <v>1064</v>
      </c>
      <c r="W944" s="10" t="s">
        <v>1064</v>
      </c>
      <c r="X944" s="10" t="s">
        <v>1064</v>
      </c>
      <c r="Y944" t="s">
        <v>39</v>
      </c>
      <c r="Z944" t="s">
        <v>40</v>
      </c>
      <c r="AA944" t="s">
        <v>63</v>
      </c>
    </row>
    <row r="945" spans="1:28" x14ac:dyDescent="0.8">
      <c r="A945">
        <v>852</v>
      </c>
      <c r="B945">
        <v>932</v>
      </c>
      <c r="C945" s="2">
        <v>44388</v>
      </c>
      <c r="D945" t="s">
        <v>189</v>
      </c>
      <c r="E945" t="s">
        <v>53</v>
      </c>
      <c r="F945" t="s">
        <v>26</v>
      </c>
      <c r="G945" t="s">
        <v>45</v>
      </c>
      <c r="H945" t="s">
        <v>79</v>
      </c>
      <c r="I945" t="s">
        <v>69</v>
      </c>
      <c r="J945" t="s">
        <v>80</v>
      </c>
      <c r="K945" t="s">
        <v>81</v>
      </c>
      <c r="L945" t="s">
        <v>638</v>
      </c>
      <c r="M945" t="s">
        <v>639</v>
      </c>
      <c r="N945" t="s">
        <v>61</v>
      </c>
      <c r="O945" t="s">
        <v>934</v>
      </c>
      <c r="P945" t="s">
        <v>34</v>
      </c>
      <c r="Q945" t="s">
        <v>359</v>
      </c>
      <c r="R945" t="s">
        <v>911</v>
      </c>
      <c r="S945" t="s">
        <v>131</v>
      </c>
      <c r="T945" t="s">
        <v>939</v>
      </c>
      <c r="U945" s="10" t="s">
        <v>1064</v>
      </c>
      <c r="V945" s="10" t="s">
        <v>1064</v>
      </c>
      <c r="W945" s="10" t="s">
        <v>1064</v>
      </c>
      <c r="X945" s="10" t="s">
        <v>1064</v>
      </c>
      <c r="Y945" t="s">
        <v>140</v>
      </c>
      <c r="Z945" t="s">
        <v>40</v>
      </c>
      <c r="AA945" t="s">
        <v>63</v>
      </c>
    </row>
    <row r="946" spans="1:28" x14ac:dyDescent="0.8">
      <c r="A946">
        <v>1574</v>
      </c>
      <c r="B946">
        <v>319</v>
      </c>
      <c r="C946" s="2">
        <v>44388</v>
      </c>
      <c r="D946" t="s">
        <v>235</v>
      </c>
      <c r="E946" t="s">
        <v>25</v>
      </c>
      <c r="F946" t="s">
        <v>26</v>
      </c>
      <c r="G946" t="s">
        <v>45</v>
      </c>
      <c r="H946" t="s">
        <v>68</v>
      </c>
      <c r="I946" t="s">
        <v>69</v>
      </c>
      <c r="J946" t="s">
        <v>70</v>
      </c>
      <c r="K946" t="s">
        <v>71</v>
      </c>
      <c r="L946" t="s">
        <v>72</v>
      </c>
      <c r="M946" t="s">
        <v>73</v>
      </c>
      <c r="N946" t="s">
        <v>61</v>
      </c>
      <c r="O946" t="s">
        <v>934</v>
      </c>
      <c r="P946" t="s">
        <v>34</v>
      </c>
      <c r="Q946" t="s">
        <v>359</v>
      </c>
      <c r="R946" t="s">
        <v>911</v>
      </c>
      <c r="S946" t="s">
        <v>131</v>
      </c>
      <c r="T946" t="s">
        <v>939</v>
      </c>
      <c r="U946" s="10" t="s">
        <v>1064</v>
      </c>
      <c r="V946" s="10" t="s">
        <v>1064</v>
      </c>
      <c r="W946" s="10" t="s">
        <v>1064</v>
      </c>
      <c r="X946" s="10" t="s">
        <v>1064</v>
      </c>
      <c r="Y946" t="s">
        <v>140</v>
      </c>
      <c r="Z946" t="s">
        <v>40</v>
      </c>
      <c r="AA946" t="s">
        <v>125</v>
      </c>
    </row>
    <row r="947" spans="1:28" x14ac:dyDescent="0.8">
      <c r="A947">
        <v>160</v>
      </c>
      <c r="B947">
        <v>1176</v>
      </c>
      <c r="C947" s="2">
        <v>44388</v>
      </c>
      <c r="D947" t="s">
        <v>235</v>
      </c>
      <c r="E947" t="s">
        <v>53</v>
      </c>
      <c r="F947" t="s">
        <v>26</v>
      </c>
      <c r="G947" t="s">
        <v>45</v>
      </c>
      <c r="H947" t="s">
        <v>68</v>
      </c>
      <c r="I947" t="s">
        <v>69</v>
      </c>
      <c r="J947" t="s">
        <v>70</v>
      </c>
      <c r="K947" t="s">
        <v>71</v>
      </c>
      <c r="L947" t="s">
        <v>72</v>
      </c>
      <c r="M947" t="s">
        <v>73</v>
      </c>
      <c r="N947" t="s">
        <v>61</v>
      </c>
      <c r="O947" t="s">
        <v>934</v>
      </c>
      <c r="P947" t="s">
        <v>34</v>
      </c>
      <c r="Q947" t="s">
        <v>359</v>
      </c>
      <c r="R947" t="s">
        <v>911</v>
      </c>
      <c r="S947" t="s">
        <v>131</v>
      </c>
      <c r="T947" t="s">
        <v>939</v>
      </c>
      <c r="U947" s="10" t="s">
        <v>1064</v>
      </c>
      <c r="V947" s="10" t="s">
        <v>1064</v>
      </c>
      <c r="W947" s="10" t="s">
        <v>1064</v>
      </c>
      <c r="X947" s="10" t="s">
        <v>1064</v>
      </c>
      <c r="Y947" t="s">
        <v>39</v>
      </c>
      <c r="Z947" t="s">
        <v>40</v>
      </c>
      <c r="AA947" t="s">
        <v>53</v>
      </c>
    </row>
    <row r="948" spans="1:28" x14ac:dyDescent="0.8">
      <c r="A948">
        <v>281</v>
      </c>
      <c r="B948">
        <v>895</v>
      </c>
      <c r="C948" s="2">
        <v>44386</v>
      </c>
      <c r="D948" t="s">
        <v>43</v>
      </c>
      <c r="E948" t="s">
        <v>25</v>
      </c>
      <c r="F948" t="s">
        <v>26</v>
      </c>
      <c r="G948" t="s">
        <v>45</v>
      </c>
      <c r="H948" t="s">
        <v>68</v>
      </c>
      <c r="I948" t="s">
        <v>69</v>
      </c>
      <c r="J948" t="s">
        <v>70</v>
      </c>
      <c r="K948" t="s">
        <v>71</v>
      </c>
      <c r="L948" t="s">
        <v>72</v>
      </c>
      <c r="M948" t="s">
        <v>73</v>
      </c>
      <c r="N948" t="s">
        <v>61</v>
      </c>
      <c r="O948" t="s">
        <v>934</v>
      </c>
      <c r="P948" t="s">
        <v>34</v>
      </c>
      <c r="Q948" t="s">
        <v>359</v>
      </c>
      <c r="R948" t="s">
        <v>911</v>
      </c>
      <c r="S948" t="s">
        <v>131</v>
      </c>
      <c r="T948" t="s">
        <v>939</v>
      </c>
      <c r="U948" s="10" t="s">
        <v>1064</v>
      </c>
      <c r="V948" s="10" t="s">
        <v>1064</v>
      </c>
      <c r="W948" s="10" t="s">
        <v>1064</v>
      </c>
      <c r="X948" s="10" t="s">
        <v>1064</v>
      </c>
      <c r="Y948" t="s">
        <v>39</v>
      </c>
      <c r="Z948" t="s">
        <v>40</v>
      </c>
      <c r="AA948" t="s">
        <v>53</v>
      </c>
    </row>
    <row r="949" spans="1:28" x14ac:dyDescent="0.8">
      <c r="A949">
        <v>279</v>
      </c>
      <c r="B949">
        <v>893</v>
      </c>
      <c r="C949" s="2">
        <v>44386</v>
      </c>
      <c r="D949" t="s">
        <v>43</v>
      </c>
      <c r="E949" t="s">
        <v>53</v>
      </c>
      <c r="F949" t="s">
        <v>26</v>
      </c>
      <c r="G949" t="s">
        <v>45</v>
      </c>
      <c r="H949" t="s">
        <v>68</v>
      </c>
      <c r="I949" t="s">
        <v>69</v>
      </c>
      <c r="J949" t="s">
        <v>70</v>
      </c>
      <c r="K949" t="s">
        <v>71</v>
      </c>
      <c r="L949" t="s">
        <v>72</v>
      </c>
      <c r="M949" t="s">
        <v>73</v>
      </c>
      <c r="N949" t="s">
        <v>61</v>
      </c>
      <c r="O949" t="s">
        <v>934</v>
      </c>
      <c r="P949" t="s">
        <v>34</v>
      </c>
      <c r="Q949" t="s">
        <v>359</v>
      </c>
      <c r="R949" t="s">
        <v>911</v>
      </c>
      <c r="S949" t="s">
        <v>131</v>
      </c>
      <c r="T949" t="s">
        <v>939</v>
      </c>
      <c r="U949" s="10" t="s">
        <v>1064</v>
      </c>
      <c r="V949" s="10" t="s">
        <v>1064</v>
      </c>
      <c r="W949" s="10" t="s">
        <v>1064</v>
      </c>
      <c r="X949" s="10" t="s">
        <v>1064</v>
      </c>
      <c r="Y949" t="s">
        <v>39</v>
      </c>
      <c r="Z949" t="s">
        <v>40</v>
      </c>
      <c r="AA949" t="s">
        <v>53</v>
      </c>
    </row>
    <row r="950" spans="1:28" x14ac:dyDescent="0.8">
      <c r="A950">
        <v>265</v>
      </c>
      <c r="B950">
        <v>37</v>
      </c>
      <c r="C950" s="2">
        <v>44386</v>
      </c>
      <c r="D950" t="s">
        <v>43</v>
      </c>
      <c r="E950" t="s">
        <v>25</v>
      </c>
      <c r="F950" t="s">
        <v>26</v>
      </c>
      <c r="G950" t="s">
        <v>45</v>
      </c>
      <c r="H950" t="s">
        <v>55</v>
      </c>
      <c r="I950" t="s">
        <v>249</v>
      </c>
      <c r="J950" t="s">
        <v>250</v>
      </c>
      <c r="K950" t="s">
        <v>251</v>
      </c>
      <c r="L950" t="s">
        <v>683</v>
      </c>
      <c r="M950" t="s">
        <v>684</v>
      </c>
      <c r="N950" t="s">
        <v>52</v>
      </c>
      <c r="O950" t="s">
        <v>934</v>
      </c>
      <c r="P950" t="s">
        <v>34</v>
      </c>
      <c r="Q950" t="s">
        <v>359</v>
      </c>
      <c r="R950" t="s">
        <v>911</v>
      </c>
      <c r="S950" t="s">
        <v>131</v>
      </c>
      <c r="T950" t="s">
        <v>939</v>
      </c>
      <c r="U950" s="10" t="s">
        <v>1064</v>
      </c>
      <c r="V950" s="10" t="s">
        <v>1064</v>
      </c>
      <c r="W950" s="10" t="s">
        <v>1064</v>
      </c>
      <c r="X950" s="10" t="s">
        <v>1064</v>
      </c>
      <c r="Y950" t="s">
        <v>39</v>
      </c>
      <c r="Z950" t="s">
        <v>40</v>
      </c>
      <c r="AA950" t="s">
        <v>53</v>
      </c>
    </row>
    <row r="951" spans="1:28" x14ac:dyDescent="0.8">
      <c r="A951">
        <v>1020</v>
      </c>
      <c r="B951">
        <v>1376</v>
      </c>
      <c r="C951" s="2">
        <v>44385</v>
      </c>
      <c r="D951" t="s">
        <v>203</v>
      </c>
      <c r="E951" t="s">
        <v>103</v>
      </c>
      <c r="F951" t="s">
        <v>26</v>
      </c>
      <c r="G951" t="s">
        <v>45</v>
      </c>
      <c r="H951" t="s">
        <v>155</v>
      </c>
      <c r="I951" t="s">
        <v>69</v>
      </c>
      <c r="J951" t="s">
        <v>156</v>
      </c>
      <c r="K951" t="s">
        <v>157</v>
      </c>
      <c r="L951" t="s">
        <v>232</v>
      </c>
      <c r="M951" t="s">
        <v>233</v>
      </c>
      <c r="N951" t="s">
        <v>61</v>
      </c>
      <c r="O951" t="s">
        <v>940</v>
      </c>
      <c r="P951" t="s">
        <v>34</v>
      </c>
      <c r="Q951" t="s">
        <v>359</v>
      </c>
      <c r="R951" t="s">
        <v>911</v>
      </c>
      <c r="S951" t="s">
        <v>131</v>
      </c>
      <c r="T951" t="s">
        <v>939</v>
      </c>
      <c r="U951" s="10" t="s">
        <v>1064</v>
      </c>
      <c r="V951" s="10" t="s">
        <v>1064</v>
      </c>
      <c r="W951" s="10" t="s">
        <v>1064</v>
      </c>
      <c r="X951" s="10" t="s">
        <v>1064</v>
      </c>
      <c r="Y951" t="s">
        <v>39</v>
      </c>
      <c r="Z951" t="s">
        <v>40</v>
      </c>
      <c r="AA951" t="s">
        <v>63</v>
      </c>
    </row>
    <row r="952" spans="1:28" x14ac:dyDescent="0.8">
      <c r="A952">
        <v>1112</v>
      </c>
      <c r="B952">
        <v>1559</v>
      </c>
      <c r="C952" s="2">
        <v>44384</v>
      </c>
      <c r="D952" t="s">
        <v>384</v>
      </c>
      <c r="E952" t="s">
        <v>63</v>
      </c>
      <c r="F952" t="s">
        <v>26</v>
      </c>
      <c r="G952" t="s">
        <v>45</v>
      </c>
      <c r="H952" t="s">
        <v>155</v>
      </c>
      <c r="I952" t="s">
        <v>69</v>
      </c>
      <c r="J952" t="s">
        <v>156</v>
      </c>
      <c r="K952" t="s">
        <v>157</v>
      </c>
      <c r="L952" t="s">
        <v>158</v>
      </c>
      <c r="M952" t="s">
        <v>159</v>
      </c>
      <c r="N952" t="s">
        <v>52</v>
      </c>
      <c r="O952" t="s">
        <v>934</v>
      </c>
      <c r="P952" t="s">
        <v>34</v>
      </c>
      <c r="Q952" t="s">
        <v>359</v>
      </c>
      <c r="R952" t="s">
        <v>911</v>
      </c>
      <c r="S952" t="s">
        <v>131</v>
      </c>
      <c r="T952" t="s">
        <v>939</v>
      </c>
      <c r="U952" s="10" t="s">
        <v>1064</v>
      </c>
      <c r="V952" s="10" t="s">
        <v>1064</v>
      </c>
      <c r="W952" s="10" t="s">
        <v>1064</v>
      </c>
      <c r="X952" s="10" t="s">
        <v>1064</v>
      </c>
      <c r="Y952" t="s">
        <v>39</v>
      </c>
      <c r="Z952" t="s">
        <v>40</v>
      </c>
      <c r="AA952" t="s">
        <v>63</v>
      </c>
    </row>
    <row r="953" spans="1:28" x14ac:dyDescent="0.8">
      <c r="A953">
        <v>312</v>
      </c>
      <c r="B953">
        <v>228</v>
      </c>
      <c r="C953" s="2">
        <v>44385</v>
      </c>
      <c r="D953" t="s">
        <v>213</v>
      </c>
      <c r="E953" t="s">
        <v>44</v>
      </c>
      <c r="F953" t="s">
        <v>26</v>
      </c>
      <c r="G953" t="s">
        <v>45</v>
      </c>
      <c r="H953" t="s">
        <v>68</v>
      </c>
      <c r="I953" t="s">
        <v>69</v>
      </c>
      <c r="J953" t="s">
        <v>70</v>
      </c>
      <c r="K953" t="s">
        <v>71</v>
      </c>
      <c r="L953" t="s">
        <v>72</v>
      </c>
      <c r="M953" t="s">
        <v>73</v>
      </c>
      <c r="N953" t="s">
        <v>61</v>
      </c>
      <c r="O953" t="s">
        <v>934</v>
      </c>
      <c r="P953" t="s">
        <v>34</v>
      </c>
      <c r="Q953" t="s">
        <v>359</v>
      </c>
      <c r="R953" t="s">
        <v>911</v>
      </c>
      <c r="S953" t="s">
        <v>131</v>
      </c>
      <c r="T953" t="s">
        <v>939</v>
      </c>
      <c r="U953" s="10" t="s">
        <v>1064</v>
      </c>
      <c r="V953" s="10" t="s">
        <v>1064</v>
      </c>
      <c r="W953" s="10" t="s">
        <v>1064</v>
      </c>
      <c r="X953" s="10" t="s">
        <v>1064</v>
      </c>
      <c r="Y953" t="s">
        <v>39</v>
      </c>
      <c r="Z953" t="s">
        <v>40</v>
      </c>
      <c r="AA953" t="s">
        <v>53</v>
      </c>
    </row>
    <row r="954" spans="1:28" x14ac:dyDescent="0.8">
      <c r="A954">
        <v>315</v>
      </c>
      <c r="B954">
        <v>231</v>
      </c>
      <c r="C954" s="2">
        <v>44385</v>
      </c>
      <c r="D954" t="s">
        <v>213</v>
      </c>
      <c r="E954" t="s">
        <v>25</v>
      </c>
      <c r="F954" t="s">
        <v>26</v>
      </c>
      <c r="G954" t="s">
        <v>45</v>
      </c>
      <c r="H954" t="s">
        <v>55</v>
      </c>
      <c r="I954" t="s">
        <v>249</v>
      </c>
      <c r="J954" t="s">
        <v>250</v>
      </c>
      <c r="K954" t="s">
        <v>251</v>
      </c>
      <c r="L954" t="s">
        <v>323</v>
      </c>
      <c r="M954" t="s">
        <v>324</v>
      </c>
      <c r="N954" t="s">
        <v>61</v>
      </c>
      <c r="O954" t="s">
        <v>934</v>
      </c>
      <c r="P954" t="s">
        <v>34</v>
      </c>
      <c r="Q954" t="s">
        <v>359</v>
      </c>
      <c r="R954" t="s">
        <v>911</v>
      </c>
      <c r="S954" t="s">
        <v>131</v>
      </c>
      <c r="T954" t="s">
        <v>939</v>
      </c>
      <c r="U954" s="10" t="s">
        <v>1064</v>
      </c>
      <c r="V954" s="10" t="s">
        <v>1064</v>
      </c>
      <c r="W954" s="10" t="s">
        <v>1064</v>
      </c>
      <c r="X954" s="10" t="s">
        <v>1064</v>
      </c>
      <c r="Y954" t="s">
        <v>39</v>
      </c>
      <c r="Z954" t="s">
        <v>62</v>
      </c>
      <c r="AA954" t="s">
        <v>53</v>
      </c>
    </row>
    <row r="955" spans="1:28" x14ac:dyDescent="0.8">
      <c r="A955">
        <v>1011</v>
      </c>
      <c r="B955">
        <v>1367</v>
      </c>
      <c r="C955" s="2">
        <v>44385</v>
      </c>
      <c r="D955" t="s">
        <v>203</v>
      </c>
      <c r="E955" t="s">
        <v>103</v>
      </c>
      <c r="F955" t="s">
        <v>26</v>
      </c>
      <c r="G955" t="s">
        <v>45</v>
      </c>
      <c r="H955" t="s">
        <v>155</v>
      </c>
      <c r="I955" t="s">
        <v>69</v>
      </c>
      <c r="J955" t="s">
        <v>156</v>
      </c>
      <c r="K955" t="s">
        <v>157</v>
      </c>
      <c r="L955" t="s">
        <v>158</v>
      </c>
      <c r="M955" t="s">
        <v>159</v>
      </c>
      <c r="N955" t="s">
        <v>52</v>
      </c>
      <c r="O955" t="s">
        <v>955</v>
      </c>
      <c r="P955" t="s">
        <v>34</v>
      </c>
      <c r="Q955" t="s">
        <v>530</v>
      </c>
      <c r="R955" t="s">
        <v>956</v>
      </c>
      <c r="S955" t="s">
        <v>131</v>
      </c>
      <c r="T955" t="s">
        <v>957</v>
      </c>
      <c r="U955" s="10" t="s">
        <v>1064</v>
      </c>
      <c r="V955" s="10" t="s">
        <v>1064</v>
      </c>
      <c r="W955" s="10" t="s">
        <v>1064</v>
      </c>
      <c r="X955" s="10" t="s">
        <v>1064</v>
      </c>
      <c r="Y955" t="s">
        <v>39</v>
      </c>
      <c r="Z955" t="s">
        <v>40</v>
      </c>
      <c r="AA955" t="s">
        <v>63</v>
      </c>
    </row>
    <row r="956" spans="1:28" x14ac:dyDescent="0.8">
      <c r="A956">
        <v>1739</v>
      </c>
      <c r="B956">
        <v>826</v>
      </c>
      <c r="C956" s="2">
        <v>44384</v>
      </c>
      <c r="D956" t="s">
        <v>24</v>
      </c>
      <c r="E956" t="s">
        <v>25</v>
      </c>
      <c r="F956" t="s">
        <v>26</v>
      </c>
      <c r="G956" t="s">
        <v>45</v>
      </c>
      <c r="H956" t="s">
        <v>46</v>
      </c>
      <c r="I956" t="s">
        <v>47</v>
      </c>
      <c r="J956" t="s">
        <v>48</v>
      </c>
      <c r="K956" t="s">
        <v>49</v>
      </c>
      <c r="L956" t="s">
        <v>91</v>
      </c>
      <c r="M956" t="s">
        <v>92</v>
      </c>
      <c r="N956" t="s">
        <v>61</v>
      </c>
      <c r="O956" t="s">
        <v>973</v>
      </c>
      <c r="P956" t="s">
        <v>34</v>
      </c>
      <c r="Q956" t="s">
        <v>35</v>
      </c>
      <c r="R956" t="s">
        <v>973</v>
      </c>
      <c r="S956" t="s">
        <v>131</v>
      </c>
      <c r="T956" t="s">
        <v>974</v>
      </c>
      <c r="U956" s="10" t="s">
        <v>1064</v>
      </c>
      <c r="V956" s="10" t="s">
        <v>1112</v>
      </c>
      <c r="W956" s="10" t="s">
        <v>1064</v>
      </c>
      <c r="X956" s="10" t="s">
        <v>1059</v>
      </c>
      <c r="Y956" t="s">
        <v>39</v>
      </c>
      <c r="Z956" t="s">
        <v>62</v>
      </c>
      <c r="AA956" t="s">
        <v>41</v>
      </c>
    </row>
    <row r="957" spans="1:28" x14ac:dyDescent="0.8">
      <c r="A957">
        <v>1109</v>
      </c>
      <c r="B957">
        <v>1209</v>
      </c>
      <c r="C957" s="2">
        <v>44384</v>
      </c>
      <c r="D957" t="s">
        <v>384</v>
      </c>
      <c r="E957" t="s">
        <v>125</v>
      </c>
      <c r="F957" t="s">
        <v>26</v>
      </c>
      <c r="G957" t="s">
        <v>27</v>
      </c>
      <c r="H957" t="s">
        <v>114</v>
      </c>
      <c r="I957" t="s">
        <v>115</v>
      </c>
      <c r="J957" t="s">
        <v>120</v>
      </c>
      <c r="K957" t="s">
        <v>121</v>
      </c>
      <c r="L957" t="s">
        <v>122</v>
      </c>
      <c r="M957" t="s">
        <v>123</v>
      </c>
      <c r="O957" t="s">
        <v>973</v>
      </c>
      <c r="P957" t="s">
        <v>34</v>
      </c>
      <c r="Q957" t="s">
        <v>35</v>
      </c>
      <c r="R957" t="s">
        <v>973</v>
      </c>
      <c r="S957" t="s">
        <v>131</v>
      </c>
      <c r="T957" t="s">
        <v>974</v>
      </c>
      <c r="U957" s="10" t="s">
        <v>1064</v>
      </c>
      <c r="V957" s="10" t="s">
        <v>1112</v>
      </c>
      <c r="W957" s="10" t="s">
        <v>1064</v>
      </c>
      <c r="X957" s="10" t="s">
        <v>1059</v>
      </c>
      <c r="Y957" t="s">
        <v>39</v>
      </c>
      <c r="Z957" t="s">
        <v>40</v>
      </c>
      <c r="AA957" t="s">
        <v>63</v>
      </c>
      <c r="AB957" t="s">
        <v>975</v>
      </c>
    </row>
    <row r="958" spans="1:28" x14ac:dyDescent="0.8">
      <c r="A958">
        <v>1108</v>
      </c>
      <c r="B958">
        <v>1208</v>
      </c>
      <c r="C958" s="2">
        <v>44384</v>
      </c>
      <c r="D958" t="s">
        <v>384</v>
      </c>
      <c r="E958" t="s">
        <v>125</v>
      </c>
      <c r="F958" t="s">
        <v>26</v>
      </c>
      <c r="G958" t="s">
        <v>27</v>
      </c>
      <c r="H958" t="s">
        <v>114</v>
      </c>
      <c r="I958" t="s">
        <v>115</v>
      </c>
      <c r="J958" t="s">
        <v>120</v>
      </c>
      <c r="K958" t="s">
        <v>121</v>
      </c>
      <c r="L958" t="s">
        <v>122</v>
      </c>
      <c r="M958" t="s">
        <v>123</v>
      </c>
      <c r="O958" t="s">
        <v>973</v>
      </c>
      <c r="P958" t="s">
        <v>34</v>
      </c>
      <c r="Q958" t="s">
        <v>35</v>
      </c>
      <c r="R958" t="s">
        <v>973</v>
      </c>
      <c r="S958" t="s">
        <v>131</v>
      </c>
      <c r="T958" t="s">
        <v>974</v>
      </c>
      <c r="U958" s="10" t="s">
        <v>1064</v>
      </c>
      <c r="V958" s="10" t="s">
        <v>1112</v>
      </c>
      <c r="W958" s="10" t="s">
        <v>1064</v>
      </c>
      <c r="X958" s="10" t="s">
        <v>1059</v>
      </c>
      <c r="Y958" t="s">
        <v>39</v>
      </c>
      <c r="Z958" t="s">
        <v>40</v>
      </c>
      <c r="AA958" t="s">
        <v>63</v>
      </c>
      <c r="AB958" t="s">
        <v>975</v>
      </c>
    </row>
    <row r="959" spans="1:28" x14ac:dyDescent="0.8">
      <c r="A959">
        <v>1113</v>
      </c>
      <c r="B959">
        <v>1560</v>
      </c>
      <c r="C959" s="2">
        <v>44384</v>
      </c>
      <c r="D959" t="s">
        <v>384</v>
      </c>
      <c r="E959" t="s">
        <v>125</v>
      </c>
      <c r="F959" t="s">
        <v>26</v>
      </c>
      <c r="G959" t="s">
        <v>45</v>
      </c>
      <c r="H959" t="s">
        <v>155</v>
      </c>
      <c r="I959" t="s">
        <v>69</v>
      </c>
      <c r="J959" t="s">
        <v>156</v>
      </c>
      <c r="K959" t="s">
        <v>157</v>
      </c>
      <c r="L959" t="s">
        <v>158</v>
      </c>
      <c r="M959" t="s">
        <v>159</v>
      </c>
      <c r="N959" t="s">
        <v>52</v>
      </c>
      <c r="O959" t="s">
        <v>973</v>
      </c>
      <c r="P959" t="s">
        <v>34</v>
      </c>
      <c r="Q959" t="s">
        <v>35</v>
      </c>
      <c r="R959" t="s">
        <v>973</v>
      </c>
      <c r="S959" t="s">
        <v>131</v>
      </c>
      <c r="T959" t="s">
        <v>974</v>
      </c>
      <c r="U959" s="10" t="s">
        <v>1064</v>
      </c>
      <c r="V959" s="10" t="s">
        <v>1112</v>
      </c>
      <c r="W959" s="10" t="s">
        <v>1064</v>
      </c>
      <c r="X959" s="10" t="s">
        <v>1059</v>
      </c>
      <c r="Y959" t="s">
        <v>39</v>
      </c>
      <c r="Z959" t="s">
        <v>40</v>
      </c>
      <c r="AA959" t="s">
        <v>63</v>
      </c>
    </row>
    <row r="960" spans="1:28" x14ac:dyDescent="0.8">
      <c r="A960">
        <v>986</v>
      </c>
      <c r="B960">
        <v>710</v>
      </c>
      <c r="C960" s="2">
        <v>44385</v>
      </c>
      <c r="D960" t="s">
        <v>203</v>
      </c>
      <c r="E960" t="s">
        <v>25</v>
      </c>
      <c r="F960" t="s">
        <v>26</v>
      </c>
      <c r="G960" t="s">
        <v>45</v>
      </c>
      <c r="H960" t="s">
        <v>155</v>
      </c>
      <c r="I960" t="s">
        <v>69</v>
      </c>
      <c r="J960" t="s">
        <v>156</v>
      </c>
      <c r="K960" t="s">
        <v>157</v>
      </c>
      <c r="L960" t="s">
        <v>232</v>
      </c>
      <c r="M960" t="s">
        <v>233</v>
      </c>
      <c r="N960" t="s">
        <v>61</v>
      </c>
      <c r="O960" t="s">
        <v>621</v>
      </c>
      <c r="P960" t="s">
        <v>34</v>
      </c>
      <c r="Q960" t="s">
        <v>205</v>
      </c>
      <c r="R960" t="s">
        <v>622</v>
      </c>
      <c r="S960" t="s">
        <v>623</v>
      </c>
      <c r="T960" t="s">
        <v>624</v>
      </c>
      <c r="U960" s="10" t="s">
        <v>1061</v>
      </c>
      <c r="V960" s="10" t="s">
        <v>1093</v>
      </c>
      <c r="W960" s="10" t="s">
        <v>1065</v>
      </c>
      <c r="X960" s="10" t="s">
        <v>1068</v>
      </c>
      <c r="Y960" t="s">
        <v>39</v>
      </c>
      <c r="Z960" t="s">
        <v>40</v>
      </c>
      <c r="AA960" t="s">
        <v>63</v>
      </c>
    </row>
    <row r="961" spans="1:28" x14ac:dyDescent="0.8">
      <c r="A961">
        <v>977</v>
      </c>
      <c r="B961">
        <v>1285</v>
      </c>
      <c r="C961" s="2">
        <v>44385</v>
      </c>
      <c r="D961" t="s">
        <v>203</v>
      </c>
      <c r="E961" t="s">
        <v>63</v>
      </c>
      <c r="F961" t="s">
        <v>26</v>
      </c>
      <c r="G961" t="s">
        <v>45</v>
      </c>
      <c r="H961" t="s">
        <v>155</v>
      </c>
      <c r="I961" t="s">
        <v>69</v>
      </c>
      <c r="J961" t="s">
        <v>156</v>
      </c>
      <c r="K961" t="s">
        <v>157</v>
      </c>
      <c r="L961" t="s">
        <v>158</v>
      </c>
      <c r="M961" t="s">
        <v>159</v>
      </c>
      <c r="N961" t="s">
        <v>61</v>
      </c>
      <c r="O961" t="s">
        <v>529</v>
      </c>
      <c r="P961" t="s">
        <v>34</v>
      </c>
      <c r="Q961" t="s">
        <v>530</v>
      </c>
      <c r="R961" t="s">
        <v>531</v>
      </c>
      <c r="S961" t="s">
        <v>532</v>
      </c>
      <c r="T961" t="s">
        <v>533</v>
      </c>
      <c r="U961" s="10" t="s">
        <v>1055</v>
      </c>
      <c r="V961" s="10" t="s">
        <v>1066</v>
      </c>
      <c r="W961" s="10" t="s">
        <v>1066</v>
      </c>
      <c r="X961" s="10" t="s">
        <v>1059</v>
      </c>
      <c r="Y961" t="s">
        <v>39</v>
      </c>
      <c r="Z961" t="s">
        <v>40</v>
      </c>
      <c r="AA961" t="s">
        <v>63</v>
      </c>
      <c r="AB961" t="s">
        <v>534</v>
      </c>
    </row>
    <row r="962" spans="1:28" x14ac:dyDescent="0.8">
      <c r="A962">
        <v>991</v>
      </c>
      <c r="B962">
        <v>715</v>
      </c>
      <c r="C962" s="2">
        <v>44385</v>
      </c>
      <c r="D962" t="s">
        <v>203</v>
      </c>
      <c r="E962" t="s">
        <v>63</v>
      </c>
      <c r="F962" t="s">
        <v>26</v>
      </c>
      <c r="G962" t="s">
        <v>45</v>
      </c>
      <c r="H962" t="s">
        <v>46</v>
      </c>
      <c r="I962" t="s">
        <v>47</v>
      </c>
      <c r="J962" t="s">
        <v>48</v>
      </c>
      <c r="K962" t="s">
        <v>141</v>
      </c>
      <c r="L962" t="s">
        <v>142</v>
      </c>
      <c r="M962" t="s">
        <v>143</v>
      </c>
      <c r="N962" t="s">
        <v>61</v>
      </c>
      <c r="O962" t="s">
        <v>529</v>
      </c>
      <c r="P962" t="s">
        <v>34</v>
      </c>
      <c r="Q962" t="s">
        <v>530</v>
      </c>
      <c r="R962" t="s">
        <v>531</v>
      </c>
      <c r="S962" t="s">
        <v>532</v>
      </c>
      <c r="T962" t="s">
        <v>533</v>
      </c>
      <c r="U962" s="10" t="s">
        <v>1055</v>
      </c>
      <c r="V962" s="10" t="s">
        <v>1066</v>
      </c>
      <c r="W962" s="10" t="s">
        <v>1066</v>
      </c>
      <c r="X962" s="10" t="s">
        <v>1059</v>
      </c>
      <c r="Y962" t="s">
        <v>39</v>
      </c>
      <c r="Z962" t="s">
        <v>40</v>
      </c>
      <c r="AA962" t="s">
        <v>63</v>
      </c>
    </row>
    <row r="963" spans="1:28" x14ac:dyDescent="0.8">
      <c r="A963">
        <v>1013</v>
      </c>
      <c r="B963">
        <v>1369</v>
      </c>
      <c r="C963" s="2">
        <v>44385</v>
      </c>
      <c r="D963" t="s">
        <v>203</v>
      </c>
      <c r="E963" t="s">
        <v>103</v>
      </c>
      <c r="F963" t="s">
        <v>26</v>
      </c>
      <c r="G963" t="s">
        <v>27</v>
      </c>
      <c r="H963" t="s">
        <v>28</v>
      </c>
      <c r="I963" t="s">
        <v>223</v>
      </c>
      <c r="K963" t="s">
        <v>224</v>
      </c>
      <c r="L963" t="s">
        <v>65</v>
      </c>
      <c r="M963" t="s">
        <v>615</v>
      </c>
      <c r="O963" t="s">
        <v>690</v>
      </c>
      <c r="P963" t="s">
        <v>326</v>
      </c>
      <c r="Q963" t="s">
        <v>244</v>
      </c>
      <c r="R963" t="s">
        <v>691</v>
      </c>
      <c r="S963" t="s">
        <v>692</v>
      </c>
      <c r="T963" t="s">
        <v>693</v>
      </c>
      <c r="U963" s="10" t="s">
        <v>1055</v>
      </c>
      <c r="V963" s="10" t="s">
        <v>1066</v>
      </c>
      <c r="W963" s="10" t="s">
        <v>1066</v>
      </c>
      <c r="X963" s="10" t="s">
        <v>1059</v>
      </c>
      <c r="Y963" t="s">
        <v>39</v>
      </c>
      <c r="Z963" t="s">
        <v>40</v>
      </c>
      <c r="AA963" t="s">
        <v>63</v>
      </c>
    </row>
    <row r="964" spans="1:28" x14ac:dyDescent="0.8">
      <c r="A964">
        <v>560</v>
      </c>
      <c r="B964">
        <v>191</v>
      </c>
      <c r="C964" s="2">
        <v>44388</v>
      </c>
      <c r="D964" t="s">
        <v>124</v>
      </c>
      <c r="E964" t="s">
        <v>25</v>
      </c>
      <c r="F964" t="s">
        <v>26</v>
      </c>
      <c r="G964" t="s">
        <v>45</v>
      </c>
      <c r="H964" t="s">
        <v>68</v>
      </c>
      <c r="I964" t="s">
        <v>69</v>
      </c>
      <c r="J964" t="s">
        <v>70</v>
      </c>
      <c r="K964" t="s">
        <v>71</v>
      </c>
      <c r="L964" t="s">
        <v>72</v>
      </c>
      <c r="M964" t="s">
        <v>73</v>
      </c>
      <c r="N964" t="s">
        <v>61</v>
      </c>
      <c r="O964" t="s">
        <v>895</v>
      </c>
      <c r="P964" t="s">
        <v>85</v>
      </c>
      <c r="Q964" t="s">
        <v>561</v>
      </c>
      <c r="R964" t="s">
        <v>896</v>
      </c>
      <c r="S964" t="s">
        <v>897</v>
      </c>
      <c r="T964" t="s">
        <v>898</v>
      </c>
      <c r="U964" s="10" t="s">
        <v>1055</v>
      </c>
      <c r="V964" s="10" t="s">
        <v>1066</v>
      </c>
      <c r="W964" s="10" t="s">
        <v>1066</v>
      </c>
      <c r="X964" s="10" t="s">
        <v>1059</v>
      </c>
      <c r="Y964" t="s">
        <v>39</v>
      </c>
      <c r="Z964" t="s">
        <v>40</v>
      </c>
      <c r="AA964" t="s">
        <v>63</v>
      </c>
    </row>
    <row r="965" spans="1:28" x14ac:dyDescent="0.8">
      <c r="A965">
        <v>1456</v>
      </c>
      <c r="B965">
        <v>2253</v>
      </c>
      <c r="C965" s="2">
        <v>44388</v>
      </c>
      <c r="D965" t="s">
        <v>134</v>
      </c>
      <c r="E965" t="s">
        <v>63</v>
      </c>
      <c r="F965" t="s">
        <v>26</v>
      </c>
      <c r="G965" t="s">
        <v>45</v>
      </c>
      <c r="H965" t="s">
        <v>68</v>
      </c>
      <c r="I965" t="s">
        <v>69</v>
      </c>
      <c r="J965" t="s">
        <v>70</v>
      </c>
      <c r="K965" t="s">
        <v>71</v>
      </c>
      <c r="L965" t="s">
        <v>72</v>
      </c>
      <c r="M965" t="s">
        <v>73</v>
      </c>
      <c r="N965" t="s">
        <v>61</v>
      </c>
      <c r="O965" t="s">
        <v>899</v>
      </c>
      <c r="P965" t="s">
        <v>85</v>
      </c>
      <c r="Q965" t="s">
        <v>561</v>
      </c>
      <c r="R965" t="s">
        <v>896</v>
      </c>
      <c r="S965" t="s">
        <v>900</v>
      </c>
      <c r="T965" t="s">
        <v>901</v>
      </c>
      <c r="U965" s="10" t="s">
        <v>1055</v>
      </c>
      <c r="V965" s="10" t="s">
        <v>1066</v>
      </c>
      <c r="W965" s="10" t="s">
        <v>1066</v>
      </c>
      <c r="X965" s="10" t="s">
        <v>1059</v>
      </c>
      <c r="Y965" t="s">
        <v>140</v>
      </c>
      <c r="Z965" t="s">
        <v>40</v>
      </c>
      <c r="AA965" t="s">
        <v>63</v>
      </c>
    </row>
    <row r="966" spans="1:28" x14ac:dyDescent="0.8">
      <c r="A966">
        <v>1509</v>
      </c>
      <c r="B966">
        <v>2406</v>
      </c>
      <c r="C966" s="2">
        <v>44388</v>
      </c>
      <c r="D966" t="s">
        <v>134</v>
      </c>
      <c r="E966" t="s">
        <v>53</v>
      </c>
      <c r="F966" t="s">
        <v>26</v>
      </c>
      <c r="G966" t="s">
        <v>45</v>
      </c>
      <c r="H966" t="s">
        <v>155</v>
      </c>
      <c r="I966" t="s">
        <v>69</v>
      </c>
      <c r="J966" t="s">
        <v>156</v>
      </c>
      <c r="K966" t="s">
        <v>157</v>
      </c>
      <c r="L966" t="s">
        <v>158</v>
      </c>
      <c r="M966" t="s">
        <v>159</v>
      </c>
      <c r="N966" t="s">
        <v>61</v>
      </c>
      <c r="O966" t="s">
        <v>899</v>
      </c>
      <c r="P966" t="s">
        <v>85</v>
      </c>
      <c r="Q966" t="s">
        <v>561</v>
      </c>
      <c r="R966" t="s">
        <v>896</v>
      </c>
      <c r="S966" t="s">
        <v>900</v>
      </c>
      <c r="T966" t="s">
        <v>901</v>
      </c>
      <c r="U966" s="10" t="s">
        <v>1055</v>
      </c>
      <c r="V966" s="10" t="s">
        <v>1066</v>
      </c>
      <c r="W966" s="10" t="s">
        <v>1066</v>
      </c>
      <c r="X966" s="10" t="s">
        <v>1059</v>
      </c>
      <c r="Y966" t="s">
        <v>39</v>
      </c>
      <c r="Z966" t="s">
        <v>40</v>
      </c>
      <c r="AA966" t="s">
        <v>63</v>
      </c>
    </row>
    <row r="967" spans="1:28" x14ac:dyDescent="0.8">
      <c r="A967">
        <v>784</v>
      </c>
      <c r="B967">
        <v>1313</v>
      </c>
      <c r="C967" s="2">
        <v>44387</v>
      </c>
      <c r="D967" t="s">
        <v>149</v>
      </c>
      <c r="E967" t="s">
        <v>63</v>
      </c>
      <c r="F967" t="s">
        <v>26</v>
      </c>
      <c r="G967" t="s">
        <v>45</v>
      </c>
      <c r="H967" t="s">
        <v>68</v>
      </c>
      <c r="I967" t="s">
        <v>69</v>
      </c>
      <c r="J967" t="s">
        <v>70</v>
      </c>
      <c r="K967" t="s">
        <v>71</v>
      </c>
      <c r="L967" t="s">
        <v>72</v>
      </c>
      <c r="M967" t="s">
        <v>73</v>
      </c>
      <c r="N967" t="s">
        <v>61</v>
      </c>
      <c r="O967" t="s">
        <v>899</v>
      </c>
      <c r="P967" t="s">
        <v>85</v>
      </c>
      <c r="Q967" t="s">
        <v>561</v>
      </c>
      <c r="R967" t="s">
        <v>896</v>
      </c>
      <c r="S967" t="s">
        <v>900</v>
      </c>
      <c r="T967" t="s">
        <v>901</v>
      </c>
      <c r="U967" s="10" t="s">
        <v>1055</v>
      </c>
      <c r="V967" s="10" t="s">
        <v>1066</v>
      </c>
      <c r="W967" s="10" t="s">
        <v>1066</v>
      </c>
      <c r="X967" s="10" t="s">
        <v>1059</v>
      </c>
      <c r="Y967" t="s">
        <v>140</v>
      </c>
      <c r="Z967" t="s">
        <v>40</v>
      </c>
      <c r="AA967" t="s">
        <v>63</v>
      </c>
    </row>
    <row r="968" spans="1:28" x14ac:dyDescent="0.8">
      <c r="A968">
        <v>808</v>
      </c>
      <c r="B968">
        <v>795</v>
      </c>
      <c r="C968" s="2">
        <v>44387</v>
      </c>
      <c r="D968" t="s">
        <v>149</v>
      </c>
      <c r="E968" t="s">
        <v>103</v>
      </c>
      <c r="F968" t="s">
        <v>26</v>
      </c>
      <c r="G968" t="s">
        <v>45</v>
      </c>
      <c r="H968" t="s">
        <v>155</v>
      </c>
      <c r="I968" t="s">
        <v>69</v>
      </c>
      <c r="J968" t="s">
        <v>156</v>
      </c>
      <c r="K968" t="s">
        <v>157</v>
      </c>
      <c r="L968" t="s">
        <v>232</v>
      </c>
      <c r="M968" t="s">
        <v>233</v>
      </c>
      <c r="N968" t="s">
        <v>61</v>
      </c>
      <c r="O968" t="s">
        <v>899</v>
      </c>
      <c r="P968" t="s">
        <v>85</v>
      </c>
      <c r="Q968" t="s">
        <v>561</v>
      </c>
      <c r="R968" t="s">
        <v>896</v>
      </c>
      <c r="S968" t="s">
        <v>900</v>
      </c>
      <c r="T968" t="s">
        <v>901</v>
      </c>
      <c r="U968" s="10" t="s">
        <v>1055</v>
      </c>
      <c r="V968" s="10" t="s">
        <v>1066</v>
      </c>
      <c r="W968" s="10" t="s">
        <v>1066</v>
      </c>
      <c r="X968" s="10" t="s">
        <v>1059</v>
      </c>
      <c r="Y968" t="s">
        <v>39</v>
      </c>
      <c r="Z968" t="s">
        <v>40</v>
      </c>
      <c r="AA968" t="s">
        <v>63</v>
      </c>
    </row>
    <row r="969" spans="1:28" x14ac:dyDescent="0.8">
      <c r="A969">
        <v>1595</v>
      </c>
      <c r="B969">
        <v>582</v>
      </c>
      <c r="C969" s="2">
        <v>44388</v>
      </c>
      <c r="D969" t="s">
        <v>124</v>
      </c>
      <c r="E969" t="s">
        <v>53</v>
      </c>
      <c r="F969" t="s">
        <v>26</v>
      </c>
      <c r="G969" t="s">
        <v>45</v>
      </c>
      <c r="H969" t="s">
        <v>68</v>
      </c>
      <c r="I969" t="s">
        <v>69</v>
      </c>
      <c r="J969" t="s">
        <v>70</v>
      </c>
      <c r="K969" t="s">
        <v>71</v>
      </c>
      <c r="L969" t="s">
        <v>72</v>
      </c>
      <c r="M969" t="s">
        <v>73</v>
      </c>
      <c r="N969" t="s">
        <v>61</v>
      </c>
      <c r="O969" t="s">
        <v>899</v>
      </c>
      <c r="P969" t="s">
        <v>85</v>
      </c>
      <c r="Q969" t="s">
        <v>561</v>
      </c>
      <c r="R969" t="s">
        <v>896</v>
      </c>
      <c r="S969" t="s">
        <v>900</v>
      </c>
      <c r="T969" t="s">
        <v>901</v>
      </c>
      <c r="U969" s="10" t="s">
        <v>1055</v>
      </c>
      <c r="V969" s="10" t="s">
        <v>1066</v>
      </c>
      <c r="W969" s="10" t="s">
        <v>1066</v>
      </c>
      <c r="X969" s="10" t="s">
        <v>1059</v>
      </c>
      <c r="Y969" t="s">
        <v>39</v>
      </c>
      <c r="Z969" t="s">
        <v>40</v>
      </c>
      <c r="AA969" t="s">
        <v>125</v>
      </c>
    </row>
    <row r="970" spans="1:28" x14ac:dyDescent="0.8">
      <c r="A970">
        <v>1592</v>
      </c>
      <c r="B970">
        <v>579</v>
      </c>
      <c r="C970" s="2">
        <v>44388</v>
      </c>
      <c r="D970" t="s">
        <v>124</v>
      </c>
      <c r="E970" t="s">
        <v>53</v>
      </c>
      <c r="F970" t="s">
        <v>26</v>
      </c>
      <c r="G970" t="s">
        <v>45</v>
      </c>
      <c r="H970" t="s">
        <v>68</v>
      </c>
      <c r="I970" t="s">
        <v>69</v>
      </c>
      <c r="J970" t="s">
        <v>70</v>
      </c>
      <c r="K970" t="s">
        <v>71</v>
      </c>
      <c r="L970" t="s">
        <v>72</v>
      </c>
      <c r="M970" t="s">
        <v>73</v>
      </c>
      <c r="N970" t="s">
        <v>61</v>
      </c>
      <c r="O970" t="s">
        <v>899</v>
      </c>
      <c r="P970" t="s">
        <v>85</v>
      </c>
      <c r="Q970" t="s">
        <v>561</v>
      </c>
      <c r="R970" t="s">
        <v>896</v>
      </c>
      <c r="S970" t="s">
        <v>900</v>
      </c>
      <c r="T970" t="s">
        <v>901</v>
      </c>
      <c r="U970" s="10" t="s">
        <v>1055</v>
      </c>
      <c r="V970" s="10" t="s">
        <v>1066</v>
      </c>
      <c r="W970" s="10" t="s">
        <v>1066</v>
      </c>
      <c r="X970" s="10" t="s">
        <v>1059</v>
      </c>
      <c r="Y970" t="s">
        <v>39</v>
      </c>
      <c r="Z970" t="s">
        <v>40</v>
      </c>
      <c r="AA970" t="s">
        <v>125</v>
      </c>
    </row>
    <row r="971" spans="1:28" x14ac:dyDescent="0.8">
      <c r="A971">
        <v>636</v>
      </c>
      <c r="B971">
        <v>973</v>
      </c>
      <c r="C971" s="2">
        <v>44384</v>
      </c>
      <c r="D971" t="s">
        <v>306</v>
      </c>
      <c r="E971" t="s">
        <v>25</v>
      </c>
      <c r="F971" t="s">
        <v>26</v>
      </c>
      <c r="G971" t="s">
        <v>45</v>
      </c>
      <c r="H971" t="s">
        <v>46</v>
      </c>
      <c r="I971" t="s">
        <v>47</v>
      </c>
      <c r="J971" t="s">
        <v>48</v>
      </c>
      <c r="K971" t="s">
        <v>49</v>
      </c>
      <c r="L971" t="s">
        <v>91</v>
      </c>
      <c r="M971" t="s">
        <v>92</v>
      </c>
      <c r="N971" t="s">
        <v>61</v>
      </c>
      <c r="O971" t="s">
        <v>899</v>
      </c>
      <c r="P971" t="s">
        <v>85</v>
      </c>
      <c r="Q971" t="s">
        <v>561</v>
      </c>
      <c r="R971" t="s">
        <v>896</v>
      </c>
      <c r="S971" t="s">
        <v>900</v>
      </c>
      <c r="T971" t="s">
        <v>901</v>
      </c>
      <c r="U971" s="10" t="s">
        <v>1055</v>
      </c>
      <c r="V971" s="10" t="s">
        <v>1066</v>
      </c>
      <c r="W971" s="10" t="s">
        <v>1066</v>
      </c>
      <c r="X971" s="10" t="s">
        <v>1059</v>
      </c>
      <c r="Y971" t="s">
        <v>39</v>
      </c>
      <c r="Z971" t="s">
        <v>62</v>
      </c>
      <c r="AA971" t="s">
        <v>63</v>
      </c>
      <c r="AB971" t="s">
        <v>902</v>
      </c>
    </row>
    <row r="972" spans="1:28" x14ac:dyDescent="0.8">
      <c r="A972">
        <v>637</v>
      </c>
      <c r="B972">
        <v>974</v>
      </c>
      <c r="C972" s="2">
        <v>44384</v>
      </c>
      <c r="D972" t="s">
        <v>306</v>
      </c>
      <c r="E972" t="s">
        <v>25</v>
      </c>
      <c r="F972" t="s">
        <v>26</v>
      </c>
      <c r="G972" t="s">
        <v>45</v>
      </c>
      <c r="H972" t="s">
        <v>46</v>
      </c>
      <c r="I972" t="s">
        <v>47</v>
      </c>
      <c r="J972" t="s">
        <v>48</v>
      </c>
      <c r="K972" t="s">
        <v>49</v>
      </c>
      <c r="L972" t="s">
        <v>91</v>
      </c>
      <c r="M972" t="s">
        <v>92</v>
      </c>
      <c r="N972" t="s">
        <v>61</v>
      </c>
      <c r="O972" t="s">
        <v>899</v>
      </c>
      <c r="P972" t="s">
        <v>85</v>
      </c>
      <c r="Q972" t="s">
        <v>561</v>
      </c>
      <c r="R972" t="s">
        <v>896</v>
      </c>
      <c r="S972" t="s">
        <v>900</v>
      </c>
      <c r="T972" t="s">
        <v>901</v>
      </c>
      <c r="U972" s="10" t="s">
        <v>1055</v>
      </c>
      <c r="V972" s="10" t="s">
        <v>1066</v>
      </c>
      <c r="W972" s="10" t="s">
        <v>1066</v>
      </c>
      <c r="X972" s="10" t="s">
        <v>1059</v>
      </c>
      <c r="Y972" t="s">
        <v>39</v>
      </c>
      <c r="Z972" t="s">
        <v>62</v>
      </c>
      <c r="AA972" t="s">
        <v>63</v>
      </c>
      <c r="AB972" t="s">
        <v>902</v>
      </c>
    </row>
    <row r="973" spans="1:28" x14ac:dyDescent="0.8">
      <c r="A973">
        <v>1687</v>
      </c>
      <c r="B973">
        <v>566</v>
      </c>
      <c r="C973" s="2">
        <v>44388</v>
      </c>
      <c r="D973" t="s">
        <v>124</v>
      </c>
      <c r="E973" t="s">
        <v>25</v>
      </c>
      <c r="F973" t="s">
        <v>26</v>
      </c>
      <c r="G973" t="s">
        <v>45</v>
      </c>
      <c r="H973" t="s">
        <v>55</v>
      </c>
      <c r="I973" t="s">
        <v>56</v>
      </c>
      <c r="J973" t="s">
        <v>57</v>
      </c>
      <c r="K973" t="s">
        <v>58</v>
      </c>
      <c r="L973" t="s">
        <v>59</v>
      </c>
      <c r="M973" t="s">
        <v>60</v>
      </c>
      <c r="N973" t="s">
        <v>61</v>
      </c>
      <c r="O973" t="s">
        <v>807</v>
      </c>
      <c r="P973" t="s">
        <v>34</v>
      </c>
      <c r="Q973" t="s">
        <v>524</v>
      </c>
      <c r="R973" t="s">
        <v>808</v>
      </c>
      <c r="S973" t="s">
        <v>809</v>
      </c>
      <c r="T973" t="s">
        <v>810</v>
      </c>
      <c r="U973" s="10" t="s">
        <v>1055</v>
      </c>
      <c r="V973" s="10" t="s">
        <v>1066</v>
      </c>
      <c r="W973" s="10" t="s">
        <v>1066</v>
      </c>
      <c r="X973" s="10" t="s">
        <v>1068</v>
      </c>
      <c r="Y973" t="s">
        <v>39</v>
      </c>
      <c r="Z973" t="s">
        <v>40</v>
      </c>
      <c r="AA973" t="s">
        <v>41</v>
      </c>
    </row>
    <row r="974" spans="1:28" x14ac:dyDescent="0.8">
      <c r="A974">
        <v>1503</v>
      </c>
      <c r="B974">
        <v>2350</v>
      </c>
      <c r="C974" s="2">
        <v>44388</v>
      </c>
      <c r="D974" t="s">
        <v>134</v>
      </c>
      <c r="E974" t="s">
        <v>63</v>
      </c>
      <c r="F974" t="s">
        <v>26</v>
      </c>
      <c r="G974" t="s">
        <v>45</v>
      </c>
      <c r="H974" t="s">
        <v>68</v>
      </c>
      <c r="I974" t="s">
        <v>69</v>
      </c>
      <c r="J974" t="s">
        <v>70</v>
      </c>
      <c r="K974" t="s">
        <v>71</v>
      </c>
      <c r="L974" t="s">
        <v>72</v>
      </c>
      <c r="M974" t="s">
        <v>73</v>
      </c>
      <c r="N974" t="s">
        <v>61</v>
      </c>
      <c r="O974" t="s">
        <v>135</v>
      </c>
      <c r="P974" t="s">
        <v>85</v>
      </c>
      <c r="Q974" t="s">
        <v>136</v>
      </c>
      <c r="R974" t="s">
        <v>137</v>
      </c>
      <c r="S974" t="s">
        <v>138</v>
      </c>
      <c r="T974" t="s">
        <v>139</v>
      </c>
      <c r="U974" s="10" t="s">
        <v>1061</v>
      </c>
      <c r="V974" s="10" t="s">
        <v>1066</v>
      </c>
      <c r="W974" s="10" t="s">
        <v>1066</v>
      </c>
      <c r="X974" s="10" t="s">
        <v>1059</v>
      </c>
      <c r="Y974" t="s">
        <v>39</v>
      </c>
      <c r="Z974" t="s">
        <v>40</v>
      </c>
      <c r="AA974" t="s">
        <v>63</v>
      </c>
    </row>
    <row r="975" spans="1:28" x14ac:dyDescent="0.8">
      <c r="A975">
        <v>1481</v>
      </c>
      <c r="B975">
        <v>2328</v>
      </c>
      <c r="C975" s="2">
        <v>44388</v>
      </c>
      <c r="D975" t="s">
        <v>134</v>
      </c>
      <c r="E975" t="s">
        <v>25</v>
      </c>
      <c r="F975" t="s">
        <v>26</v>
      </c>
      <c r="G975" t="s">
        <v>45</v>
      </c>
      <c r="H975" t="s">
        <v>68</v>
      </c>
      <c r="I975" t="s">
        <v>69</v>
      </c>
      <c r="J975" t="s">
        <v>70</v>
      </c>
      <c r="K975" t="s">
        <v>71</v>
      </c>
      <c r="L975" t="s">
        <v>72</v>
      </c>
      <c r="M975" t="s">
        <v>73</v>
      </c>
      <c r="N975" t="s">
        <v>61</v>
      </c>
      <c r="O975" t="s">
        <v>135</v>
      </c>
      <c r="P975" t="s">
        <v>85</v>
      </c>
      <c r="Q975" t="s">
        <v>136</v>
      </c>
      <c r="R975" t="s">
        <v>137</v>
      </c>
      <c r="S975" t="s">
        <v>138</v>
      </c>
      <c r="T975" t="s">
        <v>139</v>
      </c>
      <c r="U975" s="10" t="s">
        <v>1061</v>
      </c>
      <c r="V975" s="10" t="s">
        <v>1066</v>
      </c>
      <c r="W975" s="10" t="s">
        <v>1066</v>
      </c>
      <c r="X975" s="10" t="s">
        <v>1059</v>
      </c>
      <c r="Y975" t="s">
        <v>39</v>
      </c>
      <c r="Z975" t="s">
        <v>40</v>
      </c>
      <c r="AA975" t="s">
        <v>63</v>
      </c>
    </row>
    <row r="976" spans="1:28" x14ac:dyDescent="0.8">
      <c r="A976">
        <v>1441</v>
      </c>
      <c r="B976">
        <v>2238</v>
      </c>
      <c r="C976" s="2">
        <v>44388</v>
      </c>
      <c r="D976" t="s">
        <v>134</v>
      </c>
      <c r="E976" t="s">
        <v>63</v>
      </c>
      <c r="F976" t="s">
        <v>26</v>
      </c>
      <c r="G976" t="s">
        <v>45</v>
      </c>
      <c r="H976" t="s">
        <v>68</v>
      </c>
      <c r="I976" t="s">
        <v>69</v>
      </c>
      <c r="J976" t="s">
        <v>70</v>
      </c>
      <c r="K976" t="s">
        <v>71</v>
      </c>
      <c r="L976" t="s">
        <v>72</v>
      </c>
      <c r="M976" t="s">
        <v>73</v>
      </c>
      <c r="N976" t="s">
        <v>61</v>
      </c>
      <c r="O976" t="s">
        <v>135</v>
      </c>
      <c r="P976" t="s">
        <v>85</v>
      </c>
      <c r="Q976" t="s">
        <v>136</v>
      </c>
      <c r="R976" t="s">
        <v>137</v>
      </c>
      <c r="S976" t="s">
        <v>138</v>
      </c>
      <c r="T976" t="s">
        <v>139</v>
      </c>
      <c r="U976" s="10" t="s">
        <v>1061</v>
      </c>
      <c r="V976" s="10" t="s">
        <v>1066</v>
      </c>
      <c r="W976" s="10" t="s">
        <v>1066</v>
      </c>
      <c r="X976" s="10" t="s">
        <v>1059</v>
      </c>
      <c r="Y976" t="s">
        <v>140</v>
      </c>
      <c r="Z976" t="s">
        <v>40</v>
      </c>
      <c r="AA976" t="s">
        <v>63</v>
      </c>
    </row>
    <row r="977" spans="1:27" x14ac:dyDescent="0.8">
      <c r="A977">
        <v>1427</v>
      </c>
      <c r="B977">
        <v>2174</v>
      </c>
      <c r="C977" s="2">
        <v>44387</v>
      </c>
      <c r="D977" t="s">
        <v>173</v>
      </c>
      <c r="E977" t="s">
        <v>103</v>
      </c>
      <c r="F977" t="s">
        <v>26</v>
      </c>
      <c r="G977" t="s">
        <v>27</v>
      </c>
      <c r="H977" t="s">
        <v>114</v>
      </c>
      <c r="I977" t="s">
        <v>115</v>
      </c>
      <c r="J977" t="s">
        <v>174</v>
      </c>
      <c r="K977" t="s">
        <v>175</v>
      </c>
      <c r="L977" t="s">
        <v>176</v>
      </c>
      <c r="M977" t="s">
        <v>177</v>
      </c>
      <c r="O977" t="s">
        <v>178</v>
      </c>
      <c r="P977" t="s">
        <v>34</v>
      </c>
      <c r="Q977" t="s">
        <v>167</v>
      </c>
      <c r="R977" t="s">
        <v>179</v>
      </c>
      <c r="S977" t="s">
        <v>169</v>
      </c>
      <c r="T977" t="s">
        <v>180</v>
      </c>
      <c r="U977" s="10" t="s">
        <v>1061</v>
      </c>
      <c r="V977" s="10" t="s">
        <v>1066</v>
      </c>
      <c r="W977" s="10" t="s">
        <v>1066</v>
      </c>
      <c r="X977" s="10" t="s">
        <v>1059</v>
      </c>
      <c r="Y977" t="s">
        <v>39</v>
      </c>
      <c r="Z977" t="s">
        <v>40</v>
      </c>
      <c r="AA977" t="s">
        <v>63</v>
      </c>
    </row>
    <row r="978" spans="1:27" x14ac:dyDescent="0.8">
      <c r="A978">
        <v>680</v>
      </c>
      <c r="B978">
        <v>1065</v>
      </c>
      <c r="C978" s="2">
        <v>44385</v>
      </c>
      <c r="D978" t="s">
        <v>133</v>
      </c>
      <c r="E978" t="s">
        <v>103</v>
      </c>
      <c r="F978" t="s">
        <v>26</v>
      </c>
      <c r="G978" t="s">
        <v>27</v>
      </c>
      <c r="H978" t="s">
        <v>28</v>
      </c>
      <c r="I978" t="s">
        <v>29</v>
      </c>
      <c r="K978" t="s">
        <v>30</v>
      </c>
      <c r="L978" t="s">
        <v>59</v>
      </c>
      <c r="M978" t="s">
        <v>181</v>
      </c>
      <c r="O978" t="s">
        <v>178</v>
      </c>
      <c r="P978" t="s">
        <v>34</v>
      </c>
      <c r="Q978" t="s">
        <v>167</v>
      </c>
      <c r="R978" t="s">
        <v>179</v>
      </c>
      <c r="S978" t="s">
        <v>169</v>
      </c>
      <c r="T978" t="s">
        <v>180</v>
      </c>
      <c r="U978" s="10" t="s">
        <v>1061</v>
      </c>
      <c r="V978" s="10" t="s">
        <v>1066</v>
      </c>
      <c r="W978" s="10" t="s">
        <v>1066</v>
      </c>
      <c r="X978" s="10" t="s">
        <v>1059</v>
      </c>
      <c r="Y978" t="s">
        <v>39</v>
      </c>
      <c r="Z978" t="s">
        <v>40</v>
      </c>
      <c r="AA978" t="s">
        <v>63</v>
      </c>
    </row>
    <row r="979" spans="1:27" x14ac:dyDescent="0.8">
      <c r="A979">
        <v>672</v>
      </c>
      <c r="B979">
        <v>1057</v>
      </c>
      <c r="C979" s="2">
        <v>44385</v>
      </c>
      <c r="D979" t="s">
        <v>133</v>
      </c>
      <c r="E979" t="s">
        <v>103</v>
      </c>
      <c r="F979" t="s">
        <v>26</v>
      </c>
      <c r="G979" t="s">
        <v>45</v>
      </c>
      <c r="H979" t="s">
        <v>46</v>
      </c>
      <c r="I979" t="s">
        <v>47</v>
      </c>
      <c r="J979" t="s">
        <v>48</v>
      </c>
      <c r="K979" t="s">
        <v>141</v>
      </c>
      <c r="L979" t="s">
        <v>31</v>
      </c>
      <c r="M979" t="s">
        <v>182</v>
      </c>
      <c r="N979" t="s">
        <v>61</v>
      </c>
      <c r="O979" t="s">
        <v>178</v>
      </c>
      <c r="P979" t="s">
        <v>34</v>
      </c>
      <c r="Q979" t="s">
        <v>167</v>
      </c>
      <c r="R979" t="s">
        <v>179</v>
      </c>
      <c r="S979" t="s">
        <v>169</v>
      </c>
      <c r="T979" t="s">
        <v>180</v>
      </c>
      <c r="U979" s="10" t="s">
        <v>1061</v>
      </c>
      <c r="V979" s="10" t="s">
        <v>1066</v>
      </c>
      <c r="W979" s="10" t="s">
        <v>1066</v>
      </c>
      <c r="X979" s="10" t="s">
        <v>1059</v>
      </c>
      <c r="Y979" t="s">
        <v>39</v>
      </c>
      <c r="Z979" t="s">
        <v>40</v>
      </c>
      <c r="AA979" t="s">
        <v>63</v>
      </c>
    </row>
    <row r="980" spans="1:27" x14ac:dyDescent="0.8">
      <c r="A980">
        <v>685</v>
      </c>
      <c r="B980">
        <v>1070</v>
      </c>
      <c r="C980" s="2">
        <v>44385</v>
      </c>
      <c r="D980" t="s">
        <v>133</v>
      </c>
      <c r="E980" t="s">
        <v>103</v>
      </c>
      <c r="F980" t="s">
        <v>26</v>
      </c>
      <c r="G980" t="s">
        <v>45</v>
      </c>
      <c r="H980" t="s">
        <v>46</v>
      </c>
      <c r="I980" t="s">
        <v>47</v>
      </c>
      <c r="J980" t="s">
        <v>48</v>
      </c>
      <c r="K980" t="s">
        <v>141</v>
      </c>
      <c r="L980" t="s">
        <v>183</v>
      </c>
      <c r="M980" t="s">
        <v>184</v>
      </c>
      <c r="N980" t="s">
        <v>52</v>
      </c>
      <c r="O980" t="s">
        <v>178</v>
      </c>
      <c r="P980" t="s">
        <v>34</v>
      </c>
      <c r="Q980" t="s">
        <v>167</v>
      </c>
      <c r="R980" t="s">
        <v>179</v>
      </c>
      <c r="S980" t="s">
        <v>169</v>
      </c>
      <c r="T980" t="s">
        <v>180</v>
      </c>
      <c r="U980" s="10" t="s">
        <v>1061</v>
      </c>
      <c r="V980" s="10" t="s">
        <v>1066</v>
      </c>
      <c r="W980" s="10" t="s">
        <v>1066</v>
      </c>
      <c r="X980" s="10" t="s">
        <v>1059</v>
      </c>
      <c r="Y980" t="s">
        <v>39</v>
      </c>
      <c r="Z980" t="s">
        <v>40</v>
      </c>
      <c r="AA980" t="s">
        <v>63</v>
      </c>
    </row>
    <row r="981" spans="1:27" x14ac:dyDescent="0.8">
      <c r="A981">
        <v>1170</v>
      </c>
      <c r="B981">
        <v>1667</v>
      </c>
      <c r="C981" s="2">
        <v>44386</v>
      </c>
      <c r="D981" t="s">
        <v>129</v>
      </c>
      <c r="E981" t="s">
        <v>53</v>
      </c>
      <c r="F981" t="s">
        <v>26</v>
      </c>
      <c r="G981" t="s">
        <v>27</v>
      </c>
      <c r="H981" t="s">
        <v>114</v>
      </c>
      <c r="I981" t="s">
        <v>115</v>
      </c>
      <c r="J981" t="s">
        <v>185</v>
      </c>
      <c r="K981" t="s">
        <v>186</v>
      </c>
      <c r="L981" t="s">
        <v>187</v>
      </c>
      <c r="M981" t="s">
        <v>188</v>
      </c>
      <c r="O981" t="s">
        <v>178</v>
      </c>
      <c r="P981" t="s">
        <v>34</v>
      </c>
      <c r="Q981" t="s">
        <v>167</v>
      </c>
      <c r="R981" t="s">
        <v>179</v>
      </c>
      <c r="S981" t="s">
        <v>169</v>
      </c>
      <c r="T981" t="s">
        <v>180</v>
      </c>
      <c r="U981" s="10" t="s">
        <v>1061</v>
      </c>
      <c r="V981" s="10" t="s">
        <v>1066</v>
      </c>
      <c r="W981" s="10" t="s">
        <v>1066</v>
      </c>
      <c r="X981" s="10" t="s">
        <v>1059</v>
      </c>
      <c r="Y981" t="s">
        <v>39</v>
      </c>
      <c r="Z981" t="s">
        <v>40</v>
      </c>
      <c r="AA981" t="s">
        <v>63</v>
      </c>
    </row>
    <row r="982" spans="1:27" x14ac:dyDescent="0.8">
      <c r="A982">
        <v>1384</v>
      </c>
      <c r="B982">
        <v>2081</v>
      </c>
      <c r="C982" s="2">
        <v>44386</v>
      </c>
      <c r="D982" t="s">
        <v>67</v>
      </c>
      <c r="E982" t="s">
        <v>53</v>
      </c>
      <c r="F982" t="s">
        <v>26</v>
      </c>
      <c r="G982" t="s">
        <v>45</v>
      </c>
      <c r="H982" t="s">
        <v>46</v>
      </c>
      <c r="I982" t="s">
        <v>47</v>
      </c>
      <c r="J982" t="s">
        <v>48</v>
      </c>
      <c r="K982" t="s">
        <v>141</v>
      </c>
      <c r="L982" t="s">
        <v>142</v>
      </c>
      <c r="M982" t="s">
        <v>143</v>
      </c>
      <c r="N982" t="s">
        <v>61</v>
      </c>
      <c r="O982" t="s">
        <v>209</v>
      </c>
      <c r="P982" t="s">
        <v>34</v>
      </c>
      <c r="Q982" t="s">
        <v>35</v>
      </c>
      <c r="R982" t="s">
        <v>210</v>
      </c>
      <c r="S982" t="s">
        <v>211</v>
      </c>
      <c r="T982" t="s">
        <v>212</v>
      </c>
      <c r="U982" s="10" t="s">
        <v>1061</v>
      </c>
      <c r="V982" s="10" t="s">
        <v>1066</v>
      </c>
      <c r="W982" s="10" t="s">
        <v>1066</v>
      </c>
      <c r="X982" s="10" t="s">
        <v>1059</v>
      </c>
      <c r="Y982" t="s">
        <v>39</v>
      </c>
      <c r="Z982" t="s">
        <v>40</v>
      </c>
      <c r="AA982" t="s">
        <v>63</v>
      </c>
    </row>
    <row r="983" spans="1:27" x14ac:dyDescent="0.8">
      <c r="A983">
        <v>838</v>
      </c>
      <c r="B983">
        <v>1415</v>
      </c>
      <c r="C983" s="2">
        <v>44387</v>
      </c>
      <c r="D983" t="s">
        <v>149</v>
      </c>
      <c r="E983" t="s">
        <v>150</v>
      </c>
      <c r="F983" t="s">
        <v>26</v>
      </c>
      <c r="G983" t="s">
        <v>27</v>
      </c>
      <c r="H983" t="s">
        <v>114</v>
      </c>
      <c r="I983" t="s">
        <v>115</v>
      </c>
      <c r="J983" t="s">
        <v>174</v>
      </c>
      <c r="K983" t="s">
        <v>175</v>
      </c>
      <c r="L983" t="s">
        <v>176</v>
      </c>
      <c r="M983" t="s">
        <v>177</v>
      </c>
      <c r="O983" t="s">
        <v>209</v>
      </c>
      <c r="P983" t="s">
        <v>34</v>
      </c>
      <c r="Q983" t="s">
        <v>35</v>
      </c>
      <c r="R983" t="s">
        <v>210</v>
      </c>
      <c r="S983" t="s">
        <v>211</v>
      </c>
      <c r="T983" t="s">
        <v>212</v>
      </c>
      <c r="U983" s="10" t="s">
        <v>1061</v>
      </c>
      <c r="V983" s="10" t="s">
        <v>1066</v>
      </c>
      <c r="W983" s="10" t="s">
        <v>1066</v>
      </c>
      <c r="X983" s="10" t="s">
        <v>1059</v>
      </c>
      <c r="Y983" t="s">
        <v>39</v>
      </c>
      <c r="Z983" t="s">
        <v>40</v>
      </c>
      <c r="AA983" t="s">
        <v>63</v>
      </c>
    </row>
    <row r="984" spans="1:27" x14ac:dyDescent="0.8">
      <c r="A984">
        <v>1330</v>
      </c>
      <c r="B984">
        <v>2413</v>
      </c>
      <c r="C984" s="2">
        <v>44385</v>
      </c>
      <c r="D984" t="s">
        <v>104</v>
      </c>
      <c r="E984" t="s">
        <v>25</v>
      </c>
      <c r="F984" t="s">
        <v>26</v>
      </c>
      <c r="G984" t="s">
        <v>45</v>
      </c>
      <c r="H984" t="s">
        <v>68</v>
      </c>
      <c r="I984" t="s">
        <v>69</v>
      </c>
      <c r="J984" t="s">
        <v>70</v>
      </c>
      <c r="K984" t="s">
        <v>71</v>
      </c>
      <c r="L984" t="s">
        <v>72</v>
      </c>
      <c r="M984" t="s">
        <v>73</v>
      </c>
      <c r="N984" t="s">
        <v>61</v>
      </c>
      <c r="O984" t="s">
        <v>209</v>
      </c>
      <c r="P984" t="s">
        <v>34</v>
      </c>
      <c r="Q984" t="s">
        <v>35</v>
      </c>
      <c r="R984" t="s">
        <v>210</v>
      </c>
      <c r="S984" t="s">
        <v>211</v>
      </c>
      <c r="T984" t="s">
        <v>212</v>
      </c>
      <c r="U984" s="10" t="s">
        <v>1061</v>
      </c>
      <c r="V984" s="10" t="s">
        <v>1066</v>
      </c>
      <c r="W984" s="10" t="s">
        <v>1066</v>
      </c>
      <c r="X984" s="10" t="s">
        <v>1059</v>
      </c>
      <c r="Y984" t="s">
        <v>39</v>
      </c>
      <c r="Z984" t="s">
        <v>62</v>
      </c>
      <c r="AA984" t="s">
        <v>63</v>
      </c>
    </row>
    <row r="985" spans="1:27" x14ac:dyDescent="0.8">
      <c r="A985">
        <v>1304</v>
      </c>
      <c r="B985">
        <v>2001</v>
      </c>
      <c r="C985" s="2">
        <v>44385</v>
      </c>
      <c r="D985" t="s">
        <v>104</v>
      </c>
      <c r="E985" t="s">
        <v>25</v>
      </c>
      <c r="F985" t="s">
        <v>26</v>
      </c>
      <c r="G985" t="s">
        <v>45</v>
      </c>
      <c r="H985" t="s">
        <v>46</v>
      </c>
      <c r="I985" t="s">
        <v>47</v>
      </c>
      <c r="J985" t="s">
        <v>48</v>
      </c>
      <c r="K985" t="s">
        <v>49</v>
      </c>
      <c r="L985" t="s">
        <v>91</v>
      </c>
      <c r="M985" t="s">
        <v>92</v>
      </c>
      <c r="N985" t="s">
        <v>61</v>
      </c>
      <c r="O985" t="s">
        <v>209</v>
      </c>
      <c r="P985" t="s">
        <v>34</v>
      </c>
      <c r="Q985" t="s">
        <v>35</v>
      </c>
      <c r="R985" t="s">
        <v>210</v>
      </c>
      <c r="S985" t="s">
        <v>211</v>
      </c>
      <c r="T985" t="s">
        <v>212</v>
      </c>
      <c r="U985" s="10" t="s">
        <v>1061</v>
      </c>
      <c r="V985" s="10" t="s">
        <v>1066</v>
      </c>
      <c r="W985" s="10" t="s">
        <v>1066</v>
      </c>
      <c r="X985" s="10" t="s">
        <v>1059</v>
      </c>
      <c r="Y985" t="s">
        <v>39</v>
      </c>
      <c r="Z985" t="s">
        <v>40</v>
      </c>
      <c r="AA985" t="s">
        <v>63</v>
      </c>
    </row>
    <row r="986" spans="1:27" x14ac:dyDescent="0.8">
      <c r="A986">
        <v>1200</v>
      </c>
      <c r="B986">
        <v>1747</v>
      </c>
      <c r="C986" s="2">
        <v>44386</v>
      </c>
      <c r="D986" t="s">
        <v>129</v>
      </c>
      <c r="E986" t="s">
        <v>125</v>
      </c>
      <c r="F986" t="s">
        <v>26</v>
      </c>
      <c r="G986" t="s">
        <v>27</v>
      </c>
      <c r="H986" t="s">
        <v>114</v>
      </c>
      <c r="I986" t="s">
        <v>115</v>
      </c>
      <c r="J986" t="s">
        <v>185</v>
      </c>
      <c r="K986" t="s">
        <v>186</v>
      </c>
      <c r="L986" t="s">
        <v>187</v>
      </c>
      <c r="M986" t="s">
        <v>188</v>
      </c>
      <c r="O986" t="s">
        <v>209</v>
      </c>
      <c r="P986" t="s">
        <v>34</v>
      </c>
      <c r="Q986" t="s">
        <v>35</v>
      </c>
      <c r="R986" t="s">
        <v>210</v>
      </c>
      <c r="S986" t="s">
        <v>211</v>
      </c>
      <c r="T986" t="s">
        <v>212</v>
      </c>
      <c r="U986" s="10" t="s">
        <v>1061</v>
      </c>
      <c r="V986" s="10" t="s">
        <v>1066</v>
      </c>
      <c r="W986" s="10" t="s">
        <v>1066</v>
      </c>
      <c r="X986" s="10" t="s">
        <v>1059</v>
      </c>
      <c r="Y986" t="s">
        <v>39</v>
      </c>
      <c r="Z986" t="s">
        <v>40</v>
      </c>
      <c r="AA986" t="s">
        <v>63</v>
      </c>
    </row>
    <row r="987" spans="1:27" x14ac:dyDescent="0.8">
      <c r="A987">
        <v>1214</v>
      </c>
      <c r="B987">
        <v>1761</v>
      </c>
      <c r="C987" s="2">
        <v>44387</v>
      </c>
      <c r="D987" t="s">
        <v>102</v>
      </c>
      <c r="E987" t="s">
        <v>25</v>
      </c>
      <c r="F987" t="s">
        <v>26</v>
      </c>
      <c r="G987" t="s">
        <v>45</v>
      </c>
      <c r="H987" t="s">
        <v>46</v>
      </c>
      <c r="I987" t="s">
        <v>47</v>
      </c>
      <c r="J987" t="s">
        <v>48</v>
      </c>
      <c r="K987" t="s">
        <v>141</v>
      </c>
      <c r="L987" t="s">
        <v>142</v>
      </c>
      <c r="M987" t="s">
        <v>143</v>
      </c>
      <c r="N987" t="s">
        <v>61</v>
      </c>
      <c r="O987" t="s">
        <v>298</v>
      </c>
      <c r="P987" t="s">
        <v>34</v>
      </c>
      <c r="Q987" t="s">
        <v>299</v>
      </c>
      <c r="R987" t="s">
        <v>300</v>
      </c>
      <c r="S987" t="s">
        <v>301</v>
      </c>
      <c r="T987" t="s">
        <v>302</v>
      </c>
      <c r="U987" s="10" t="s">
        <v>1061</v>
      </c>
      <c r="V987" s="10" t="s">
        <v>1066</v>
      </c>
      <c r="W987" s="10" t="s">
        <v>1066</v>
      </c>
      <c r="X987" s="10" t="s">
        <v>1059</v>
      </c>
      <c r="Y987" t="s">
        <v>140</v>
      </c>
      <c r="Z987" t="s">
        <v>40</v>
      </c>
      <c r="AA987" t="s">
        <v>63</v>
      </c>
    </row>
    <row r="988" spans="1:27" x14ac:dyDescent="0.8">
      <c r="A988">
        <v>1184</v>
      </c>
      <c r="B988">
        <v>1731</v>
      </c>
      <c r="C988" s="2">
        <v>44386</v>
      </c>
      <c r="D988" t="s">
        <v>129</v>
      </c>
      <c r="E988" t="s">
        <v>44</v>
      </c>
      <c r="F988" t="s">
        <v>26</v>
      </c>
      <c r="G988" t="s">
        <v>45</v>
      </c>
      <c r="H988" t="s">
        <v>46</v>
      </c>
      <c r="I988" t="s">
        <v>47</v>
      </c>
      <c r="J988" t="s">
        <v>48</v>
      </c>
      <c r="K988" t="s">
        <v>141</v>
      </c>
      <c r="L988" t="s">
        <v>303</v>
      </c>
      <c r="M988" t="s">
        <v>304</v>
      </c>
      <c r="N988" t="s">
        <v>52</v>
      </c>
      <c r="O988" t="s">
        <v>305</v>
      </c>
      <c r="P988" t="s">
        <v>85</v>
      </c>
      <c r="Q988" t="s">
        <v>299</v>
      </c>
      <c r="R988" t="s">
        <v>300</v>
      </c>
      <c r="S988" t="s">
        <v>301</v>
      </c>
      <c r="T988" t="s">
        <v>302</v>
      </c>
      <c r="U988" s="10" t="s">
        <v>1061</v>
      </c>
      <c r="V988" s="10" t="s">
        <v>1066</v>
      </c>
      <c r="W988" s="10" t="s">
        <v>1066</v>
      </c>
      <c r="X988" s="10" t="s">
        <v>1059</v>
      </c>
      <c r="Y988" t="s">
        <v>39</v>
      </c>
      <c r="Z988" t="s">
        <v>40</v>
      </c>
      <c r="AA988" t="s">
        <v>63</v>
      </c>
    </row>
    <row r="989" spans="1:27" x14ac:dyDescent="0.8">
      <c r="A989">
        <v>646</v>
      </c>
      <c r="B989">
        <v>983</v>
      </c>
      <c r="C989" s="2">
        <v>44384</v>
      </c>
      <c r="D989" t="s">
        <v>306</v>
      </c>
      <c r="E989" t="s">
        <v>125</v>
      </c>
      <c r="F989" t="s">
        <v>26</v>
      </c>
      <c r="G989" t="s">
        <v>27</v>
      </c>
      <c r="H989" t="s">
        <v>114</v>
      </c>
      <c r="I989" t="s">
        <v>115</v>
      </c>
      <c r="J989" t="s">
        <v>116</v>
      </c>
      <c r="K989" t="s">
        <v>307</v>
      </c>
      <c r="L989" t="s">
        <v>308</v>
      </c>
      <c r="M989" t="s">
        <v>309</v>
      </c>
      <c r="O989" t="s">
        <v>298</v>
      </c>
      <c r="P989" t="s">
        <v>85</v>
      </c>
      <c r="Q989" t="s">
        <v>299</v>
      </c>
      <c r="R989" t="s">
        <v>300</v>
      </c>
      <c r="S989" t="s">
        <v>301</v>
      </c>
      <c r="T989" t="s">
        <v>302</v>
      </c>
      <c r="U989" s="10" t="s">
        <v>1061</v>
      </c>
      <c r="V989" s="10" t="s">
        <v>1066</v>
      </c>
      <c r="W989" s="10" t="s">
        <v>1066</v>
      </c>
      <c r="X989" s="10" t="s">
        <v>1059</v>
      </c>
      <c r="Y989" t="s">
        <v>39</v>
      </c>
      <c r="Z989" t="s">
        <v>40</v>
      </c>
      <c r="AA989" t="s">
        <v>63</v>
      </c>
    </row>
    <row r="990" spans="1:27" x14ac:dyDescent="0.8">
      <c r="A990">
        <v>818</v>
      </c>
      <c r="B990">
        <v>1395</v>
      </c>
      <c r="C990" s="2">
        <v>44387</v>
      </c>
      <c r="D990" t="s">
        <v>149</v>
      </c>
      <c r="E990" t="s">
        <v>25</v>
      </c>
      <c r="F990" t="s">
        <v>26</v>
      </c>
      <c r="G990" t="s">
        <v>27</v>
      </c>
      <c r="H990" t="s">
        <v>114</v>
      </c>
      <c r="I990" t="s">
        <v>115</v>
      </c>
      <c r="J990" t="s">
        <v>174</v>
      </c>
      <c r="K990" t="s">
        <v>175</v>
      </c>
      <c r="L990" t="s">
        <v>176</v>
      </c>
      <c r="M990" t="s">
        <v>177</v>
      </c>
      <c r="O990" t="s">
        <v>362</v>
      </c>
      <c r="P990" t="s">
        <v>326</v>
      </c>
      <c r="Q990" t="s">
        <v>167</v>
      </c>
      <c r="R990" t="s">
        <v>363</v>
      </c>
      <c r="S990" t="s">
        <v>364</v>
      </c>
      <c r="T990" t="s">
        <v>365</v>
      </c>
      <c r="U990" s="10" t="s">
        <v>1061</v>
      </c>
      <c r="V990" s="10" t="s">
        <v>1066</v>
      </c>
      <c r="W990" s="10" t="s">
        <v>1066</v>
      </c>
      <c r="X990" s="10" t="s">
        <v>1059</v>
      </c>
      <c r="Y990" t="s">
        <v>39</v>
      </c>
      <c r="Z990" t="s">
        <v>40</v>
      </c>
      <c r="AA990" t="s">
        <v>63</v>
      </c>
    </row>
    <row r="991" spans="1:27" x14ac:dyDescent="0.8">
      <c r="A991">
        <v>1017</v>
      </c>
      <c r="B991">
        <v>1373</v>
      </c>
      <c r="C991" s="2">
        <v>44385</v>
      </c>
      <c r="D991" t="s">
        <v>203</v>
      </c>
      <c r="E991" t="s">
        <v>103</v>
      </c>
      <c r="F991" t="s">
        <v>26</v>
      </c>
      <c r="G991" t="s">
        <v>27</v>
      </c>
      <c r="H991" t="s">
        <v>114</v>
      </c>
      <c r="I991" t="s">
        <v>115</v>
      </c>
      <c r="J991" t="s">
        <v>116</v>
      </c>
      <c r="K991" t="s">
        <v>307</v>
      </c>
      <c r="L991" t="s">
        <v>366</v>
      </c>
      <c r="M991" t="s">
        <v>367</v>
      </c>
      <c r="O991" t="s">
        <v>362</v>
      </c>
      <c r="P991" t="s">
        <v>326</v>
      </c>
      <c r="Q991" t="s">
        <v>167</v>
      </c>
      <c r="R991" t="s">
        <v>363</v>
      </c>
      <c r="S991" t="s">
        <v>364</v>
      </c>
      <c r="T991" t="s">
        <v>365</v>
      </c>
      <c r="U991" s="10" t="s">
        <v>1061</v>
      </c>
      <c r="V991" s="10" t="s">
        <v>1066</v>
      </c>
      <c r="W991" s="10" t="s">
        <v>1066</v>
      </c>
      <c r="X991" s="10" t="s">
        <v>1059</v>
      </c>
      <c r="Y991" t="s">
        <v>39</v>
      </c>
      <c r="Z991" t="s">
        <v>40</v>
      </c>
      <c r="AA991" t="s">
        <v>63</v>
      </c>
    </row>
    <row r="992" spans="1:27" x14ac:dyDescent="0.8">
      <c r="A992">
        <v>982</v>
      </c>
      <c r="B992">
        <v>1290</v>
      </c>
      <c r="C992" s="2">
        <v>44385</v>
      </c>
      <c r="D992" t="s">
        <v>203</v>
      </c>
      <c r="E992" t="s">
        <v>103</v>
      </c>
      <c r="F992" t="s">
        <v>26</v>
      </c>
      <c r="G992" t="s">
        <v>27</v>
      </c>
      <c r="H992" t="s">
        <v>114</v>
      </c>
      <c r="I992" t="s">
        <v>115</v>
      </c>
      <c r="J992" t="s">
        <v>116</v>
      </c>
      <c r="K992" t="s">
        <v>117</v>
      </c>
      <c r="L992" t="s">
        <v>195</v>
      </c>
      <c r="M992" t="s">
        <v>196</v>
      </c>
      <c r="O992" t="s">
        <v>362</v>
      </c>
      <c r="P992" t="s">
        <v>326</v>
      </c>
      <c r="Q992" t="s">
        <v>167</v>
      </c>
      <c r="R992" t="s">
        <v>363</v>
      </c>
      <c r="S992" t="s">
        <v>364</v>
      </c>
      <c r="T992" t="s">
        <v>365</v>
      </c>
      <c r="U992" s="10" t="s">
        <v>1061</v>
      </c>
      <c r="V992" s="10" t="s">
        <v>1066</v>
      </c>
      <c r="W992" s="10" t="s">
        <v>1066</v>
      </c>
      <c r="X992" s="10" t="s">
        <v>1059</v>
      </c>
      <c r="Y992" t="s">
        <v>39</v>
      </c>
      <c r="Z992" t="s">
        <v>40</v>
      </c>
      <c r="AA992" t="s">
        <v>63</v>
      </c>
    </row>
    <row r="993" spans="1:28" x14ac:dyDescent="0.8">
      <c r="A993">
        <v>1567</v>
      </c>
      <c r="B993">
        <v>312</v>
      </c>
      <c r="C993" s="2">
        <v>44386</v>
      </c>
      <c r="D993" t="s">
        <v>93</v>
      </c>
      <c r="E993" t="s">
        <v>25</v>
      </c>
      <c r="F993" t="s">
        <v>26</v>
      </c>
      <c r="G993" t="s">
        <v>45</v>
      </c>
      <c r="H993" t="s">
        <v>55</v>
      </c>
      <c r="I993" t="s">
        <v>56</v>
      </c>
      <c r="J993" t="s">
        <v>57</v>
      </c>
      <c r="K993" t="s">
        <v>58</v>
      </c>
      <c r="L993" t="s">
        <v>59</v>
      </c>
      <c r="M993" t="s">
        <v>60</v>
      </c>
      <c r="N993" t="s">
        <v>61</v>
      </c>
      <c r="O993" t="s">
        <v>514</v>
      </c>
      <c r="P993" t="s">
        <v>326</v>
      </c>
      <c r="Q993" t="s">
        <v>167</v>
      </c>
      <c r="R993" t="s">
        <v>515</v>
      </c>
      <c r="S993" t="s">
        <v>516</v>
      </c>
      <c r="T993" t="s">
        <v>517</v>
      </c>
      <c r="U993" s="10" t="s">
        <v>1061</v>
      </c>
      <c r="V993" s="10" t="s">
        <v>1066</v>
      </c>
      <c r="W993" s="10" t="s">
        <v>1066</v>
      </c>
      <c r="X993" s="10" t="s">
        <v>1059</v>
      </c>
      <c r="Y993" t="s">
        <v>39</v>
      </c>
      <c r="Z993" t="s">
        <v>62</v>
      </c>
      <c r="AA993" t="s">
        <v>125</v>
      </c>
      <c r="AB993" t="s">
        <v>518</v>
      </c>
    </row>
    <row r="994" spans="1:28" x14ac:dyDescent="0.8">
      <c r="A994">
        <v>1568</v>
      </c>
      <c r="B994">
        <v>313</v>
      </c>
      <c r="C994" s="2">
        <v>44386</v>
      </c>
      <c r="D994" t="s">
        <v>93</v>
      </c>
      <c r="E994" t="s">
        <v>25</v>
      </c>
      <c r="F994" t="s">
        <v>26</v>
      </c>
      <c r="G994" t="s">
        <v>45</v>
      </c>
      <c r="H994" t="s">
        <v>55</v>
      </c>
      <c r="I994" t="s">
        <v>56</v>
      </c>
      <c r="J994" t="s">
        <v>57</v>
      </c>
      <c r="K994" t="s">
        <v>58</v>
      </c>
      <c r="L994" t="s">
        <v>426</v>
      </c>
      <c r="M994" t="s">
        <v>519</v>
      </c>
      <c r="N994" t="s">
        <v>52</v>
      </c>
      <c r="O994" t="s">
        <v>514</v>
      </c>
      <c r="P994" t="s">
        <v>326</v>
      </c>
      <c r="Q994" t="s">
        <v>167</v>
      </c>
      <c r="R994" t="s">
        <v>515</v>
      </c>
      <c r="S994" t="s">
        <v>516</v>
      </c>
      <c r="T994" t="s">
        <v>517</v>
      </c>
      <c r="U994" s="10" t="s">
        <v>1061</v>
      </c>
      <c r="V994" s="10" t="s">
        <v>1066</v>
      </c>
      <c r="W994" s="10" t="s">
        <v>1066</v>
      </c>
      <c r="X994" s="10" t="s">
        <v>1059</v>
      </c>
      <c r="Y994" t="s">
        <v>39</v>
      </c>
      <c r="Z994" t="s">
        <v>62</v>
      </c>
      <c r="AA994" t="s">
        <v>125</v>
      </c>
      <c r="AB994" t="s">
        <v>518</v>
      </c>
    </row>
    <row r="995" spans="1:28" x14ac:dyDescent="0.8">
      <c r="A995">
        <v>1428</v>
      </c>
      <c r="B995">
        <v>2175</v>
      </c>
      <c r="C995" s="2">
        <v>44387</v>
      </c>
      <c r="D995" t="s">
        <v>173</v>
      </c>
      <c r="E995" t="s">
        <v>103</v>
      </c>
      <c r="F995" t="s">
        <v>26</v>
      </c>
      <c r="G995" t="s">
        <v>27</v>
      </c>
      <c r="H995" t="s">
        <v>114</v>
      </c>
      <c r="I995" t="s">
        <v>115</v>
      </c>
      <c r="J995" t="s">
        <v>185</v>
      </c>
      <c r="K995" t="s">
        <v>186</v>
      </c>
      <c r="L995" t="s">
        <v>421</v>
      </c>
      <c r="M995" t="s">
        <v>422</v>
      </c>
      <c r="O995" t="s">
        <v>514</v>
      </c>
      <c r="P995" t="s">
        <v>326</v>
      </c>
      <c r="Q995" t="s">
        <v>167</v>
      </c>
      <c r="R995" t="s">
        <v>515</v>
      </c>
      <c r="S995" t="s">
        <v>516</v>
      </c>
      <c r="T995" t="s">
        <v>517</v>
      </c>
      <c r="U995" s="10" t="s">
        <v>1061</v>
      </c>
      <c r="V995" s="10" t="s">
        <v>1066</v>
      </c>
      <c r="W995" s="10" t="s">
        <v>1066</v>
      </c>
      <c r="X995" s="10" t="s">
        <v>1059</v>
      </c>
      <c r="Y995" t="s">
        <v>39</v>
      </c>
      <c r="Z995" t="s">
        <v>40</v>
      </c>
      <c r="AA995" t="s">
        <v>63</v>
      </c>
      <c r="AB995" t="s">
        <v>520</v>
      </c>
    </row>
    <row r="996" spans="1:28" x14ac:dyDescent="0.8">
      <c r="A996">
        <v>1429</v>
      </c>
      <c r="B996">
        <v>2176</v>
      </c>
      <c r="C996" s="2">
        <v>44387</v>
      </c>
      <c r="D996" t="s">
        <v>173</v>
      </c>
      <c r="E996" t="s">
        <v>103</v>
      </c>
      <c r="F996" t="s">
        <v>26</v>
      </c>
      <c r="G996" t="s">
        <v>27</v>
      </c>
      <c r="H996" t="s">
        <v>114</v>
      </c>
      <c r="I996" t="s">
        <v>115</v>
      </c>
      <c r="J996" t="s">
        <v>185</v>
      </c>
      <c r="K996" t="s">
        <v>186</v>
      </c>
      <c r="L996" t="s">
        <v>187</v>
      </c>
      <c r="M996" t="s">
        <v>188</v>
      </c>
      <c r="O996" t="s">
        <v>514</v>
      </c>
      <c r="P996" t="s">
        <v>326</v>
      </c>
      <c r="Q996" t="s">
        <v>167</v>
      </c>
      <c r="R996" t="s">
        <v>515</v>
      </c>
      <c r="S996" t="s">
        <v>516</v>
      </c>
      <c r="T996" t="s">
        <v>517</v>
      </c>
      <c r="U996" s="10" t="s">
        <v>1061</v>
      </c>
      <c r="V996" s="10" t="s">
        <v>1066</v>
      </c>
      <c r="W996" s="10" t="s">
        <v>1066</v>
      </c>
      <c r="X996" s="10" t="s">
        <v>1059</v>
      </c>
      <c r="Y996" t="s">
        <v>39</v>
      </c>
      <c r="Z996" t="s">
        <v>40</v>
      </c>
      <c r="AA996" t="s">
        <v>63</v>
      </c>
      <c r="AB996" t="s">
        <v>520</v>
      </c>
    </row>
    <row r="997" spans="1:28" x14ac:dyDescent="0.8">
      <c r="A997">
        <v>1778</v>
      </c>
      <c r="B997">
        <v>1496</v>
      </c>
      <c r="C997" s="2">
        <v>44387</v>
      </c>
      <c r="D997" t="s">
        <v>173</v>
      </c>
      <c r="E997" t="s">
        <v>25</v>
      </c>
      <c r="F997" t="s">
        <v>26</v>
      </c>
      <c r="G997" t="s">
        <v>27</v>
      </c>
      <c r="H997" t="s">
        <v>114</v>
      </c>
      <c r="I997" t="s">
        <v>115</v>
      </c>
      <c r="J997" t="s">
        <v>120</v>
      </c>
      <c r="K997" t="s">
        <v>121</v>
      </c>
      <c r="L997" t="s">
        <v>122</v>
      </c>
      <c r="M997" t="s">
        <v>123</v>
      </c>
      <c r="O997" t="s">
        <v>514</v>
      </c>
      <c r="P997" t="s">
        <v>326</v>
      </c>
      <c r="Q997" t="s">
        <v>167</v>
      </c>
      <c r="R997" t="s">
        <v>515</v>
      </c>
      <c r="S997" t="s">
        <v>516</v>
      </c>
      <c r="T997" t="s">
        <v>517</v>
      </c>
      <c r="U997" s="10" t="s">
        <v>1061</v>
      </c>
      <c r="V997" s="10" t="s">
        <v>1066</v>
      </c>
      <c r="W997" s="10" t="s">
        <v>1066</v>
      </c>
      <c r="X997" s="10" t="s">
        <v>1059</v>
      </c>
      <c r="Y997" t="s">
        <v>39</v>
      </c>
      <c r="Z997" t="s">
        <v>202</v>
      </c>
      <c r="AA997" t="s">
        <v>41</v>
      </c>
    </row>
    <row r="998" spans="1:28" x14ac:dyDescent="0.8">
      <c r="A998">
        <v>1422</v>
      </c>
      <c r="B998">
        <v>2169</v>
      </c>
      <c r="C998" s="2">
        <v>44387</v>
      </c>
      <c r="D998" t="s">
        <v>173</v>
      </c>
      <c r="E998" t="s">
        <v>103</v>
      </c>
      <c r="F998" t="s">
        <v>26</v>
      </c>
      <c r="G998" t="s">
        <v>27</v>
      </c>
      <c r="H998" t="s">
        <v>114</v>
      </c>
      <c r="I998" t="s">
        <v>115</v>
      </c>
      <c r="J998" t="s">
        <v>120</v>
      </c>
      <c r="K998" t="s">
        <v>121</v>
      </c>
      <c r="L998" t="s">
        <v>122</v>
      </c>
      <c r="M998" t="s">
        <v>123</v>
      </c>
      <c r="O998" t="s">
        <v>514</v>
      </c>
      <c r="P998" t="s">
        <v>326</v>
      </c>
      <c r="Q998" t="s">
        <v>167</v>
      </c>
      <c r="R998" t="s">
        <v>515</v>
      </c>
      <c r="S998" t="s">
        <v>516</v>
      </c>
      <c r="T998" t="s">
        <v>517</v>
      </c>
      <c r="U998" s="10" t="s">
        <v>1061</v>
      </c>
      <c r="V998" s="10" t="s">
        <v>1066</v>
      </c>
      <c r="W998" s="10" t="s">
        <v>1066</v>
      </c>
      <c r="X998" s="10" t="s">
        <v>1059</v>
      </c>
      <c r="Y998" t="s">
        <v>39</v>
      </c>
      <c r="Z998" t="s">
        <v>40</v>
      </c>
      <c r="AA998" t="s">
        <v>63</v>
      </c>
    </row>
    <row r="999" spans="1:28" x14ac:dyDescent="0.8">
      <c r="A999">
        <v>1425</v>
      </c>
      <c r="B999">
        <v>2172</v>
      </c>
      <c r="C999" s="2">
        <v>44387</v>
      </c>
      <c r="D999" t="s">
        <v>173</v>
      </c>
      <c r="E999" t="s">
        <v>103</v>
      </c>
      <c r="F999" t="s">
        <v>26</v>
      </c>
      <c r="G999" t="s">
        <v>45</v>
      </c>
      <c r="H999" t="s">
        <v>55</v>
      </c>
      <c r="I999" t="s">
        <v>56</v>
      </c>
      <c r="J999" t="s">
        <v>57</v>
      </c>
      <c r="K999" t="s">
        <v>58</v>
      </c>
      <c r="L999" t="s">
        <v>59</v>
      </c>
      <c r="M999" t="s">
        <v>60</v>
      </c>
      <c r="N999" t="s">
        <v>61</v>
      </c>
      <c r="O999" t="s">
        <v>514</v>
      </c>
      <c r="P999" t="s">
        <v>326</v>
      </c>
      <c r="Q999" t="s">
        <v>167</v>
      </c>
      <c r="R999" t="s">
        <v>515</v>
      </c>
      <c r="S999" t="s">
        <v>516</v>
      </c>
      <c r="T999" t="s">
        <v>517</v>
      </c>
      <c r="U999" s="10" t="s">
        <v>1061</v>
      </c>
      <c r="V999" s="10" t="s">
        <v>1066</v>
      </c>
      <c r="W999" s="10" t="s">
        <v>1066</v>
      </c>
      <c r="X999" s="10" t="s">
        <v>1059</v>
      </c>
      <c r="Y999" t="s">
        <v>39</v>
      </c>
      <c r="Z999" t="s">
        <v>40</v>
      </c>
      <c r="AA999" t="s">
        <v>63</v>
      </c>
    </row>
    <row r="1000" spans="1:28" x14ac:dyDescent="0.8">
      <c r="A1000">
        <v>99</v>
      </c>
      <c r="B1000">
        <v>106</v>
      </c>
      <c r="C1000" s="2">
        <v>44386</v>
      </c>
      <c r="D1000" t="s">
        <v>43</v>
      </c>
      <c r="E1000" t="s">
        <v>25</v>
      </c>
      <c r="F1000" t="s">
        <v>26</v>
      </c>
      <c r="G1000" t="s">
        <v>45</v>
      </c>
      <c r="H1000" t="s">
        <v>55</v>
      </c>
      <c r="I1000" t="s">
        <v>56</v>
      </c>
      <c r="J1000" t="s">
        <v>57</v>
      </c>
      <c r="K1000" t="s">
        <v>58</v>
      </c>
      <c r="L1000" t="s">
        <v>521</v>
      </c>
      <c r="M1000" t="s">
        <v>522</v>
      </c>
      <c r="O1000" t="s">
        <v>514</v>
      </c>
      <c r="P1000" t="s">
        <v>326</v>
      </c>
      <c r="Q1000" t="s">
        <v>167</v>
      </c>
      <c r="R1000" t="s">
        <v>515</v>
      </c>
      <c r="S1000" t="s">
        <v>516</v>
      </c>
      <c r="T1000" t="s">
        <v>517</v>
      </c>
      <c r="U1000" s="10" t="s">
        <v>1061</v>
      </c>
      <c r="V1000" s="10" t="s">
        <v>1066</v>
      </c>
      <c r="W1000" s="10" t="s">
        <v>1066</v>
      </c>
      <c r="X1000" s="10" t="s">
        <v>1059</v>
      </c>
      <c r="Y1000" t="s">
        <v>39</v>
      </c>
      <c r="Z1000" t="s">
        <v>40</v>
      </c>
      <c r="AA1000" t="s">
        <v>44</v>
      </c>
    </row>
    <row r="1001" spans="1:28" x14ac:dyDescent="0.8">
      <c r="A1001">
        <v>271</v>
      </c>
      <c r="B1001">
        <v>43</v>
      </c>
      <c r="C1001" s="2">
        <v>44386</v>
      </c>
      <c r="D1001" t="s">
        <v>43</v>
      </c>
      <c r="E1001" t="s">
        <v>25</v>
      </c>
      <c r="F1001" t="s">
        <v>26</v>
      </c>
      <c r="G1001" t="s">
        <v>45</v>
      </c>
      <c r="H1001" t="s">
        <v>55</v>
      </c>
      <c r="I1001" t="s">
        <v>56</v>
      </c>
      <c r="J1001" t="s">
        <v>57</v>
      </c>
      <c r="K1001" t="s">
        <v>58</v>
      </c>
      <c r="L1001" t="s">
        <v>112</v>
      </c>
      <c r="M1001" t="s">
        <v>488</v>
      </c>
      <c r="N1001" t="s">
        <v>61</v>
      </c>
      <c r="O1001" t="s">
        <v>514</v>
      </c>
      <c r="P1001" t="s">
        <v>326</v>
      </c>
      <c r="Q1001" t="s">
        <v>167</v>
      </c>
      <c r="R1001" t="s">
        <v>515</v>
      </c>
      <c r="S1001" t="s">
        <v>516</v>
      </c>
      <c r="T1001" t="s">
        <v>517</v>
      </c>
      <c r="U1001" s="10" t="s">
        <v>1061</v>
      </c>
      <c r="V1001" s="10" t="s">
        <v>1066</v>
      </c>
      <c r="W1001" s="10" t="s">
        <v>1066</v>
      </c>
      <c r="X1001" s="10" t="s">
        <v>1059</v>
      </c>
      <c r="Y1001" t="s">
        <v>39</v>
      </c>
      <c r="Z1001" t="s">
        <v>40</v>
      </c>
      <c r="AA1001" t="s">
        <v>53</v>
      </c>
    </row>
    <row r="1002" spans="1:28" x14ac:dyDescent="0.8">
      <c r="A1002">
        <v>101</v>
      </c>
      <c r="B1002">
        <v>108</v>
      </c>
      <c r="C1002" s="2">
        <v>44386</v>
      </c>
      <c r="D1002" t="s">
        <v>43</v>
      </c>
      <c r="E1002" t="s">
        <v>25</v>
      </c>
      <c r="F1002" t="s">
        <v>26</v>
      </c>
      <c r="G1002" t="s">
        <v>45</v>
      </c>
      <c r="H1002" t="s">
        <v>55</v>
      </c>
      <c r="I1002" t="s">
        <v>56</v>
      </c>
      <c r="J1002" t="s">
        <v>57</v>
      </c>
      <c r="K1002" t="s">
        <v>58</v>
      </c>
      <c r="L1002" t="s">
        <v>112</v>
      </c>
      <c r="M1002" t="s">
        <v>488</v>
      </c>
      <c r="N1002" t="s">
        <v>61</v>
      </c>
      <c r="O1002" t="s">
        <v>514</v>
      </c>
      <c r="P1002" t="s">
        <v>326</v>
      </c>
      <c r="Q1002" t="s">
        <v>167</v>
      </c>
      <c r="R1002" t="s">
        <v>515</v>
      </c>
      <c r="S1002" t="s">
        <v>516</v>
      </c>
      <c r="T1002" t="s">
        <v>517</v>
      </c>
      <c r="U1002" s="10" t="s">
        <v>1061</v>
      </c>
      <c r="V1002" s="10" t="s">
        <v>1066</v>
      </c>
      <c r="W1002" s="10" t="s">
        <v>1066</v>
      </c>
      <c r="X1002" s="10" t="s">
        <v>1059</v>
      </c>
      <c r="Y1002" t="s">
        <v>39</v>
      </c>
      <c r="Z1002" t="s">
        <v>40</v>
      </c>
      <c r="AA1002" t="s">
        <v>44</v>
      </c>
    </row>
    <row r="1003" spans="1:28" x14ac:dyDescent="0.8">
      <c r="A1003">
        <v>97</v>
      </c>
      <c r="B1003">
        <v>104</v>
      </c>
      <c r="C1003" s="2">
        <v>44386</v>
      </c>
      <c r="D1003" t="s">
        <v>43</v>
      </c>
      <c r="E1003" t="s">
        <v>25</v>
      </c>
      <c r="F1003" t="s">
        <v>26</v>
      </c>
      <c r="G1003" t="s">
        <v>45</v>
      </c>
      <c r="H1003" t="s">
        <v>55</v>
      </c>
      <c r="I1003" t="s">
        <v>56</v>
      </c>
      <c r="J1003" t="s">
        <v>57</v>
      </c>
      <c r="K1003" t="s">
        <v>58</v>
      </c>
      <c r="L1003" t="s">
        <v>59</v>
      </c>
      <c r="M1003" t="s">
        <v>60</v>
      </c>
      <c r="O1003" t="s">
        <v>514</v>
      </c>
      <c r="P1003" t="s">
        <v>326</v>
      </c>
      <c r="Q1003" t="s">
        <v>167</v>
      </c>
      <c r="R1003" t="s">
        <v>515</v>
      </c>
      <c r="S1003" t="s">
        <v>516</v>
      </c>
      <c r="T1003" t="s">
        <v>517</v>
      </c>
      <c r="U1003" s="10" t="s">
        <v>1061</v>
      </c>
      <c r="V1003" s="10" t="s">
        <v>1066</v>
      </c>
      <c r="W1003" s="10" t="s">
        <v>1066</v>
      </c>
      <c r="X1003" s="10" t="s">
        <v>1059</v>
      </c>
      <c r="Y1003" t="s">
        <v>39</v>
      </c>
      <c r="Z1003" t="s">
        <v>40</v>
      </c>
      <c r="AA1003" t="s">
        <v>44</v>
      </c>
    </row>
    <row r="1004" spans="1:28" x14ac:dyDescent="0.8">
      <c r="A1004">
        <v>102</v>
      </c>
      <c r="B1004">
        <v>109</v>
      </c>
      <c r="C1004" s="2">
        <v>44386</v>
      </c>
      <c r="D1004" t="s">
        <v>43</v>
      </c>
      <c r="E1004" t="s">
        <v>25</v>
      </c>
      <c r="F1004" t="s">
        <v>26</v>
      </c>
      <c r="G1004" t="s">
        <v>45</v>
      </c>
      <c r="H1004" t="s">
        <v>55</v>
      </c>
      <c r="I1004" t="s">
        <v>56</v>
      </c>
      <c r="J1004" t="s">
        <v>57</v>
      </c>
      <c r="K1004" t="s">
        <v>58</v>
      </c>
      <c r="L1004" t="s">
        <v>65</v>
      </c>
      <c r="M1004" t="s">
        <v>66</v>
      </c>
      <c r="N1004" t="s">
        <v>52</v>
      </c>
      <c r="O1004" t="s">
        <v>514</v>
      </c>
      <c r="P1004" t="s">
        <v>326</v>
      </c>
      <c r="Q1004" t="s">
        <v>167</v>
      </c>
      <c r="R1004" t="s">
        <v>515</v>
      </c>
      <c r="S1004" t="s">
        <v>516</v>
      </c>
      <c r="T1004" t="s">
        <v>517</v>
      </c>
      <c r="U1004" s="10" t="s">
        <v>1061</v>
      </c>
      <c r="V1004" s="10" t="s">
        <v>1066</v>
      </c>
      <c r="W1004" s="10" t="s">
        <v>1066</v>
      </c>
      <c r="X1004" s="10" t="s">
        <v>1059</v>
      </c>
      <c r="Y1004" t="s">
        <v>39</v>
      </c>
      <c r="Z1004" t="s">
        <v>40</v>
      </c>
      <c r="AA1004" t="s">
        <v>44</v>
      </c>
    </row>
    <row r="1005" spans="1:28" x14ac:dyDescent="0.8">
      <c r="A1005">
        <v>98</v>
      </c>
      <c r="B1005">
        <v>105</v>
      </c>
      <c r="C1005" s="2">
        <v>44386</v>
      </c>
      <c r="D1005" t="s">
        <v>43</v>
      </c>
      <c r="E1005" t="s">
        <v>25</v>
      </c>
      <c r="F1005" t="s">
        <v>26</v>
      </c>
      <c r="G1005" t="s">
        <v>45</v>
      </c>
      <c r="H1005" t="s">
        <v>55</v>
      </c>
      <c r="I1005" t="s">
        <v>56</v>
      </c>
      <c r="J1005" t="s">
        <v>57</v>
      </c>
      <c r="K1005" t="s">
        <v>58</v>
      </c>
      <c r="L1005" t="s">
        <v>171</v>
      </c>
      <c r="M1005" t="s">
        <v>172</v>
      </c>
      <c r="N1005" t="s">
        <v>52</v>
      </c>
      <c r="O1005" t="s">
        <v>514</v>
      </c>
      <c r="P1005" t="s">
        <v>326</v>
      </c>
      <c r="Q1005" t="s">
        <v>167</v>
      </c>
      <c r="R1005" t="s">
        <v>515</v>
      </c>
      <c r="S1005" t="s">
        <v>516</v>
      </c>
      <c r="T1005" t="s">
        <v>517</v>
      </c>
      <c r="U1005" s="10" t="s">
        <v>1061</v>
      </c>
      <c r="V1005" s="10" t="s">
        <v>1066</v>
      </c>
      <c r="W1005" s="10" t="s">
        <v>1066</v>
      </c>
      <c r="X1005" s="10" t="s">
        <v>1059</v>
      </c>
      <c r="Y1005" t="s">
        <v>39</v>
      </c>
      <c r="Z1005" t="s">
        <v>40</v>
      </c>
      <c r="AA1005" t="s">
        <v>44</v>
      </c>
    </row>
    <row r="1006" spans="1:28" x14ac:dyDescent="0.8">
      <c r="A1006">
        <v>285</v>
      </c>
      <c r="B1006">
        <v>899</v>
      </c>
      <c r="C1006" s="2">
        <v>44386</v>
      </c>
      <c r="D1006" t="s">
        <v>43</v>
      </c>
      <c r="E1006" t="s">
        <v>63</v>
      </c>
      <c r="F1006" t="s">
        <v>26</v>
      </c>
      <c r="G1006" t="s">
        <v>45</v>
      </c>
      <c r="H1006" t="s">
        <v>46</v>
      </c>
      <c r="I1006" t="s">
        <v>47</v>
      </c>
      <c r="J1006" t="s">
        <v>48</v>
      </c>
      <c r="K1006" t="s">
        <v>49</v>
      </c>
      <c r="L1006" t="s">
        <v>50</v>
      </c>
      <c r="M1006" t="s">
        <v>51</v>
      </c>
      <c r="N1006" t="s">
        <v>61</v>
      </c>
      <c r="O1006" t="s">
        <v>514</v>
      </c>
      <c r="P1006" t="s">
        <v>326</v>
      </c>
      <c r="Q1006" t="s">
        <v>167</v>
      </c>
      <c r="R1006" t="s">
        <v>515</v>
      </c>
      <c r="S1006" t="s">
        <v>516</v>
      </c>
      <c r="T1006" t="s">
        <v>517</v>
      </c>
      <c r="U1006" s="10" t="s">
        <v>1061</v>
      </c>
      <c r="V1006" s="10" t="s">
        <v>1066</v>
      </c>
      <c r="W1006" s="10" t="s">
        <v>1066</v>
      </c>
      <c r="X1006" s="10" t="s">
        <v>1059</v>
      </c>
      <c r="Y1006" t="s">
        <v>39</v>
      </c>
      <c r="Z1006" t="s">
        <v>40</v>
      </c>
      <c r="AA1006" t="s">
        <v>53</v>
      </c>
    </row>
    <row r="1007" spans="1:28" x14ac:dyDescent="0.8">
      <c r="A1007">
        <v>100</v>
      </c>
      <c r="B1007">
        <v>107</v>
      </c>
      <c r="C1007" s="2">
        <v>44386</v>
      </c>
      <c r="D1007" t="s">
        <v>43</v>
      </c>
      <c r="E1007" t="s">
        <v>25</v>
      </c>
      <c r="F1007" t="s">
        <v>26</v>
      </c>
      <c r="G1007" t="s">
        <v>45</v>
      </c>
      <c r="H1007" t="s">
        <v>46</v>
      </c>
      <c r="I1007" t="s">
        <v>47</v>
      </c>
      <c r="J1007" t="s">
        <v>48</v>
      </c>
      <c r="K1007" t="s">
        <v>141</v>
      </c>
      <c r="L1007" t="s">
        <v>293</v>
      </c>
      <c r="M1007" t="s">
        <v>294</v>
      </c>
      <c r="N1007" t="s">
        <v>52</v>
      </c>
      <c r="O1007" t="s">
        <v>514</v>
      </c>
      <c r="P1007" t="s">
        <v>326</v>
      </c>
      <c r="Q1007" t="s">
        <v>167</v>
      </c>
      <c r="R1007" t="s">
        <v>515</v>
      </c>
      <c r="S1007" t="s">
        <v>516</v>
      </c>
      <c r="T1007" t="s">
        <v>517</v>
      </c>
      <c r="U1007" s="10" t="s">
        <v>1061</v>
      </c>
      <c r="V1007" s="10" t="s">
        <v>1066</v>
      </c>
      <c r="W1007" s="10" t="s">
        <v>1066</v>
      </c>
      <c r="X1007" s="10" t="s">
        <v>1059</v>
      </c>
      <c r="Y1007" t="s">
        <v>39</v>
      </c>
      <c r="Z1007" t="s">
        <v>40</v>
      </c>
      <c r="AA1007" t="s">
        <v>44</v>
      </c>
    </row>
    <row r="1008" spans="1:28" x14ac:dyDescent="0.8">
      <c r="A1008">
        <v>997</v>
      </c>
      <c r="B1008">
        <v>1353</v>
      </c>
      <c r="C1008" s="2">
        <v>44385</v>
      </c>
      <c r="D1008" t="s">
        <v>203</v>
      </c>
      <c r="E1008" t="s">
        <v>25</v>
      </c>
      <c r="F1008" t="s">
        <v>26</v>
      </c>
      <c r="G1008" t="s">
        <v>27</v>
      </c>
      <c r="H1008" t="s">
        <v>114</v>
      </c>
      <c r="I1008" t="s">
        <v>115</v>
      </c>
      <c r="J1008" t="s">
        <v>116</v>
      </c>
      <c r="K1008" t="s">
        <v>307</v>
      </c>
      <c r="L1008" t="s">
        <v>308</v>
      </c>
      <c r="M1008" t="s">
        <v>309</v>
      </c>
      <c r="O1008" t="s">
        <v>514</v>
      </c>
      <c r="P1008" t="s">
        <v>326</v>
      </c>
      <c r="Q1008" t="s">
        <v>167</v>
      </c>
      <c r="R1008" t="s">
        <v>515</v>
      </c>
      <c r="S1008" t="s">
        <v>516</v>
      </c>
      <c r="T1008" t="s">
        <v>517</v>
      </c>
      <c r="U1008" s="10" t="s">
        <v>1061</v>
      </c>
      <c r="V1008" s="10" t="s">
        <v>1066</v>
      </c>
      <c r="W1008" s="10" t="s">
        <v>1066</v>
      </c>
      <c r="X1008" s="10" t="s">
        <v>1059</v>
      </c>
      <c r="Y1008" t="s">
        <v>39</v>
      </c>
      <c r="Z1008" t="s">
        <v>40</v>
      </c>
      <c r="AA1008" t="s">
        <v>63</v>
      </c>
    </row>
    <row r="1009" spans="1:28" x14ac:dyDescent="0.8">
      <c r="A1009">
        <v>704</v>
      </c>
      <c r="B1009">
        <v>421</v>
      </c>
      <c r="C1009" s="2">
        <v>44385</v>
      </c>
      <c r="D1009" t="s">
        <v>133</v>
      </c>
      <c r="E1009" t="s">
        <v>25</v>
      </c>
      <c r="F1009" t="s">
        <v>26</v>
      </c>
      <c r="G1009" t="s">
        <v>27</v>
      </c>
      <c r="H1009" t="s">
        <v>28</v>
      </c>
      <c r="I1009" t="s">
        <v>29</v>
      </c>
      <c r="K1009" t="s">
        <v>30</v>
      </c>
      <c r="L1009" t="s">
        <v>59</v>
      </c>
      <c r="M1009" t="s">
        <v>181</v>
      </c>
      <c r="O1009" t="s">
        <v>514</v>
      </c>
      <c r="P1009" t="s">
        <v>326</v>
      </c>
      <c r="Q1009" t="s">
        <v>167</v>
      </c>
      <c r="R1009" t="s">
        <v>515</v>
      </c>
      <c r="S1009" t="s">
        <v>516</v>
      </c>
      <c r="T1009" t="s">
        <v>517</v>
      </c>
      <c r="U1009" s="10" t="s">
        <v>1061</v>
      </c>
      <c r="V1009" s="10" t="s">
        <v>1066</v>
      </c>
      <c r="W1009" s="10" t="s">
        <v>1066</v>
      </c>
      <c r="X1009" s="10" t="s">
        <v>1059</v>
      </c>
      <c r="Y1009" t="s">
        <v>39</v>
      </c>
      <c r="Z1009" t="s">
        <v>40</v>
      </c>
      <c r="AA1009" t="s">
        <v>63</v>
      </c>
    </row>
    <row r="1010" spans="1:28" x14ac:dyDescent="0.8">
      <c r="A1010">
        <v>671</v>
      </c>
      <c r="B1010">
        <v>1056</v>
      </c>
      <c r="C1010" s="2">
        <v>44385</v>
      </c>
      <c r="D1010" t="s">
        <v>133</v>
      </c>
      <c r="E1010" t="s">
        <v>103</v>
      </c>
      <c r="F1010" t="s">
        <v>26</v>
      </c>
      <c r="G1010" t="s">
        <v>27</v>
      </c>
      <c r="H1010" t="s">
        <v>28</v>
      </c>
      <c r="I1010" t="s">
        <v>29</v>
      </c>
      <c r="K1010" t="s">
        <v>30</v>
      </c>
      <c r="L1010" t="s">
        <v>59</v>
      </c>
      <c r="M1010" t="s">
        <v>181</v>
      </c>
      <c r="O1010" t="s">
        <v>514</v>
      </c>
      <c r="P1010" t="s">
        <v>326</v>
      </c>
      <c r="Q1010" t="s">
        <v>167</v>
      </c>
      <c r="R1010" t="s">
        <v>515</v>
      </c>
      <c r="S1010" t="s">
        <v>516</v>
      </c>
      <c r="T1010" t="s">
        <v>517</v>
      </c>
      <c r="U1010" s="10" t="s">
        <v>1061</v>
      </c>
      <c r="V1010" s="10" t="s">
        <v>1066</v>
      </c>
      <c r="W1010" s="10" t="s">
        <v>1066</v>
      </c>
      <c r="X1010" s="10" t="s">
        <v>1059</v>
      </c>
      <c r="Y1010" t="s">
        <v>39</v>
      </c>
      <c r="Z1010" t="s">
        <v>40</v>
      </c>
      <c r="AA1010" t="s">
        <v>63</v>
      </c>
    </row>
    <row r="1011" spans="1:28" x14ac:dyDescent="0.8">
      <c r="A1011">
        <v>134</v>
      </c>
      <c r="B1011">
        <v>1010</v>
      </c>
      <c r="C1011" s="2">
        <v>44386</v>
      </c>
      <c r="D1011" t="s">
        <v>93</v>
      </c>
      <c r="E1011" t="s">
        <v>25</v>
      </c>
      <c r="F1011" t="s">
        <v>26</v>
      </c>
      <c r="G1011" t="s">
        <v>45</v>
      </c>
      <c r="H1011" t="s">
        <v>79</v>
      </c>
      <c r="I1011" t="s">
        <v>69</v>
      </c>
      <c r="J1011" t="s">
        <v>80</v>
      </c>
      <c r="K1011" t="s">
        <v>81</v>
      </c>
      <c r="L1011" t="s">
        <v>638</v>
      </c>
      <c r="M1011" t="s">
        <v>639</v>
      </c>
      <c r="N1011" t="s">
        <v>61</v>
      </c>
      <c r="O1011" t="s">
        <v>640</v>
      </c>
      <c r="P1011" t="s">
        <v>85</v>
      </c>
      <c r="Q1011" t="s">
        <v>348</v>
      </c>
      <c r="R1011" t="s">
        <v>641</v>
      </c>
      <c r="S1011" t="s">
        <v>642</v>
      </c>
      <c r="T1011" t="s">
        <v>643</v>
      </c>
      <c r="U1011" s="10" t="s">
        <v>1061</v>
      </c>
      <c r="V1011" s="10" t="s">
        <v>1066</v>
      </c>
      <c r="W1011" s="10" t="s">
        <v>1066</v>
      </c>
      <c r="X1011" s="10" t="s">
        <v>1059</v>
      </c>
      <c r="Y1011" t="s">
        <v>39</v>
      </c>
      <c r="Z1011" t="s">
        <v>62</v>
      </c>
      <c r="AA1011" t="s">
        <v>53</v>
      </c>
    </row>
    <row r="1012" spans="1:28" x14ac:dyDescent="0.8">
      <c r="A1012">
        <v>511</v>
      </c>
      <c r="B1012">
        <v>51</v>
      </c>
      <c r="C1012" s="2">
        <v>44386</v>
      </c>
      <c r="D1012" t="s">
        <v>93</v>
      </c>
      <c r="E1012" t="s">
        <v>53</v>
      </c>
      <c r="F1012" t="s">
        <v>26</v>
      </c>
      <c r="G1012" t="s">
        <v>45</v>
      </c>
      <c r="H1012" t="s">
        <v>55</v>
      </c>
      <c r="I1012" t="s">
        <v>249</v>
      </c>
      <c r="J1012" t="s">
        <v>644</v>
      </c>
      <c r="K1012" t="s">
        <v>645</v>
      </c>
      <c r="L1012" t="s">
        <v>646</v>
      </c>
      <c r="M1012" t="s">
        <v>647</v>
      </c>
      <c r="N1012" t="s">
        <v>61</v>
      </c>
      <c r="O1012" t="s">
        <v>640</v>
      </c>
      <c r="P1012" t="s">
        <v>85</v>
      </c>
      <c r="Q1012" t="s">
        <v>348</v>
      </c>
      <c r="R1012" t="s">
        <v>641</v>
      </c>
      <c r="S1012" t="s">
        <v>642</v>
      </c>
      <c r="T1012" t="s">
        <v>643</v>
      </c>
      <c r="U1012" s="10" t="s">
        <v>1061</v>
      </c>
      <c r="V1012" s="10" t="s">
        <v>1066</v>
      </c>
      <c r="W1012" s="10" t="s">
        <v>1066</v>
      </c>
      <c r="X1012" s="10" t="s">
        <v>1059</v>
      </c>
      <c r="Y1012" t="s">
        <v>39</v>
      </c>
      <c r="Z1012" t="s">
        <v>40</v>
      </c>
      <c r="AA1012" t="s">
        <v>63</v>
      </c>
    </row>
    <row r="1013" spans="1:28" x14ac:dyDescent="0.8">
      <c r="A1013">
        <v>1511</v>
      </c>
      <c r="B1013">
        <v>22</v>
      </c>
      <c r="C1013" s="2">
        <v>44384</v>
      </c>
      <c r="D1013" t="s">
        <v>24</v>
      </c>
      <c r="E1013" t="s">
        <v>25</v>
      </c>
      <c r="F1013" t="s">
        <v>26</v>
      </c>
      <c r="G1013" t="s">
        <v>45</v>
      </c>
      <c r="H1013" t="s">
        <v>46</v>
      </c>
      <c r="I1013" t="s">
        <v>47</v>
      </c>
      <c r="J1013" t="s">
        <v>48</v>
      </c>
      <c r="K1013" t="s">
        <v>49</v>
      </c>
      <c r="L1013" t="s">
        <v>91</v>
      </c>
      <c r="M1013" t="s">
        <v>92</v>
      </c>
      <c r="N1013" t="s">
        <v>61</v>
      </c>
      <c r="O1013" t="s">
        <v>713</v>
      </c>
      <c r="P1013" t="s">
        <v>34</v>
      </c>
      <c r="Q1013" t="s">
        <v>244</v>
      </c>
      <c r="R1013" t="s">
        <v>714</v>
      </c>
      <c r="S1013" t="s">
        <v>715</v>
      </c>
      <c r="T1013" t="s">
        <v>716</v>
      </c>
      <c r="U1013" s="10" t="s">
        <v>1061</v>
      </c>
      <c r="V1013" s="10" t="s">
        <v>1066</v>
      </c>
      <c r="W1013" s="10" t="s">
        <v>1066</v>
      </c>
      <c r="X1013" s="10" t="s">
        <v>1059</v>
      </c>
      <c r="Y1013" t="s">
        <v>140</v>
      </c>
      <c r="Z1013" t="s">
        <v>40</v>
      </c>
      <c r="AA1013" t="s">
        <v>125</v>
      </c>
    </row>
    <row r="1014" spans="1:28" x14ac:dyDescent="0.8">
      <c r="A1014">
        <v>1361</v>
      </c>
      <c r="B1014">
        <v>2108</v>
      </c>
      <c r="C1014" s="2">
        <v>44386</v>
      </c>
      <c r="D1014" t="s">
        <v>67</v>
      </c>
      <c r="E1014" t="s">
        <v>25</v>
      </c>
      <c r="F1014" t="s">
        <v>26</v>
      </c>
      <c r="G1014" t="s">
        <v>45</v>
      </c>
      <c r="H1014" t="s">
        <v>55</v>
      </c>
      <c r="I1014" t="s">
        <v>56</v>
      </c>
      <c r="J1014" t="s">
        <v>57</v>
      </c>
      <c r="K1014" t="s">
        <v>58</v>
      </c>
      <c r="L1014" t="s">
        <v>65</v>
      </c>
      <c r="M1014" t="s">
        <v>66</v>
      </c>
      <c r="N1014" t="s">
        <v>52</v>
      </c>
      <c r="O1014" t="s">
        <v>713</v>
      </c>
      <c r="P1014" t="s">
        <v>34</v>
      </c>
      <c r="Q1014" t="s">
        <v>244</v>
      </c>
      <c r="R1014" t="s">
        <v>714</v>
      </c>
      <c r="S1014" t="s">
        <v>715</v>
      </c>
      <c r="T1014" t="s">
        <v>716</v>
      </c>
      <c r="U1014" s="10" t="s">
        <v>1061</v>
      </c>
      <c r="V1014" s="10" t="s">
        <v>1066</v>
      </c>
      <c r="W1014" s="10" t="s">
        <v>1066</v>
      </c>
      <c r="X1014" s="10" t="s">
        <v>1059</v>
      </c>
      <c r="Y1014" t="s">
        <v>39</v>
      </c>
      <c r="Z1014" t="s">
        <v>40</v>
      </c>
      <c r="AA1014" t="s">
        <v>63</v>
      </c>
    </row>
    <row r="1015" spans="1:28" x14ac:dyDescent="0.8">
      <c r="A1015">
        <v>150</v>
      </c>
      <c r="B1015">
        <v>1096</v>
      </c>
      <c r="C1015" s="2">
        <v>44386</v>
      </c>
      <c r="D1015" t="s">
        <v>93</v>
      </c>
      <c r="E1015" t="s">
        <v>25</v>
      </c>
      <c r="F1015" t="s">
        <v>26</v>
      </c>
      <c r="G1015" t="s">
        <v>45</v>
      </c>
      <c r="H1015" t="s">
        <v>55</v>
      </c>
      <c r="I1015" t="s">
        <v>56</v>
      </c>
      <c r="J1015" t="s">
        <v>57</v>
      </c>
      <c r="K1015" t="s">
        <v>58</v>
      </c>
      <c r="L1015" t="s">
        <v>521</v>
      </c>
      <c r="M1015" t="s">
        <v>522</v>
      </c>
      <c r="O1015" t="s">
        <v>713</v>
      </c>
      <c r="P1015" t="s">
        <v>34</v>
      </c>
      <c r="Q1015" t="s">
        <v>244</v>
      </c>
      <c r="R1015" t="s">
        <v>714</v>
      </c>
      <c r="S1015" t="s">
        <v>715</v>
      </c>
      <c r="T1015" t="s">
        <v>716</v>
      </c>
      <c r="U1015" s="10" t="s">
        <v>1061</v>
      </c>
      <c r="V1015" s="10" t="s">
        <v>1066</v>
      </c>
      <c r="W1015" s="10" t="s">
        <v>1066</v>
      </c>
      <c r="X1015" s="10" t="s">
        <v>1059</v>
      </c>
      <c r="Y1015" t="s">
        <v>39</v>
      </c>
      <c r="Z1015" t="s">
        <v>40</v>
      </c>
      <c r="AA1015" t="s">
        <v>53</v>
      </c>
    </row>
    <row r="1016" spans="1:28" x14ac:dyDescent="0.8">
      <c r="A1016">
        <v>148</v>
      </c>
      <c r="B1016">
        <v>1094</v>
      </c>
      <c r="C1016" s="2">
        <v>44386</v>
      </c>
      <c r="D1016" t="s">
        <v>93</v>
      </c>
      <c r="E1016" t="s">
        <v>53</v>
      </c>
      <c r="F1016" t="s">
        <v>26</v>
      </c>
      <c r="G1016" t="s">
        <v>45</v>
      </c>
      <c r="H1016" t="s">
        <v>55</v>
      </c>
      <c r="I1016" t="s">
        <v>56</v>
      </c>
      <c r="J1016" t="s">
        <v>57</v>
      </c>
      <c r="K1016" t="s">
        <v>58</v>
      </c>
      <c r="L1016" t="s">
        <v>112</v>
      </c>
      <c r="M1016" t="s">
        <v>488</v>
      </c>
      <c r="N1016" t="s">
        <v>61</v>
      </c>
      <c r="O1016" t="s">
        <v>713</v>
      </c>
      <c r="P1016" t="s">
        <v>34</v>
      </c>
      <c r="Q1016" t="s">
        <v>244</v>
      </c>
      <c r="R1016" t="s">
        <v>714</v>
      </c>
      <c r="S1016" t="s">
        <v>715</v>
      </c>
      <c r="T1016" t="s">
        <v>716</v>
      </c>
      <c r="U1016" s="10" t="s">
        <v>1061</v>
      </c>
      <c r="V1016" s="10" t="s">
        <v>1066</v>
      </c>
      <c r="W1016" s="10" t="s">
        <v>1066</v>
      </c>
      <c r="X1016" s="10" t="s">
        <v>1059</v>
      </c>
      <c r="Y1016" t="s">
        <v>39</v>
      </c>
      <c r="Z1016" t="s">
        <v>40</v>
      </c>
      <c r="AA1016" t="s">
        <v>53</v>
      </c>
    </row>
    <row r="1017" spans="1:28" x14ac:dyDescent="0.8">
      <c r="A1017">
        <v>1566</v>
      </c>
      <c r="B1017">
        <v>311</v>
      </c>
      <c r="C1017" s="2">
        <v>44386</v>
      </c>
      <c r="D1017" t="s">
        <v>93</v>
      </c>
      <c r="E1017" t="s">
        <v>25</v>
      </c>
      <c r="F1017" t="s">
        <v>26</v>
      </c>
      <c r="G1017" t="s">
        <v>45</v>
      </c>
      <c r="H1017" t="s">
        <v>46</v>
      </c>
      <c r="I1017" t="s">
        <v>47</v>
      </c>
      <c r="J1017" t="s">
        <v>48</v>
      </c>
      <c r="K1017" t="s">
        <v>141</v>
      </c>
      <c r="L1017" t="s">
        <v>293</v>
      </c>
      <c r="M1017" t="s">
        <v>294</v>
      </c>
      <c r="N1017" t="s">
        <v>52</v>
      </c>
      <c r="O1017" t="s">
        <v>713</v>
      </c>
      <c r="P1017" t="s">
        <v>34</v>
      </c>
      <c r="Q1017" t="s">
        <v>244</v>
      </c>
      <c r="R1017" t="s">
        <v>714</v>
      </c>
      <c r="S1017" t="s">
        <v>715</v>
      </c>
      <c r="T1017" t="s">
        <v>716</v>
      </c>
      <c r="U1017" s="10" t="s">
        <v>1061</v>
      </c>
      <c r="V1017" s="10" t="s">
        <v>1066</v>
      </c>
      <c r="W1017" s="10" t="s">
        <v>1066</v>
      </c>
      <c r="X1017" s="10" t="s">
        <v>1059</v>
      </c>
      <c r="Y1017" t="s">
        <v>39</v>
      </c>
      <c r="Z1017" t="s">
        <v>62</v>
      </c>
      <c r="AA1017" t="s">
        <v>125</v>
      </c>
    </row>
    <row r="1018" spans="1:28" x14ac:dyDescent="0.8">
      <c r="A1018">
        <v>1780</v>
      </c>
      <c r="B1018">
        <v>1498</v>
      </c>
      <c r="C1018" s="2">
        <v>44387</v>
      </c>
      <c r="D1018" t="s">
        <v>173</v>
      </c>
      <c r="E1018" t="s">
        <v>25</v>
      </c>
      <c r="F1018" t="s">
        <v>26</v>
      </c>
      <c r="G1018" t="s">
        <v>45</v>
      </c>
      <c r="H1018" t="s">
        <v>46</v>
      </c>
      <c r="I1018" t="s">
        <v>47</v>
      </c>
      <c r="J1018" t="s">
        <v>48</v>
      </c>
      <c r="K1018" t="s">
        <v>141</v>
      </c>
      <c r="L1018" t="s">
        <v>293</v>
      </c>
      <c r="M1018" t="s">
        <v>294</v>
      </c>
      <c r="N1018" t="s">
        <v>52</v>
      </c>
      <c r="O1018" t="s">
        <v>713</v>
      </c>
      <c r="P1018" t="s">
        <v>34</v>
      </c>
      <c r="Q1018" t="s">
        <v>244</v>
      </c>
      <c r="R1018" t="s">
        <v>714</v>
      </c>
      <c r="S1018" t="s">
        <v>715</v>
      </c>
      <c r="T1018" t="s">
        <v>716</v>
      </c>
      <c r="U1018" s="10" t="s">
        <v>1061</v>
      </c>
      <c r="V1018" s="10" t="s">
        <v>1066</v>
      </c>
      <c r="W1018" s="10" t="s">
        <v>1066</v>
      </c>
      <c r="X1018" s="10" t="s">
        <v>1059</v>
      </c>
      <c r="Y1018" t="s">
        <v>39</v>
      </c>
      <c r="Z1018" t="s">
        <v>40</v>
      </c>
      <c r="AA1018" t="s">
        <v>41</v>
      </c>
    </row>
    <row r="1019" spans="1:28" x14ac:dyDescent="0.8">
      <c r="A1019">
        <v>624</v>
      </c>
      <c r="B1019">
        <v>221</v>
      </c>
      <c r="C1019" s="2">
        <v>44386</v>
      </c>
      <c r="D1019" t="s">
        <v>43</v>
      </c>
      <c r="E1019" t="s">
        <v>25</v>
      </c>
      <c r="F1019" t="s">
        <v>26</v>
      </c>
      <c r="G1019" t="s">
        <v>45</v>
      </c>
      <c r="H1019" t="s">
        <v>68</v>
      </c>
      <c r="I1019" t="s">
        <v>69</v>
      </c>
      <c r="J1019" t="s">
        <v>70</v>
      </c>
      <c r="K1019" t="s">
        <v>71</v>
      </c>
      <c r="L1019" t="s">
        <v>72</v>
      </c>
      <c r="M1019" t="s">
        <v>73</v>
      </c>
      <c r="N1019" t="s">
        <v>61</v>
      </c>
      <c r="O1019" t="s">
        <v>713</v>
      </c>
      <c r="P1019" t="s">
        <v>34</v>
      </c>
      <c r="Q1019" t="s">
        <v>244</v>
      </c>
      <c r="R1019" t="s">
        <v>714</v>
      </c>
      <c r="S1019" t="s">
        <v>715</v>
      </c>
      <c r="T1019" t="s">
        <v>716</v>
      </c>
      <c r="U1019" s="10" t="s">
        <v>1061</v>
      </c>
      <c r="V1019" s="10" t="s">
        <v>1066</v>
      </c>
      <c r="W1019" s="10" t="s">
        <v>1066</v>
      </c>
      <c r="X1019" s="10" t="s">
        <v>1059</v>
      </c>
      <c r="Y1019" t="s">
        <v>140</v>
      </c>
      <c r="Z1019" t="s">
        <v>40</v>
      </c>
      <c r="AA1019" t="s">
        <v>63</v>
      </c>
    </row>
    <row r="1020" spans="1:28" x14ac:dyDescent="0.8">
      <c r="A1020">
        <v>620</v>
      </c>
      <c r="B1020">
        <v>217</v>
      </c>
      <c r="C1020" s="2">
        <v>44386</v>
      </c>
      <c r="D1020" t="s">
        <v>43</v>
      </c>
      <c r="E1020" t="s">
        <v>25</v>
      </c>
      <c r="F1020" t="s">
        <v>26</v>
      </c>
      <c r="G1020" t="s">
        <v>45</v>
      </c>
      <c r="H1020" t="s">
        <v>68</v>
      </c>
      <c r="I1020" t="s">
        <v>69</v>
      </c>
      <c r="J1020" t="s">
        <v>70</v>
      </c>
      <c r="K1020" t="s">
        <v>71</v>
      </c>
      <c r="L1020" t="s">
        <v>72</v>
      </c>
      <c r="M1020" t="s">
        <v>73</v>
      </c>
      <c r="N1020" t="s">
        <v>61</v>
      </c>
      <c r="O1020" t="s">
        <v>713</v>
      </c>
      <c r="P1020" t="s">
        <v>34</v>
      </c>
      <c r="Q1020" t="s">
        <v>244</v>
      </c>
      <c r="R1020" t="s">
        <v>714</v>
      </c>
      <c r="S1020" t="s">
        <v>715</v>
      </c>
      <c r="T1020" t="s">
        <v>716</v>
      </c>
      <c r="U1020" s="10" t="s">
        <v>1061</v>
      </c>
      <c r="V1020" s="10" t="s">
        <v>1066</v>
      </c>
      <c r="W1020" s="10" t="s">
        <v>1066</v>
      </c>
      <c r="X1020" s="10" t="s">
        <v>1059</v>
      </c>
      <c r="Y1020" t="s">
        <v>140</v>
      </c>
      <c r="Z1020" t="s">
        <v>40</v>
      </c>
      <c r="AA1020" t="s">
        <v>63</v>
      </c>
    </row>
    <row r="1021" spans="1:28" x14ac:dyDescent="0.8">
      <c r="A1021">
        <v>1319</v>
      </c>
      <c r="B1021">
        <v>2016</v>
      </c>
      <c r="C1021" s="2">
        <v>44385</v>
      </c>
      <c r="D1021" t="s">
        <v>104</v>
      </c>
      <c r="E1021" t="s">
        <v>25</v>
      </c>
      <c r="F1021" t="s">
        <v>26</v>
      </c>
      <c r="G1021" t="s">
        <v>45</v>
      </c>
      <c r="H1021" t="s">
        <v>46</v>
      </c>
      <c r="I1021" t="s">
        <v>47</v>
      </c>
      <c r="J1021" t="s">
        <v>48</v>
      </c>
      <c r="K1021" t="s">
        <v>49</v>
      </c>
      <c r="L1021" t="s">
        <v>91</v>
      </c>
      <c r="M1021" t="s">
        <v>92</v>
      </c>
      <c r="N1021" t="s">
        <v>61</v>
      </c>
      <c r="O1021" t="s">
        <v>713</v>
      </c>
      <c r="P1021" t="s">
        <v>34</v>
      </c>
      <c r="Q1021" t="s">
        <v>244</v>
      </c>
      <c r="R1021" t="s">
        <v>714</v>
      </c>
      <c r="S1021" t="s">
        <v>715</v>
      </c>
      <c r="T1021" t="s">
        <v>716</v>
      </c>
      <c r="U1021" s="10" t="s">
        <v>1061</v>
      </c>
      <c r="V1021" s="10" t="s">
        <v>1066</v>
      </c>
      <c r="W1021" s="10" t="s">
        <v>1066</v>
      </c>
      <c r="X1021" s="10" t="s">
        <v>1059</v>
      </c>
      <c r="Y1021" t="s">
        <v>39</v>
      </c>
      <c r="Z1021" t="s">
        <v>40</v>
      </c>
      <c r="AA1021" t="s">
        <v>63</v>
      </c>
    </row>
    <row r="1022" spans="1:28" x14ac:dyDescent="0.8">
      <c r="A1022">
        <v>716</v>
      </c>
      <c r="B1022">
        <v>1149</v>
      </c>
      <c r="C1022" s="2">
        <v>44385</v>
      </c>
      <c r="D1022" t="s">
        <v>133</v>
      </c>
      <c r="E1022" t="s">
        <v>25</v>
      </c>
      <c r="F1022" t="s">
        <v>26</v>
      </c>
      <c r="G1022" t="s">
        <v>27</v>
      </c>
      <c r="H1022" t="s">
        <v>114</v>
      </c>
      <c r="I1022" t="s">
        <v>115</v>
      </c>
      <c r="J1022" t="s">
        <v>385</v>
      </c>
      <c r="K1022" t="s">
        <v>386</v>
      </c>
      <c r="L1022" t="s">
        <v>387</v>
      </c>
      <c r="M1022" t="s">
        <v>388</v>
      </c>
      <c r="O1022" t="s">
        <v>713</v>
      </c>
      <c r="P1022" t="s">
        <v>34</v>
      </c>
      <c r="Q1022" t="s">
        <v>244</v>
      </c>
      <c r="R1022" t="s">
        <v>714</v>
      </c>
      <c r="S1022" t="s">
        <v>715</v>
      </c>
      <c r="T1022" t="s">
        <v>716</v>
      </c>
      <c r="U1022" s="10" t="s">
        <v>1061</v>
      </c>
      <c r="V1022" s="10" t="s">
        <v>1066</v>
      </c>
      <c r="W1022" s="10" t="s">
        <v>1066</v>
      </c>
      <c r="X1022" s="10" t="s">
        <v>1059</v>
      </c>
      <c r="Y1022" t="s">
        <v>39</v>
      </c>
      <c r="Z1022" t="s">
        <v>202</v>
      </c>
      <c r="AA1022" t="s">
        <v>63</v>
      </c>
    </row>
    <row r="1023" spans="1:28" x14ac:dyDescent="0.8">
      <c r="A1023">
        <v>703</v>
      </c>
      <c r="B1023">
        <v>420</v>
      </c>
      <c r="C1023" s="2">
        <v>44385</v>
      </c>
      <c r="D1023" t="s">
        <v>133</v>
      </c>
      <c r="E1023" t="s">
        <v>25</v>
      </c>
      <c r="F1023" t="s">
        <v>26</v>
      </c>
      <c r="G1023" t="s">
        <v>27</v>
      </c>
      <c r="H1023" t="s">
        <v>28</v>
      </c>
      <c r="I1023" t="s">
        <v>29</v>
      </c>
      <c r="K1023" t="s">
        <v>30</v>
      </c>
      <c r="L1023" t="s">
        <v>65</v>
      </c>
      <c r="M1023" t="s">
        <v>717</v>
      </c>
      <c r="O1023" t="s">
        <v>713</v>
      </c>
      <c r="P1023" t="s">
        <v>34</v>
      </c>
      <c r="Q1023" t="s">
        <v>244</v>
      </c>
      <c r="R1023" t="s">
        <v>714</v>
      </c>
      <c r="S1023" t="s">
        <v>715</v>
      </c>
      <c r="T1023" t="s">
        <v>716</v>
      </c>
      <c r="U1023" s="10" t="s">
        <v>1061</v>
      </c>
      <c r="V1023" s="10" t="s">
        <v>1066</v>
      </c>
      <c r="W1023" s="10" t="s">
        <v>1066</v>
      </c>
      <c r="X1023" s="10" t="s">
        <v>1059</v>
      </c>
      <c r="Y1023" t="s">
        <v>39</v>
      </c>
      <c r="Z1023" t="s">
        <v>40</v>
      </c>
      <c r="AA1023" t="s">
        <v>63</v>
      </c>
    </row>
    <row r="1024" spans="1:28" x14ac:dyDescent="0.8">
      <c r="A1024">
        <v>244</v>
      </c>
      <c r="B1024">
        <v>1294</v>
      </c>
      <c r="C1024" s="2">
        <v>44384</v>
      </c>
      <c r="D1024" t="s">
        <v>151</v>
      </c>
      <c r="E1024" t="s">
        <v>25</v>
      </c>
      <c r="F1024" t="s">
        <v>26</v>
      </c>
      <c r="G1024" t="s">
        <v>27</v>
      </c>
      <c r="H1024" t="s">
        <v>114</v>
      </c>
      <c r="I1024" t="s">
        <v>115</v>
      </c>
      <c r="J1024" t="s">
        <v>116</v>
      </c>
      <c r="K1024" t="s">
        <v>307</v>
      </c>
      <c r="L1024" t="s">
        <v>308</v>
      </c>
      <c r="M1024" t="s">
        <v>309</v>
      </c>
      <c r="O1024" t="s">
        <v>713</v>
      </c>
      <c r="P1024" t="s">
        <v>34</v>
      </c>
      <c r="Q1024" t="s">
        <v>244</v>
      </c>
      <c r="R1024" t="s">
        <v>714</v>
      </c>
      <c r="S1024" t="s">
        <v>715</v>
      </c>
      <c r="T1024" t="s">
        <v>716</v>
      </c>
      <c r="U1024" s="10" t="s">
        <v>1061</v>
      </c>
      <c r="V1024" s="10" t="s">
        <v>1066</v>
      </c>
      <c r="W1024" s="10" t="s">
        <v>1066</v>
      </c>
      <c r="X1024" s="10" t="s">
        <v>1059</v>
      </c>
      <c r="Y1024" t="s">
        <v>39</v>
      </c>
      <c r="Z1024" t="s">
        <v>40</v>
      </c>
      <c r="AA1024" t="s">
        <v>53</v>
      </c>
      <c r="AB1024" t="s">
        <v>222</v>
      </c>
    </row>
    <row r="1025" spans="1:28" x14ac:dyDescent="0.8">
      <c r="A1025">
        <v>591</v>
      </c>
      <c r="B1025">
        <v>690</v>
      </c>
      <c r="C1025" s="2">
        <v>44384</v>
      </c>
      <c r="D1025" t="s">
        <v>151</v>
      </c>
      <c r="E1025" t="s">
        <v>125</v>
      </c>
      <c r="F1025" t="s">
        <v>26</v>
      </c>
      <c r="G1025" t="s">
        <v>27</v>
      </c>
      <c r="H1025" t="s">
        <v>114</v>
      </c>
      <c r="I1025" t="s">
        <v>115</v>
      </c>
      <c r="J1025" t="s">
        <v>116</v>
      </c>
      <c r="K1025" t="s">
        <v>307</v>
      </c>
      <c r="L1025" t="s">
        <v>308</v>
      </c>
      <c r="M1025" t="s">
        <v>309</v>
      </c>
      <c r="O1025" t="s">
        <v>713</v>
      </c>
      <c r="P1025" t="s">
        <v>34</v>
      </c>
      <c r="Q1025" t="s">
        <v>244</v>
      </c>
      <c r="R1025" t="s">
        <v>714</v>
      </c>
      <c r="S1025" t="s">
        <v>715</v>
      </c>
      <c r="T1025" t="s">
        <v>716</v>
      </c>
      <c r="U1025" s="10" t="s">
        <v>1061</v>
      </c>
      <c r="V1025" s="10" t="s">
        <v>1066</v>
      </c>
      <c r="W1025" s="10" t="s">
        <v>1066</v>
      </c>
      <c r="X1025" s="10" t="s">
        <v>1059</v>
      </c>
      <c r="Y1025" t="s">
        <v>39</v>
      </c>
      <c r="Z1025" t="s">
        <v>40</v>
      </c>
      <c r="AA1025" t="s">
        <v>63</v>
      </c>
    </row>
    <row r="1026" spans="1:28" x14ac:dyDescent="0.8">
      <c r="A1026">
        <v>243</v>
      </c>
      <c r="B1026">
        <v>1218</v>
      </c>
      <c r="C1026" s="2">
        <v>44384</v>
      </c>
      <c r="D1026" t="s">
        <v>151</v>
      </c>
      <c r="E1026" t="s">
        <v>25</v>
      </c>
      <c r="F1026" t="s">
        <v>26</v>
      </c>
      <c r="G1026" t="s">
        <v>27</v>
      </c>
      <c r="H1026" t="s">
        <v>114</v>
      </c>
      <c r="I1026" t="s">
        <v>115</v>
      </c>
      <c r="J1026" t="s">
        <v>116</v>
      </c>
      <c r="K1026" t="s">
        <v>117</v>
      </c>
      <c r="L1026" t="s">
        <v>195</v>
      </c>
      <c r="M1026" t="s">
        <v>196</v>
      </c>
      <c r="O1026" t="s">
        <v>713</v>
      </c>
      <c r="P1026" t="s">
        <v>34</v>
      </c>
      <c r="Q1026" t="s">
        <v>244</v>
      </c>
      <c r="R1026" t="s">
        <v>714</v>
      </c>
      <c r="S1026" t="s">
        <v>715</v>
      </c>
      <c r="T1026" t="s">
        <v>716</v>
      </c>
      <c r="U1026" s="10" t="s">
        <v>1061</v>
      </c>
      <c r="V1026" s="10" t="s">
        <v>1066</v>
      </c>
      <c r="W1026" s="10" t="s">
        <v>1066</v>
      </c>
      <c r="X1026" s="10" t="s">
        <v>1059</v>
      </c>
      <c r="Y1026" t="s">
        <v>39</v>
      </c>
      <c r="Z1026" t="s">
        <v>40</v>
      </c>
      <c r="AA1026" t="s">
        <v>53</v>
      </c>
      <c r="AB1026" t="s">
        <v>226</v>
      </c>
    </row>
    <row r="1027" spans="1:28" x14ac:dyDescent="0.8">
      <c r="A1027">
        <v>1689</v>
      </c>
      <c r="B1027">
        <v>568</v>
      </c>
      <c r="C1027" s="2">
        <v>44388</v>
      </c>
      <c r="D1027" t="s">
        <v>124</v>
      </c>
      <c r="E1027" t="s">
        <v>25</v>
      </c>
      <c r="F1027" t="s">
        <v>26</v>
      </c>
      <c r="G1027" t="s">
        <v>45</v>
      </c>
      <c r="H1027" t="s">
        <v>46</v>
      </c>
      <c r="I1027" t="s">
        <v>47</v>
      </c>
      <c r="J1027" t="s">
        <v>48</v>
      </c>
      <c r="K1027" t="s">
        <v>141</v>
      </c>
      <c r="L1027" t="s">
        <v>142</v>
      </c>
      <c r="M1027" t="s">
        <v>143</v>
      </c>
      <c r="N1027" t="s">
        <v>61</v>
      </c>
      <c r="O1027" t="s">
        <v>713</v>
      </c>
      <c r="P1027" t="s">
        <v>34</v>
      </c>
      <c r="Q1027" t="s">
        <v>244</v>
      </c>
      <c r="R1027" t="s">
        <v>714</v>
      </c>
      <c r="S1027" t="s">
        <v>715</v>
      </c>
      <c r="T1027" t="s">
        <v>716</v>
      </c>
      <c r="U1027" s="10" t="s">
        <v>1061</v>
      </c>
      <c r="V1027" s="10" t="s">
        <v>1066</v>
      </c>
      <c r="W1027" s="10" t="s">
        <v>1066</v>
      </c>
      <c r="X1027" s="10" t="s">
        <v>1059</v>
      </c>
      <c r="Y1027" t="s">
        <v>39</v>
      </c>
      <c r="Z1027" t="s">
        <v>40</v>
      </c>
      <c r="AA1027" t="s">
        <v>41</v>
      </c>
    </row>
    <row r="1028" spans="1:28" x14ac:dyDescent="0.8">
      <c r="A1028">
        <v>954</v>
      </c>
      <c r="B1028">
        <v>588</v>
      </c>
      <c r="C1028" s="2">
        <v>44384</v>
      </c>
      <c r="D1028" t="s">
        <v>242</v>
      </c>
      <c r="E1028" t="s">
        <v>125</v>
      </c>
      <c r="F1028" t="s">
        <v>26</v>
      </c>
      <c r="G1028" t="s">
        <v>27</v>
      </c>
      <c r="H1028" t="s">
        <v>28</v>
      </c>
      <c r="I1028" t="s">
        <v>214</v>
      </c>
      <c r="K1028" t="s">
        <v>215</v>
      </c>
      <c r="L1028" t="s">
        <v>59</v>
      </c>
      <c r="M1028" t="s">
        <v>718</v>
      </c>
      <c r="O1028" t="s">
        <v>713</v>
      </c>
      <c r="P1028" t="s">
        <v>34</v>
      </c>
      <c r="Q1028" t="s">
        <v>244</v>
      </c>
      <c r="R1028" t="s">
        <v>714</v>
      </c>
      <c r="S1028" t="s">
        <v>715</v>
      </c>
      <c r="T1028" t="s">
        <v>716</v>
      </c>
      <c r="U1028" s="10" t="s">
        <v>1061</v>
      </c>
      <c r="V1028" s="10" t="s">
        <v>1066</v>
      </c>
      <c r="W1028" s="10" t="s">
        <v>1066</v>
      </c>
      <c r="X1028" s="10" t="s">
        <v>1059</v>
      </c>
      <c r="Y1028" t="s">
        <v>39</v>
      </c>
      <c r="Z1028" t="s">
        <v>40</v>
      </c>
      <c r="AA1028" t="s">
        <v>63</v>
      </c>
      <c r="AB1028" t="s">
        <v>719</v>
      </c>
    </row>
    <row r="1029" spans="1:28" x14ac:dyDescent="0.8">
      <c r="A1029">
        <v>964</v>
      </c>
      <c r="B1029">
        <v>1272</v>
      </c>
      <c r="C1029" s="2">
        <v>44384</v>
      </c>
      <c r="D1029" t="s">
        <v>242</v>
      </c>
      <c r="E1029" t="s">
        <v>25</v>
      </c>
      <c r="F1029" t="s">
        <v>26</v>
      </c>
      <c r="G1029" t="s">
        <v>27</v>
      </c>
      <c r="H1029" t="s">
        <v>114</v>
      </c>
      <c r="I1029" t="s">
        <v>115</v>
      </c>
      <c r="J1029" t="s">
        <v>116</v>
      </c>
      <c r="K1029" t="s">
        <v>307</v>
      </c>
      <c r="L1029" t="s">
        <v>308</v>
      </c>
      <c r="M1029" t="s">
        <v>309</v>
      </c>
      <c r="O1029" t="s">
        <v>713</v>
      </c>
      <c r="P1029" t="s">
        <v>34</v>
      </c>
      <c r="Q1029" t="s">
        <v>244</v>
      </c>
      <c r="R1029" t="s">
        <v>714</v>
      </c>
      <c r="S1029" t="s">
        <v>715</v>
      </c>
      <c r="T1029" t="s">
        <v>716</v>
      </c>
      <c r="U1029" s="10" t="s">
        <v>1061</v>
      </c>
      <c r="V1029" s="10" t="s">
        <v>1066</v>
      </c>
      <c r="W1029" s="10" t="s">
        <v>1066</v>
      </c>
      <c r="X1029" s="10" t="s">
        <v>1059</v>
      </c>
      <c r="Y1029" t="s">
        <v>39</v>
      </c>
      <c r="Z1029" t="s">
        <v>40</v>
      </c>
      <c r="AA1029" t="s">
        <v>63</v>
      </c>
    </row>
    <row r="1030" spans="1:28" x14ac:dyDescent="0.8">
      <c r="A1030">
        <v>953</v>
      </c>
      <c r="B1030">
        <v>587</v>
      </c>
      <c r="C1030" s="2">
        <v>44384</v>
      </c>
      <c r="D1030" t="s">
        <v>242</v>
      </c>
      <c r="E1030" t="s">
        <v>125</v>
      </c>
      <c r="F1030" t="s">
        <v>26</v>
      </c>
      <c r="G1030" t="s">
        <v>27</v>
      </c>
      <c r="H1030" t="s">
        <v>114</v>
      </c>
      <c r="I1030" t="s">
        <v>115</v>
      </c>
      <c r="J1030" t="s">
        <v>174</v>
      </c>
      <c r="K1030" t="s">
        <v>175</v>
      </c>
      <c r="L1030" t="s">
        <v>176</v>
      </c>
      <c r="M1030" t="s">
        <v>177</v>
      </c>
      <c r="O1030" t="s">
        <v>713</v>
      </c>
      <c r="P1030" t="s">
        <v>34</v>
      </c>
      <c r="Q1030" t="s">
        <v>244</v>
      </c>
      <c r="R1030" t="s">
        <v>714</v>
      </c>
      <c r="S1030" t="s">
        <v>715</v>
      </c>
      <c r="T1030" t="s">
        <v>716</v>
      </c>
      <c r="U1030" s="10" t="s">
        <v>1061</v>
      </c>
      <c r="V1030" s="10" t="s">
        <v>1066</v>
      </c>
      <c r="W1030" s="10" t="s">
        <v>1066</v>
      </c>
      <c r="X1030" s="10" t="s">
        <v>1059</v>
      </c>
      <c r="Y1030" t="s">
        <v>39</v>
      </c>
      <c r="Z1030" t="s">
        <v>40</v>
      </c>
      <c r="AA1030" t="s">
        <v>63</v>
      </c>
      <c r="AB1030" t="s">
        <v>719</v>
      </c>
    </row>
    <row r="1031" spans="1:28" x14ac:dyDescent="0.8">
      <c r="A1031">
        <v>967</v>
      </c>
      <c r="B1031">
        <v>1275</v>
      </c>
      <c r="C1031" s="2">
        <v>44384</v>
      </c>
      <c r="D1031" t="s">
        <v>242</v>
      </c>
      <c r="E1031" t="s">
        <v>63</v>
      </c>
      <c r="F1031" t="s">
        <v>26</v>
      </c>
      <c r="G1031" t="s">
        <v>27</v>
      </c>
      <c r="H1031" t="s">
        <v>114</v>
      </c>
      <c r="I1031" t="s">
        <v>115</v>
      </c>
      <c r="J1031" t="s">
        <v>174</v>
      </c>
      <c r="K1031" t="s">
        <v>175</v>
      </c>
      <c r="L1031" t="s">
        <v>176</v>
      </c>
      <c r="M1031" t="s">
        <v>177</v>
      </c>
      <c r="O1031" t="s">
        <v>713</v>
      </c>
      <c r="P1031" t="s">
        <v>34</v>
      </c>
      <c r="Q1031" t="s">
        <v>244</v>
      </c>
      <c r="R1031" t="s">
        <v>714</v>
      </c>
      <c r="S1031" t="s">
        <v>715</v>
      </c>
      <c r="T1031" t="s">
        <v>716</v>
      </c>
      <c r="U1031" s="10" t="s">
        <v>1061</v>
      </c>
      <c r="V1031" s="10" t="s">
        <v>1066</v>
      </c>
      <c r="W1031" s="10" t="s">
        <v>1066</v>
      </c>
      <c r="X1031" s="10" t="s">
        <v>1059</v>
      </c>
      <c r="Y1031" t="s">
        <v>39</v>
      </c>
      <c r="Z1031" t="s">
        <v>40</v>
      </c>
      <c r="AA1031" t="s">
        <v>63</v>
      </c>
    </row>
    <row r="1032" spans="1:28" x14ac:dyDescent="0.8">
      <c r="A1032">
        <v>922</v>
      </c>
      <c r="B1032">
        <v>1098</v>
      </c>
      <c r="C1032" s="2">
        <v>44384</v>
      </c>
      <c r="D1032" t="s">
        <v>242</v>
      </c>
      <c r="E1032" t="s">
        <v>63</v>
      </c>
      <c r="F1032" t="s">
        <v>26</v>
      </c>
      <c r="G1032" t="s">
        <v>27</v>
      </c>
      <c r="H1032" t="s">
        <v>114</v>
      </c>
      <c r="I1032" t="s">
        <v>115</v>
      </c>
      <c r="J1032" t="s">
        <v>174</v>
      </c>
      <c r="K1032" t="s">
        <v>175</v>
      </c>
      <c r="L1032" t="s">
        <v>176</v>
      </c>
      <c r="M1032" t="s">
        <v>177</v>
      </c>
      <c r="O1032" t="s">
        <v>713</v>
      </c>
      <c r="P1032" t="s">
        <v>34</v>
      </c>
      <c r="Q1032" t="s">
        <v>244</v>
      </c>
      <c r="R1032" t="s">
        <v>714</v>
      </c>
      <c r="S1032" t="s">
        <v>715</v>
      </c>
      <c r="T1032" t="s">
        <v>716</v>
      </c>
      <c r="U1032" s="10" t="s">
        <v>1061</v>
      </c>
      <c r="V1032" s="10" t="s">
        <v>1066</v>
      </c>
      <c r="W1032" s="10" t="s">
        <v>1066</v>
      </c>
      <c r="X1032" s="10" t="s">
        <v>1059</v>
      </c>
      <c r="Y1032" t="s">
        <v>39</v>
      </c>
      <c r="Z1032" t="s">
        <v>40</v>
      </c>
      <c r="AA1032" t="s">
        <v>63</v>
      </c>
    </row>
    <row r="1033" spans="1:28" x14ac:dyDescent="0.8">
      <c r="A1033">
        <v>520</v>
      </c>
      <c r="B1033">
        <v>60</v>
      </c>
      <c r="C1033" s="2">
        <v>44388</v>
      </c>
      <c r="D1033" t="s">
        <v>235</v>
      </c>
      <c r="E1033" t="s">
        <v>125</v>
      </c>
      <c r="F1033" t="s">
        <v>26</v>
      </c>
      <c r="G1033" t="s">
        <v>94</v>
      </c>
      <c r="H1033" t="s">
        <v>95</v>
      </c>
      <c r="I1033" t="s">
        <v>660</v>
      </c>
      <c r="J1033" t="s">
        <v>868</v>
      </c>
      <c r="K1033" t="s">
        <v>869</v>
      </c>
      <c r="L1033" t="s">
        <v>870</v>
      </c>
      <c r="M1033" t="s">
        <v>871</v>
      </c>
      <c r="N1033" t="s">
        <v>263</v>
      </c>
      <c r="O1033" t="s">
        <v>872</v>
      </c>
      <c r="P1033" t="s">
        <v>326</v>
      </c>
      <c r="Q1033" t="s">
        <v>244</v>
      </c>
      <c r="R1033" t="s">
        <v>873</v>
      </c>
      <c r="S1033" t="s">
        <v>874</v>
      </c>
      <c r="T1033" t="s">
        <v>875</v>
      </c>
      <c r="U1033" s="10" t="s">
        <v>1061</v>
      </c>
      <c r="V1033" s="10" t="s">
        <v>1066</v>
      </c>
      <c r="W1033" s="10" t="s">
        <v>1066</v>
      </c>
      <c r="X1033" s="10" t="s">
        <v>1059</v>
      </c>
      <c r="Y1033" t="s">
        <v>39</v>
      </c>
      <c r="Z1033" t="s">
        <v>40</v>
      </c>
      <c r="AA1033" t="s">
        <v>63</v>
      </c>
    </row>
    <row r="1034" spans="1:28" x14ac:dyDescent="0.8">
      <c r="A1034">
        <v>1587</v>
      </c>
      <c r="B1034">
        <v>330</v>
      </c>
      <c r="C1034" s="2">
        <v>44388</v>
      </c>
      <c r="D1034" t="s">
        <v>235</v>
      </c>
      <c r="E1034" t="s">
        <v>53</v>
      </c>
      <c r="F1034" t="s">
        <v>26</v>
      </c>
      <c r="G1034" t="s">
        <v>94</v>
      </c>
      <c r="H1034" t="s">
        <v>95</v>
      </c>
      <c r="I1034" t="s">
        <v>236</v>
      </c>
      <c r="J1034" t="s">
        <v>237</v>
      </c>
      <c r="K1034" t="s">
        <v>238</v>
      </c>
      <c r="L1034" t="s">
        <v>239</v>
      </c>
      <c r="M1034" t="s">
        <v>240</v>
      </c>
      <c r="N1034" t="s">
        <v>101</v>
      </c>
      <c r="O1034" t="s">
        <v>872</v>
      </c>
      <c r="P1034" t="s">
        <v>326</v>
      </c>
      <c r="Q1034" t="s">
        <v>244</v>
      </c>
      <c r="R1034" t="s">
        <v>873</v>
      </c>
      <c r="S1034" t="s">
        <v>874</v>
      </c>
      <c r="T1034" t="s">
        <v>875</v>
      </c>
      <c r="U1034" s="10" t="s">
        <v>1061</v>
      </c>
      <c r="V1034" s="10" t="s">
        <v>1066</v>
      </c>
      <c r="W1034" s="10" t="s">
        <v>1066</v>
      </c>
      <c r="X1034" s="10" t="s">
        <v>1059</v>
      </c>
      <c r="Y1034" t="s">
        <v>39</v>
      </c>
      <c r="Z1034" t="s">
        <v>40</v>
      </c>
      <c r="AA1034" t="s">
        <v>125</v>
      </c>
    </row>
    <row r="1035" spans="1:28" x14ac:dyDescent="0.8">
      <c r="A1035">
        <v>1493</v>
      </c>
      <c r="B1035">
        <v>2340</v>
      </c>
      <c r="C1035" s="2">
        <v>44388</v>
      </c>
      <c r="D1035" t="s">
        <v>134</v>
      </c>
      <c r="E1035" t="s">
        <v>63</v>
      </c>
      <c r="F1035" t="s">
        <v>26</v>
      </c>
      <c r="G1035" t="s">
        <v>45</v>
      </c>
      <c r="H1035" t="s">
        <v>155</v>
      </c>
      <c r="I1035" t="s">
        <v>69</v>
      </c>
      <c r="J1035" t="s">
        <v>156</v>
      </c>
      <c r="K1035" t="s">
        <v>157</v>
      </c>
      <c r="L1035" t="s">
        <v>158</v>
      </c>
      <c r="M1035" t="s">
        <v>159</v>
      </c>
      <c r="N1035" t="s">
        <v>52</v>
      </c>
      <c r="O1035" t="s">
        <v>876</v>
      </c>
      <c r="P1035" t="s">
        <v>85</v>
      </c>
      <c r="Q1035" t="s">
        <v>244</v>
      </c>
      <c r="R1035" t="s">
        <v>873</v>
      </c>
      <c r="S1035" t="s">
        <v>467</v>
      </c>
      <c r="T1035" t="s">
        <v>877</v>
      </c>
      <c r="U1035" s="10" t="s">
        <v>1061</v>
      </c>
      <c r="V1035" s="10" t="s">
        <v>1066</v>
      </c>
      <c r="W1035" s="10" t="s">
        <v>1066</v>
      </c>
      <c r="X1035" s="10" t="s">
        <v>1059</v>
      </c>
      <c r="Y1035" t="s">
        <v>39</v>
      </c>
      <c r="Z1035" t="s">
        <v>40</v>
      </c>
      <c r="AA1035" t="s">
        <v>63</v>
      </c>
    </row>
    <row r="1036" spans="1:28" x14ac:dyDescent="0.8">
      <c r="A1036">
        <v>1655</v>
      </c>
      <c r="B1036">
        <v>426</v>
      </c>
      <c r="C1036" s="2">
        <v>44388</v>
      </c>
      <c r="D1036" t="s">
        <v>235</v>
      </c>
      <c r="E1036" t="s">
        <v>53</v>
      </c>
      <c r="F1036" t="s">
        <v>26</v>
      </c>
      <c r="G1036" t="s">
        <v>45</v>
      </c>
      <c r="H1036" t="s">
        <v>68</v>
      </c>
      <c r="I1036" t="s">
        <v>69</v>
      </c>
      <c r="J1036" t="s">
        <v>70</v>
      </c>
      <c r="K1036" t="s">
        <v>71</v>
      </c>
      <c r="L1036" t="s">
        <v>72</v>
      </c>
      <c r="M1036" t="s">
        <v>73</v>
      </c>
      <c r="N1036" t="s">
        <v>61</v>
      </c>
      <c r="O1036" t="s">
        <v>876</v>
      </c>
      <c r="P1036" t="s">
        <v>85</v>
      </c>
      <c r="Q1036" t="s">
        <v>244</v>
      </c>
      <c r="R1036" t="s">
        <v>873</v>
      </c>
      <c r="S1036" t="s">
        <v>467</v>
      </c>
      <c r="T1036" t="s">
        <v>877</v>
      </c>
      <c r="U1036" s="10" t="s">
        <v>1061</v>
      </c>
      <c r="V1036" s="10" t="s">
        <v>1066</v>
      </c>
      <c r="W1036" s="10" t="s">
        <v>1066</v>
      </c>
      <c r="X1036" s="10" t="s">
        <v>1059</v>
      </c>
      <c r="Y1036" t="s">
        <v>39</v>
      </c>
      <c r="Z1036" t="s">
        <v>40</v>
      </c>
      <c r="AA1036" t="s">
        <v>41</v>
      </c>
    </row>
    <row r="1037" spans="1:28" x14ac:dyDescent="0.8">
      <c r="A1037">
        <v>1244</v>
      </c>
      <c r="B1037">
        <v>1841</v>
      </c>
      <c r="C1037" s="2">
        <v>44387</v>
      </c>
      <c r="D1037" t="s">
        <v>102</v>
      </c>
      <c r="E1037" t="s">
        <v>63</v>
      </c>
      <c r="F1037" t="s">
        <v>26</v>
      </c>
      <c r="G1037" t="s">
        <v>27</v>
      </c>
      <c r="H1037" t="s">
        <v>373</v>
      </c>
      <c r="I1037" t="s">
        <v>374</v>
      </c>
      <c r="J1037" t="s">
        <v>375</v>
      </c>
      <c r="K1037" t="s">
        <v>878</v>
      </c>
      <c r="L1037" t="s">
        <v>59</v>
      </c>
      <c r="M1037" t="s">
        <v>879</v>
      </c>
      <c r="N1037" t="s">
        <v>52</v>
      </c>
      <c r="O1037" t="s">
        <v>876</v>
      </c>
      <c r="P1037" t="s">
        <v>85</v>
      </c>
      <c r="Q1037" t="s">
        <v>244</v>
      </c>
      <c r="R1037" t="s">
        <v>873</v>
      </c>
      <c r="S1037" t="s">
        <v>467</v>
      </c>
      <c r="T1037" t="s">
        <v>877</v>
      </c>
      <c r="U1037" s="10" t="s">
        <v>1061</v>
      </c>
      <c r="V1037" s="10" t="s">
        <v>1066</v>
      </c>
      <c r="W1037" s="10" t="s">
        <v>1066</v>
      </c>
      <c r="X1037" s="10" t="s">
        <v>1059</v>
      </c>
      <c r="Y1037" t="s">
        <v>39</v>
      </c>
      <c r="Z1037" t="s">
        <v>40</v>
      </c>
      <c r="AA1037" t="s">
        <v>63</v>
      </c>
    </row>
    <row r="1038" spans="1:28" x14ac:dyDescent="0.8">
      <c r="A1038">
        <v>1239</v>
      </c>
      <c r="B1038">
        <v>1836</v>
      </c>
      <c r="C1038" s="2">
        <v>44387</v>
      </c>
      <c r="D1038" t="s">
        <v>102</v>
      </c>
      <c r="E1038" t="s">
        <v>103</v>
      </c>
      <c r="F1038" t="s">
        <v>26</v>
      </c>
      <c r="G1038" t="s">
        <v>45</v>
      </c>
      <c r="H1038" t="s">
        <v>68</v>
      </c>
      <c r="I1038" t="s">
        <v>69</v>
      </c>
      <c r="J1038" t="s">
        <v>70</v>
      </c>
      <c r="K1038" t="s">
        <v>71</v>
      </c>
      <c r="L1038" t="s">
        <v>72</v>
      </c>
      <c r="M1038" t="s">
        <v>73</v>
      </c>
      <c r="N1038" t="s">
        <v>61</v>
      </c>
      <c r="O1038" t="s">
        <v>876</v>
      </c>
      <c r="P1038" t="s">
        <v>85</v>
      </c>
      <c r="Q1038" t="s">
        <v>244</v>
      </c>
      <c r="R1038" t="s">
        <v>873</v>
      </c>
      <c r="S1038" t="s">
        <v>467</v>
      </c>
      <c r="T1038" t="s">
        <v>877</v>
      </c>
      <c r="U1038" s="10" t="s">
        <v>1061</v>
      </c>
      <c r="V1038" s="10" t="s">
        <v>1066</v>
      </c>
      <c r="W1038" s="10" t="s">
        <v>1066</v>
      </c>
      <c r="X1038" s="10" t="s">
        <v>1059</v>
      </c>
      <c r="Y1038" t="s">
        <v>39</v>
      </c>
      <c r="Z1038" t="s">
        <v>40</v>
      </c>
      <c r="AA1038" t="s">
        <v>63</v>
      </c>
    </row>
    <row r="1039" spans="1:28" x14ac:dyDescent="0.8">
      <c r="A1039">
        <v>1299</v>
      </c>
      <c r="B1039">
        <v>1996</v>
      </c>
      <c r="C1039" s="2">
        <v>44385</v>
      </c>
      <c r="D1039" t="s">
        <v>104</v>
      </c>
      <c r="E1039" t="s">
        <v>103</v>
      </c>
      <c r="F1039" t="s">
        <v>26</v>
      </c>
      <c r="G1039" t="s">
        <v>45</v>
      </c>
      <c r="H1039" t="s">
        <v>46</v>
      </c>
      <c r="I1039" t="s">
        <v>47</v>
      </c>
      <c r="J1039" t="s">
        <v>48</v>
      </c>
      <c r="K1039" t="s">
        <v>141</v>
      </c>
      <c r="L1039" t="s">
        <v>142</v>
      </c>
      <c r="M1039" t="s">
        <v>143</v>
      </c>
      <c r="N1039" t="s">
        <v>61</v>
      </c>
      <c r="O1039" t="s">
        <v>876</v>
      </c>
      <c r="P1039" t="s">
        <v>85</v>
      </c>
      <c r="Q1039" t="s">
        <v>244</v>
      </c>
      <c r="R1039" t="s">
        <v>873</v>
      </c>
      <c r="S1039" t="s">
        <v>467</v>
      </c>
      <c r="T1039" t="s">
        <v>877</v>
      </c>
      <c r="U1039" s="10" t="s">
        <v>1061</v>
      </c>
      <c r="V1039" s="10" t="s">
        <v>1066</v>
      </c>
      <c r="W1039" s="10" t="s">
        <v>1066</v>
      </c>
      <c r="X1039" s="10" t="s">
        <v>1059</v>
      </c>
      <c r="Y1039" t="s">
        <v>39</v>
      </c>
      <c r="Z1039" t="s">
        <v>40</v>
      </c>
      <c r="AA1039" t="s">
        <v>63</v>
      </c>
    </row>
    <row r="1040" spans="1:28" x14ac:dyDescent="0.8">
      <c r="A1040">
        <v>210</v>
      </c>
      <c r="B1040">
        <v>961</v>
      </c>
      <c r="C1040" s="2">
        <v>44388</v>
      </c>
      <c r="D1040" t="s">
        <v>124</v>
      </c>
      <c r="E1040" t="s">
        <v>53</v>
      </c>
      <c r="F1040" t="s">
        <v>26</v>
      </c>
      <c r="G1040" t="s">
        <v>94</v>
      </c>
      <c r="H1040" t="s">
        <v>95</v>
      </c>
      <c r="I1040" t="s">
        <v>236</v>
      </c>
      <c r="J1040" t="s">
        <v>237</v>
      </c>
      <c r="K1040" t="s">
        <v>238</v>
      </c>
      <c r="L1040" t="s">
        <v>239</v>
      </c>
      <c r="M1040" t="s">
        <v>240</v>
      </c>
      <c r="N1040" t="s">
        <v>101</v>
      </c>
      <c r="O1040" t="s">
        <v>876</v>
      </c>
      <c r="P1040" t="s">
        <v>85</v>
      </c>
      <c r="Q1040" t="s">
        <v>244</v>
      </c>
      <c r="R1040" t="s">
        <v>873</v>
      </c>
      <c r="S1040" t="s">
        <v>467</v>
      </c>
      <c r="T1040" t="s">
        <v>877</v>
      </c>
      <c r="U1040" s="10" t="s">
        <v>1061</v>
      </c>
      <c r="V1040" s="10" t="s">
        <v>1066</v>
      </c>
      <c r="W1040" s="10" t="s">
        <v>1066</v>
      </c>
      <c r="X1040" s="10" t="s">
        <v>1059</v>
      </c>
      <c r="Y1040" t="s">
        <v>39</v>
      </c>
      <c r="Z1040" t="s">
        <v>40</v>
      </c>
      <c r="AA1040" t="s">
        <v>53</v>
      </c>
    </row>
    <row r="1041" spans="1:28" x14ac:dyDescent="0.8">
      <c r="A1041">
        <v>1370</v>
      </c>
      <c r="B1041">
        <v>2067</v>
      </c>
      <c r="C1041" s="2">
        <v>44386</v>
      </c>
      <c r="D1041" t="s">
        <v>67</v>
      </c>
      <c r="E1041" t="s">
        <v>25</v>
      </c>
      <c r="F1041" t="s">
        <v>26</v>
      </c>
      <c r="G1041" t="s">
        <v>45</v>
      </c>
      <c r="H1041" t="s">
        <v>55</v>
      </c>
      <c r="I1041" t="s">
        <v>56</v>
      </c>
      <c r="J1041" t="s">
        <v>57</v>
      </c>
      <c r="K1041" t="s">
        <v>58</v>
      </c>
      <c r="L1041" t="s">
        <v>59</v>
      </c>
      <c r="M1041" t="s">
        <v>60</v>
      </c>
      <c r="N1041" t="s">
        <v>61</v>
      </c>
      <c r="O1041" t="s">
        <v>872</v>
      </c>
      <c r="P1041" t="s">
        <v>326</v>
      </c>
      <c r="Q1041" t="s">
        <v>244</v>
      </c>
      <c r="R1041" t="s">
        <v>873</v>
      </c>
      <c r="S1041" t="s">
        <v>131</v>
      </c>
      <c r="T1041" t="s">
        <v>880</v>
      </c>
      <c r="U1041" s="10" t="s">
        <v>1061</v>
      </c>
      <c r="V1041" s="10" t="s">
        <v>1066</v>
      </c>
      <c r="W1041" s="10" t="s">
        <v>1066</v>
      </c>
      <c r="X1041" s="10" t="s">
        <v>1059</v>
      </c>
      <c r="Y1041" t="s">
        <v>39</v>
      </c>
      <c r="Z1041" t="s">
        <v>40</v>
      </c>
      <c r="AA1041" t="s">
        <v>63</v>
      </c>
    </row>
    <row r="1042" spans="1:28" x14ac:dyDescent="0.8">
      <c r="A1042">
        <v>1368</v>
      </c>
      <c r="B1042">
        <v>2065</v>
      </c>
      <c r="C1042" s="2">
        <v>44386</v>
      </c>
      <c r="D1042" t="s">
        <v>67</v>
      </c>
      <c r="E1042" t="s">
        <v>25</v>
      </c>
      <c r="F1042" t="s">
        <v>26</v>
      </c>
      <c r="G1042" t="s">
        <v>45</v>
      </c>
      <c r="H1042" t="s">
        <v>55</v>
      </c>
      <c r="I1042" t="s">
        <v>56</v>
      </c>
      <c r="J1042" t="s">
        <v>57</v>
      </c>
      <c r="K1042" t="s">
        <v>58</v>
      </c>
      <c r="L1042" t="s">
        <v>59</v>
      </c>
      <c r="M1042" t="s">
        <v>60</v>
      </c>
      <c r="N1042" t="s">
        <v>61</v>
      </c>
      <c r="O1042" t="s">
        <v>872</v>
      </c>
      <c r="P1042" t="s">
        <v>326</v>
      </c>
      <c r="Q1042" t="s">
        <v>244</v>
      </c>
      <c r="R1042" t="s">
        <v>873</v>
      </c>
      <c r="S1042" t="s">
        <v>131</v>
      </c>
      <c r="T1042" t="s">
        <v>880</v>
      </c>
      <c r="U1042" s="10" t="s">
        <v>1061</v>
      </c>
      <c r="V1042" s="10" t="s">
        <v>1066</v>
      </c>
      <c r="W1042" s="10" t="s">
        <v>1066</v>
      </c>
      <c r="X1042" s="10" t="s">
        <v>1059</v>
      </c>
      <c r="Y1042" t="s">
        <v>39</v>
      </c>
      <c r="Z1042" t="s">
        <v>40</v>
      </c>
      <c r="AA1042" t="s">
        <v>63</v>
      </c>
    </row>
    <row r="1043" spans="1:28" x14ac:dyDescent="0.8">
      <c r="A1043">
        <v>862</v>
      </c>
      <c r="B1043">
        <v>942</v>
      </c>
      <c r="C1043" s="2">
        <v>44388</v>
      </c>
      <c r="D1043" t="s">
        <v>189</v>
      </c>
      <c r="E1043" t="s">
        <v>25</v>
      </c>
      <c r="F1043" t="s">
        <v>26</v>
      </c>
      <c r="G1043" t="s">
        <v>45</v>
      </c>
      <c r="H1043" t="s">
        <v>155</v>
      </c>
      <c r="I1043" t="s">
        <v>69</v>
      </c>
      <c r="J1043" t="s">
        <v>156</v>
      </c>
      <c r="K1043" t="s">
        <v>157</v>
      </c>
      <c r="L1043" t="s">
        <v>158</v>
      </c>
      <c r="M1043" t="s">
        <v>159</v>
      </c>
      <c r="N1043" t="s">
        <v>52</v>
      </c>
      <c r="O1043" t="s">
        <v>872</v>
      </c>
      <c r="P1043" t="s">
        <v>326</v>
      </c>
      <c r="Q1043" t="s">
        <v>244</v>
      </c>
      <c r="R1043" t="s">
        <v>873</v>
      </c>
      <c r="S1043" t="s">
        <v>131</v>
      </c>
      <c r="T1043" t="s">
        <v>880</v>
      </c>
      <c r="U1043" s="10" t="s">
        <v>1061</v>
      </c>
      <c r="V1043" s="10" t="s">
        <v>1066</v>
      </c>
      <c r="W1043" s="10" t="s">
        <v>1066</v>
      </c>
      <c r="X1043" s="10" t="s">
        <v>1059</v>
      </c>
      <c r="Y1043" t="s">
        <v>39</v>
      </c>
      <c r="Z1043" t="s">
        <v>40</v>
      </c>
      <c r="AA1043" t="s">
        <v>63</v>
      </c>
    </row>
    <row r="1044" spans="1:28" x14ac:dyDescent="0.8">
      <c r="A1044">
        <v>1068</v>
      </c>
      <c r="B1044">
        <v>252</v>
      </c>
      <c r="C1044" s="2">
        <v>44387</v>
      </c>
      <c r="D1044" t="s">
        <v>54</v>
      </c>
      <c r="E1044" t="s">
        <v>103</v>
      </c>
      <c r="F1044" t="s">
        <v>26</v>
      </c>
      <c r="G1044" t="s">
        <v>27</v>
      </c>
      <c r="H1044" t="s">
        <v>114</v>
      </c>
      <c r="I1044" t="s">
        <v>115</v>
      </c>
      <c r="J1044" t="s">
        <v>174</v>
      </c>
      <c r="K1044" t="s">
        <v>175</v>
      </c>
      <c r="L1044" t="s">
        <v>176</v>
      </c>
      <c r="M1044" t="s">
        <v>177</v>
      </c>
      <c r="O1044" t="s">
        <v>872</v>
      </c>
      <c r="P1044" t="s">
        <v>326</v>
      </c>
      <c r="Q1044" t="s">
        <v>244</v>
      </c>
      <c r="R1044" t="s">
        <v>873</v>
      </c>
      <c r="S1044" t="s">
        <v>131</v>
      </c>
      <c r="T1044" t="s">
        <v>880</v>
      </c>
      <c r="U1044" s="10" t="s">
        <v>1061</v>
      </c>
      <c r="V1044" s="10" t="s">
        <v>1066</v>
      </c>
      <c r="W1044" s="10" t="s">
        <v>1066</v>
      </c>
      <c r="X1044" s="10" t="s">
        <v>1059</v>
      </c>
      <c r="Y1044" t="s">
        <v>39</v>
      </c>
      <c r="Z1044" t="s">
        <v>40</v>
      </c>
      <c r="AA1044" t="s">
        <v>63</v>
      </c>
    </row>
    <row r="1045" spans="1:28" x14ac:dyDescent="0.8">
      <c r="A1045">
        <v>1341</v>
      </c>
      <c r="B1045">
        <v>2424</v>
      </c>
      <c r="C1045" s="2">
        <v>44385</v>
      </c>
      <c r="D1045" t="s">
        <v>104</v>
      </c>
      <c r="E1045" t="s">
        <v>63</v>
      </c>
      <c r="F1045" t="s">
        <v>26</v>
      </c>
      <c r="G1045" t="s">
        <v>45</v>
      </c>
      <c r="H1045" t="s">
        <v>68</v>
      </c>
      <c r="I1045" t="s">
        <v>69</v>
      </c>
      <c r="J1045" t="s">
        <v>70</v>
      </c>
      <c r="K1045" t="s">
        <v>71</v>
      </c>
      <c r="L1045" t="s">
        <v>72</v>
      </c>
      <c r="M1045" t="s">
        <v>73</v>
      </c>
      <c r="N1045" t="s">
        <v>61</v>
      </c>
      <c r="O1045" t="s">
        <v>872</v>
      </c>
      <c r="P1045" t="s">
        <v>326</v>
      </c>
      <c r="Q1045" t="s">
        <v>244</v>
      </c>
      <c r="R1045" t="s">
        <v>873</v>
      </c>
      <c r="S1045" t="s">
        <v>131</v>
      </c>
      <c r="T1045" t="s">
        <v>880</v>
      </c>
      <c r="U1045" s="10" t="s">
        <v>1061</v>
      </c>
      <c r="V1045" s="10" t="s">
        <v>1066</v>
      </c>
      <c r="W1045" s="10" t="s">
        <v>1066</v>
      </c>
      <c r="X1045" s="10" t="s">
        <v>1059</v>
      </c>
      <c r="Y1045" t="s">
        <v>39</v>
      </c>
      <c r="Z1045" t="s">
        <v>40</v>
      </c>
      <c r="AA1045" t="s">
        <v>63</v>
      </c>
    </row>
    <row r="1046" spans="1:28" x14ac:dyDescent="0.8">
      <c r="A1046">
        <v>1340</v>
      </c>
      <c r="B1046">
        <v>2423</v>
      </c>
      <c r="C1046" s="2">
        <v>44385</v>
      </c>
      <c r="D1046" t="s">
        <v>104</v>
      </c>
      <c r="E1046" t="s">
        <v>25</v>
      </c>
      <c r="F1046" t="s">
        <v>26</v>
      </c>
      <c r="G1046" t="s">
        <v>45</v>
      </c>
      <c r="H1046" t="s">
        <v>68</v>
      </c>
      <c r="I1046" t="s">
        <v>69</v>
      </c>
      <c r="J1046" t="s">
        <v>70</v>
      </c>
      <c r="K1046" t="s">
        <v>71</v>
      </c>
      <c r="L1046" t="s">
        <v>72</v>
      </c>
      <c r="M1046" t="s">
        <v>73</v>
      </c>
      <c r="N1046" t="s">
        <v>61</v>
      </c>
      <c r="O1046" t="s">
        <v>872</v>
      </c>
      <c r="P1046" t="s">
        <v>326</v>
      </c>
      <c r="Q1046" t="s">
        <v>244</v>
      </c>
      <c r="R1046" t="s">
        <v>873</v>
      </c>
      <c r="S1046" t="s">
        <v>131</v>
      </c>
      <c r="T1046" t="s">
        <v>880</v>
      </c>
      <c r="U1046" s="10" t="s">
        <v>1061</v>
      </c>
      <c r="V1046" s="10" t="s">
        <v>1066</v>
      </c>
      <c r="W1046" s="10" t="s">
        <v>1066</v>
      </c>
      <c r="X1046" s="10" t="s">
        <v>1059</v>
      </c>
      <c r="Y1046" t="s">
        <v>39</v>
      </c>
      <c r="Z1046" t="s">
        <v>40</v>
      </c>
      <c r="AA1046" t="s">
        <v>63</v>
      </c>
    </row>
    <row r="1047" spans="1:28" x14ac:dyDescent="0.8">
      <c r="A1047">
        <v>1332</v>
      </c>
      <c r="B1047">
        <v>2415</v>
      </c>
      <c r="C1047" s="2">
        <v>44385</v>
      </c>
      <c r="D1047" t="s">
        <v>104</v>
      </c>
      <c r="E1047" t="s">
        <v>25</v>
      </c>
      <c r="F1047" t="s">
        <v>26</v>
      </c>
      <c r="G1047" t="s">
        <v>45</v>
      </c>
      <c r="H1047" t="s">
        <v>46</v>
      </c>
      <c r="I1047" t="s">
        <v>47</v>
      </c>
      <c r="J1047" t="s">
        <v>48</v>
      </c>
      <c r="K1047" t="s">
        <v>49</v>
      </c>
      <c r="L1047" t="s">
        <v>91</v>
      </c>
      <c r="M1047" t="s">
        <v>92</v>
      </c>
      <c r="N1047" t="s">
        <v>61</v>
      </c>
      <c r="O1047" t="s">
        <v>872</v>
      </c>
      <c r="P1047" t="s">
        <v>326</v>
      </c>
      <c r="Q1047" t="s">
        <v>244</v>
      </c>
      <c r="R1047" t="s">
        <v>873</v>
      </c>
      <c r="S1047" t="s">
        <v>131</v>
      </c>
      <c r="T1047" t="s">
        <v>880</v>
      </c>
      <c r="U1047" s="10" t="s">
        <v>1061</v>
      </c>
      <c r="V1047" s="10" t="s">
        <v>1066</v>
      </c>
      <c r="W1047" s="10" t="s">
        <v>1066</v>
      </c>
      <c r="X1047" s="10" t="s">
        <v>1059</v>
      </c>
      <c r="Y1047" t="s">
        <v>39</v>
      </c>
      <c r="Z1047" t="s">
        <v>40</v>
      </c>
      <c r="AA1047" t="s">
        <v>63</v>
      </c>
    </row>
    <row r="1048" spans="1:28" x14ac:dyDescent="0.8">
      <c r="A1048">
        <v>1278</v>
      </c>
      <c r="B1048">
        <v>1925</v>
      </c>
      <c r="C1048" s="2">
        <v>44385</v>
      </c>
      <c r="D1048" t="s">
        <v>104</v>
      </c>
      <c r="E1048" t="s">
        <v>25</v>
      </c>
      <c r="F1048" t="s">
        <v>26</v>
      </c>
      <c r="G1048" t="s">
        <v>45</v>
      </c>
      <c r="H1048" t="s">
        <v>46</v>
      </c>
      <c r="I1048" t="s">
        <v>47</v>
      </c>
      <c r="J1048" t="s">
        <v>48</v>
      </c>
      <c r="K1048" t="s">
        <v>49</v>
      </c>
      <c r="L1048" t="s">
        <v>91</v>
      </c>
      <c r="M1048" t="s">
        <v>92</v>
      </c>
      <c r="N1048" t="s">
        <v>61</v>
      </c>
      <c r="O1048" t="s">
        <v>872</v>
      </c>
      <c r="P1048" t="s">
        <v>326</v>
      </c>
      <c r="Q1048" t="s">
        <v>244</v>
      </c>
      <c r="R1048" t="s">
        <v>873</v>
      </c>
      <c r="S1048" t="s">
        <v>131</v>
      </c>
      <c r="T1048" t="s">
        <v>880</v>
      </c>
      <c r="U1048" s="10" t="s">
        <v>1061</v>
      </c>
      <c r="V1048" s="10" t="s">
        <v>1066</v>
      </c>
      <c r="W1048" s="10" t="s">
        <v>1066</v>
      </c>
      <c r="X1048" s="10" t="s">
        <v>1059</v>
      </c>
      <c r="Y1048" t="s">
        <v>140</v>
      </c>
      <c r="Z1048" t="s">
        <v>40</v>
      </c>
      <c r="AA1048" t="s">
        <v>63</v>
      </c>
    </row>
    <row r="1049" spans="1:28" x14ac:dyDescent="0.8">
      <c r="A1049">
        <v>1327</v>
      </c>
      <c r="B1049">
        <v>2410</v>
      </c>
      <c r="C1049" s="2">
        <v>44385</v>
      </c>
      <c r="D1049" t="s">
        <v>104</v>
      </c>
      <c r="E1049" t="s">
        <v>63</v>
      </c>
      <c r="F1049" t="s">
        <v>26</v>
      </c>
      <c r="G1049" t="s">
        <v>94</v>
      </c>
      <c r="H1049" t="s">
        <v>95</v>
      </c>
      <c r="I1049" t="s">
        <v>236</v>
      </c>
      <c r="J1049" t="s">
        <v>237</v>
      </c>
      <c r="K1049" t="s">
        <v>238</v>
      </c>
      <c r="L1049" t="s">
        <v>239</v>
      </c>
      <c r="M1049" t="s">
        <v>240</v>
      </c>
      <c r="N1049" t="s">
        <v>101</v>
      </c>
      <c r="O1049" t="s">
        <v>872</v>
      </c>
      <c r="P1049" t="s">
        <v>326</v>
      </c>
      <c r="Q1049" t="s">
        <v>244</v>
      </c>
      <c r="R1049" t="s">
        <v>873</v>
      </c>
      <c r="S1049" t="s">
        <v>131</v>
      </c>
      <c r="T1049" t="s">
        <v>880</v>
      </c>
      <c r="U1049" s="10" t="s">
        <v>1061</v>
      </c>
      <c r="V1049" s="10" t="s">
        <v>1066</v>
      </c>
      <c r="W1049" s="10" t="s">
        <v>1066</v>
      </c>
      <c r="X1049" s="10" t="s">
        <v>1059</v>
      </c>
      <c r="Y1049" t="s">
        <v>39</v>
      </c>
      <c r="Z1049" t="s">
        <v>40</v>
      </c>
      <c r="AA1049" t="s">
        <v>63</v>
      </c>
    </row>
    <row r="1050" spans="1:28" x14ac:dyDescent="0.8">
      <c r="A1050">
        <v>761</v>
      </c>
      <c r="B1050">
        <v>1242</v>
      </c>
      <c r="C1050" s="2">
        <v>44385</v>
      </c>
      <c r="D1050" t="s">
        <v>108</v>
      </c>
      <c r="E1050" t="s">
        <v>25</v>
      </c>
      <c r="F1050" t="s">
        <v>26</v>
      </c>
      <c r="G1050" t="s">
        <v>45</v>
      </c>
      <c r="H1050" t="s">
        <v>155</v>
      </c>
      <c r="I1050" t="s">
        <v>69</v>
      </c>
      <c r="J1050" t="s">
        <v>156</v>
      </c>
      <c r="K1050" t="s">
        <v>157</v>
      </c>
      <c r="L1050" t="s">
        <v>232</v>
      </c>
      <c r="M1050" t="s">
        <v>233</v>
      </c>
      <c r="N1050" t="s">
        <v>52</v>
      </c>
      <c r="O1050" t="s">
        <v>872</v>
      </c>
      <c r="P1050" t="s">
        <v>326</v>
      </c>
      <c r="Q1050" t="s">
        <v>244</v>
      </c>
      <c r="R1050" t="s">
        <v>873</v>
      </c>
      <c r="S1050" t="s">
        <v>131</v>
      </c>
      <c r="T1050" t="s">
        <v>880</v>
      </c>
      <c r="U1050" s="10" t="s">
        <v>1061</v>
      </c>
      <c r="V1050" s="10" t="s">
        <v>1066</v>
      </c>
      <c r="W1050" s="10" t="s">
        <v>1066</v>
      </c>
      <c r="X1050" s="10" t="s">
        <v>1059</v>
      </c>
      <c r="Y1050" t="s">
        <v>39</v>
      </c>
      <c r="Z1050" t="s">
        <v>40</v>
      </c>
      <c r="AA1050" t="s">
        <v>63</v>
      </c>
    </row>
    <row r="1051" spans="1:28" x14ac:dyDescent="0.8">
      <c r="A1051">
        <v>762</v>
      </c>
      <c r="B1051">
        <v>1243</v>
      </c>
      <c r="C1051" s="2">
        <v>44385</v>
      </c>
      <c r="D1051" t="s">
        <v>108</v>
      </c>
      <c r="E1051" t="s">
        <v>25</v>
      </c>
      <c r="F1051" t="s">
        <v>26</v>
      </c>
      <c r="G1051" t="s">
        <v>45</v>
      </c>
      <c r="H1051" t="s">
        <v>155</v>
      </c>
      <c r="I1051" t="s">
        <v>69</v>
      </c>
      <c r="J1051" t="s">
        <v>156</v>
      </c>
      <c r="K1051" t="s">
        <v>157</v>
      </c>
      <c r="L1051" t="s">
        <v>158</v>
      </c>
      <c r="M1051" t="s">
        <v>159</v>
      </c>
      <c r="N1051" t="s">
        <v>52</v>
      </c>
      <c r="O1051" t="s">
        <v>872</v>
      </c>
      <c r="P1051" t="s">
        <v>326</v>
      </c>
      <c r="Q1051" t="s">
        <v>244</v>
      </c>
      <c r="R1051" t="s">
        <v>873</v>
      </c>
      <c r="S1051" t="s">
        <v>131</v>
      </c>
      <c r="T1051" t="s">
        <v>880</v>
      </c>
      <c r="U1051" s="10" t="s">
        <v>1061</v>
      </c>
      <c r="V1051" s="10" t="s">
        <v>1066</v>
      </c>
      <c r="W1051" s="10" t="s">
        <v>1066</v>
      </c>
      <c r="X1051" s="10" t="s">
        <v>1059</v>
      </c>
      <c r="Y1051" t="s">
        <v>39</v>
      </c>
      <c r="Z1051" t="s">
        <v>40</v>
      </c>
      <c r="AA1051" t="s">
        <v>63</v>
      </c>
    </row>
    <row r="1052" spans="1:28" x14ac:dyDescent="0.8">
      <c r="A1052">
        <v>776</v>
      </c>
      <c r="B1052">
        <v>673</v>
      </c>
      <c r="C1052" s="2">
        <v>44385</v>
      </c>
      <c r="D1052" t="s">
        <v>108</v>
      </c>
      <c r="E1052" t="s">
        <v>44</v>
      </c>
      <c r="F1052" t="s">
        <v>26</v>
      </c>
      <c r="G1052" t="s">
        <v>94</v>
      </c>
      <c r="H1052" t="s">
        <v>95</v>
      </c>
      <c r="I1052" t="s">
        <v>96</v>
      </c>
      <c r="J1052" t="s">
        <v>97</v>
      </c>
      <c r="K1052" t="s">
        <v>98</v>
      </c>
      <c r="L1052" t="s">
        <v>99</v>
      </c>
      <c r="M1052" t="s">
        <v>100</v>
      </c>
      <c r="N1052" t="s">
        <v>101</v>
      </c>
      <c r="O1052" t="s">
        <v>872</v>
      </c>
      <c r="P1052" t="s">
        <v>326</v>
      </c>
      <c r="Q1052" t="s">
        <v>244</v>
      </c>
      <c r="R1052" t="s">
        <v>873</v>
      </c>
      <c r="S1052" t="s">
        <v>131</v>
      </c>
      <c r="T1052" t="s">
        <v>880</v>
      </c>
      <c r="U1052" s="10" t="s">
        <v>1061</v>
      </c>
      <c r="V1052" s="10" t="s">
        <v>1066</v>
      </c>
      <c r="W1052" s="10" t="s">
        <v>1066</v>
      </c>
      <c r="X1052" s="10" t="s">
        <v>1059</v>
      </c>
      <c r="Y1052" t="s">
        <v>39</v>
      </c>
      <c r="Z1052" t="s">
        <v>40</v>
      </c>
      <c r="AA1052" t="s">
        <v>63</v>
      </c>
    </row>
    <row r="1053" spans="1:28" x14ac:dyDescent="0.8">
      <c r="A1053">
        <v>739</v>
      </c>
      <c r="B1053">
        <v>546</v>
      </c>
      <c r="C1053" s="2">
        <v>44385</v>
      </c>
      <c r="D1053" t="s">
        <v>108</v>
      </c>
      <c r="E1053" t="s">
        <v>63</v>
      </c>
      <c r="F1053" t="s">
        <v>26</v>
      </c>
      <c r="G1053" t="s">
        <v>94</v>
      </c>
      <c r="H1053" t="s">
        <v>95</v>
      </c>
      <c r="I1053" t="s">
        <v>96</v>
      </c>
      <c r="J1053" t="s">
        <v>97</v>
      </c>
      <c r="K1053" t="s">
        <v>98</v>
      </c>
      <c r="L1053" t="s">
        <v>99</v>
      </c>
      <c r="M1053" t="s">
        <v>100</v>
      </c>
      <c r="N1053" t="s">
        <v>263</v>
      </c>
      <c r="O1053" t="s">
        <v>872</v>
      </c>
      <c r="P1053" t="s">
        <v>326</v>
      </c>
      <c r="Q1053" t="s">
        <v>244</v>
      </c>
      <c r="R1053" t="s">
        <v>873</v>
      </c>
      <c r="S1053" t="s">
        <v>131</v>
      </c>
      <c r="T1053" t="s">
        <v>880</v>
      </c>
      <c r="U1053" s="10" t="s">
        <v>1061</v>
      </c>
      <c r="V1053" s="10" t="s">
        <v>1066</v>
      </c>
      <c r="W1053" s="10" t="s">
        <v>1066</v>
      </c>
      <c r="X1053" s="10" t="s">
        <v>1059</v>
      </c>
      <c r="Y1053" t="s">
        <v>39</v>
      </c>
      <c r="Z1053" t="s">
        <v>40</v>
      </c>
      <c r="AA1053" t="s">
        <v>63</v>
      </c>
    </row>
    <row r="1054" spans="1:28" x14ac:dyDescent="0.8">
      <c r="A1054">
        <v>392</v>
      </c>
      <c r="B1054">
        <v>488</v>
      </c>
      <c r="C1054" s="2">
        <v>44384</v>
      </c>
      <c r="D1054" t="s">
        <v>306</v>
      </c>
      <c r="E1054" t="s">
        <v>25</v>
      </c>
      <c r="F1054" t="s">
        <v>26</v>
      </c>
      <c r="G1054" t="s">
        <v>45</v>
      </c>
      <c r="H1054" t="s">
        <v>68</v>
      </c>
      <c r="I1054" t="s">
        <v>69</v>
      </c>
      <c r="J1054" t="s">
        <v>70</v>
      </c>
      <c r="K1054" t="s">
        <v>71</v>
      </c>
      <c r="L1054" t="s">
        <v>72</v>
      </c>
      <c r="M1054" t="s">
        <v>73</v>
      </c>
      <c r="N1054" t="s">
        <v>61</v>
      </c>
      <c r="O1054" t="s">
        <v>872</v>
      </c>
      <c r="P1054" t="s">
        <v>326</v>
      </c>
      <c r="Q1054" t="s">
        <v>244</v>
      </c>
      <c r="R1054" t="s">
        <v>873</v>
      </c>
      <c r="S1054" t="s">
        <v>131</v>
      </c>
      <c r="T1054" t="s">
        <v>880</v>
      </c>
      <c r="U1054" s="10" t="s">
        <v>1061</v>
      </c>
      <c r="V1054" s="10" t="s">
        <v>1066</v>
      </c>
      <c r="W1054" s="10" t="s">
        <v>1066</v>
      </c>
      <c r="X1054" s="10" t="s">
        <v>1059</v>
      </c>
      <c r="Y1054" t="s">
        <v>39</v>
      </c>
      <c r="Z1054" t="s">
        <v>40</v>
      </c>
      <c r="AA1054" t="s">
        <v>53</v>
      </c>
      <c r="AB1054" t="s">
        <v>881</v>
      </c>
    </row>
    <row r="1055" spans="1:28" x14ac:dyDescent="0.8">
      <c r="A1055">
        <v>376</v>
      </c>
      <c r="B1055">
        <v>472</v>
      </c>
      <c r="C1055" s="2">
        <v>44384</v>
      </c>
      <c r="D1055" t="s">
        <v>306</v>
      </c>
      <c r="E1055" t="s">
        <v>63</v>
      </c>
      <c r="F1055" t="s">
        <v>26</v>
      </c>
      <c r="G1055" t="s">
        <v>45</v>
      </c>
      <c r="H1055" t="s">
        <v>155</v>
      </c>
      <c r="I1055" t="s">
        <v>69</v>
      </c>
      <c r="J1055" t="s">
        <v>156</v>
      </c>
      <c r="K1055" t="s">
        <v>157</v>
      </c>
      <c r="L1055" t="s">
        <v>158</v>
      </c>
      <c r="M1055" t="s">
        <v>159</v>
      </c>
      <c r="N1055" t="s">
        <v>52</v>
      </c>
      <c r="O1055" t="s">
        <v>872</v>
      </c>
      <c r="P1055" t="s">
        <v>326</v>
      </c>
      <c r="Q1055" t="s">
        <v>244</v>
      </c>
      <c r="R1055" t="s">
        <v>873</v>
      </c>
      <c r="S1055" t="s">
        <v>131</v>
      </c>
      <c r="T1055" t="s">
        <v>880</v>
      </c>
      <c r="U1055" s="10" t="s">
        <v>1061</v>
      </c>
      <c r="V1055" s="10" t="s">
        <v>1066</v>
      </c>
      <c r="W1055" s="10" t="s">
        <v>1066</v>
      </c>
      <c r="X1055" s="10" t="s">
        <v>1059</v>
      </c>
      <c r="Y1055" t="s">
        <v>140</v>
      </c>
      <c r="Z1055" t="s">
        <v>40</v>
      </c>
      <c r="AA1055" t="s">
        <v>53</v>
      </c>
      <c r="AB1055" t="s">
        <v>882</v>
      </c>
    </row>
    <row r="1056" spans="1:28" x14ac:dyDescent="0.8">
      <c r="A1056">
        <v>945</v>
      </c>
      <c r="B1056">
        <v>1121</v>
      </c>
      <c r="C1056" s="2">
        <v>44384</v>
      </c>
      <c r="D1056" t="s">
        <v>242</v>
      </c>
      <c r="E1056" t="s">
        <v>125</v>
      </c>
      <c r="F1056" t="s">
        <v>26</v>
      </c>
      <c r="G1056" t="s">
        <v>45</v>
      </c>
      <c r="H1056" t="s">
        <v>68</v>
      </c>
      <c r="I1056" t="s">
        <v>69</v>
      </c>
      <c r="J1056" t="s">
        <v>70</v>
      </c>
      <c r="K1056" t="s">
        <v>71</v>
      </c>
      <c r="L1056" t="s">
        <v>72</v>
      </c>
      <c r="M1056" t="s">
        <v>73</v>
      </c>
      <c r="N1056" t="s">
        <v>61</v>
      </c>
      <c r="O1056" t="s">
        <v>872</v>
      </c>
      <c r="P1056" t="s">
        <v>326</v>
      </c>
      <c r="Q1056" t="s">
        <v>244</v>
      </c>
      <c r="R1056" t="s">
        <v>873</v>
      </c>
      <c r="S1056" t="s">
        <v>131</v>
      </c>
      <c r="T1056" t="s">
        <v>880</v>
      </c>
      <c r="U1056" s="10" t="s">
        <v>1061</v>
      </c>
      <c r="V1056" s="10" t="s">
        <v>1066</v>
      </c>
      <c r="W1056" s="10" t="s">
        <v>1066</v>
      </c>
      <c r="X1056" s="10" t="s">
        <v>1059</v>
      </c>
      <c r="Y1056" t="s">
        <v>39</v>
      </c>
      <c r="Z1056" t="s">
        <v>40</v>
      </c>
      <c r="AA1056" t="s">
        <v>63</v>
      </c>
    </row>
    <row r="1057" spans="1:28" x14ac:dyDescent="0.8">
      <c r="A1057">
        <v>917</v>
      </c>
      <c r="B1057">
        <v>335</v>
      </c>
      <c r="C1057" s="2">
        <v>44384</v>
      </c>
      <c r="D1057" t="s">
        <v>242</v>
      </c>
      <c r="E1057" t="s">
        <v>63</v>
      </c>
      <c r="F1057" t="s">
        <v>26</v>
      </c>
      <c r="G1057" t="s">
        <v>45</v>
      </c>
      <c r="H1057" t="s">
        <v>68</v>
      </c>
      <c r="I1057" t="s">
        <v>69</v>
      </c>
      <c r="J1057" t="s">
        <v>70</v>
      </c>
      <c r="K1057" t="s">
        <v>71</v>
      </c>
      <c r="L1057" t="s">
        <v>72</v>
      </c>
      <c r="M1057" t="s">
        <v>73</v>
      </c>
      <c r="N1057" t="s">
        <v>61</v>
      </c>
      <c r="O1057" t="s">
        <v>872</v>
      </c>
      <c r="P1057" t="s">
        <v>326</v>
      </c>
      <c r="Q1057" t="s">
        <v>244</v>
      </c>
      <c r="R1057" t="s">
        <v>873</v>
      </c>
      <c r="S1057" t="s">
        <v>131</v>
      </c>
      <c r="T1057" t="s">
        <v>880</v>
      </c>
      <c r="U1057" s="10" t="s">
        <v>1061</v>
      </c>
      <c r="V1057" s="10" t="s">
        <v>1066</v>
      </c>
      <c r="W1057" s="10" t="s">
        <v>1066</v>
      </c>
      <c r="X1057" s="10" t="s">
        <v>1059</v>
      </c>
      <c r="Y1057" t="s">
        <v>39</v>
      </c>
      <c r="Z1057" t="s">
        <v>40</v>
      </c>
      <c r="AA1057" t="s">
        <v>63</v>
      </c>
    </row>
    <row r="1058" spans="1:28" x14ac:dyDescent="0.8">
      <c r="A1058">
        <v>915</v>
      </c>
      <c r="B1058">
        <v>333</v>
      </c>
      <c r="C1058" s="2">
        <v>44384</v>
      </c>
      <c r="D1058" t="s">
        <v>242</v>
      </c>
      <c r="E1058" t="s">
        <v>63</v>
      </c>
      <c r="F1058" t="s">
        <v>26</v>
      </c>
      <c r="G1058" t="s">
        <v>94</v>
      </c>
      <c r="H1058" t="s">
        <v>95</v>
      </c>
      <c r="I1058" t="s">
        <v>96</v>
      </c>
      <c r="J1058" t="s">
        <v>97</v>
      </c>
      <c r="K1058" t="s">
        <v>98</v>
      </c>
      <c r="L1058" t="s">
        <v>99</v>
      </c>
      <c r="M1058" t="s">
        <v>100</v>
      </c>
      <c r="N1058" t="s">
        <v>101</v>
      </c>
      <c r="O1058" t="s">
        <v>872</v>
      </c>
      <c r="P1058" t="s">
        <v>326</v>
      </c>
      <c r="Q1058" t="s">
        <v>244</v>
      </c>
      <c r="R1058" t="s">
        <v>873</v>
      </c>
      <c r="S1058" t="s">
        <v>131</v>
      </c>
      <c r="T1058" t="s">
        <v>880</v>
      </c>
      <c r="U1058" s="10" t="s">
        <v>1061</v>
      </c>
      <c r="V1058" s="10" t="s">
        <v>1066</v>
      </c>
      <c r="W1058" s="10" t="s">
        <v>1066</v>
      </c>
      <c r="X1058" s="10" t="s">
        <v>1059</v>
      </c>
      <c r="Y1058" t="s">
        <v>39</v>
      </c>
      <c r="Z1058" t="s">
        <v>40</v>
      </c>
      <c r="AA1058" t="s">
        <v>63</v>
      </c>
    </row>
    <row r="1059" spans="1:28" x14ac:dyDescent="0.8">
      <c r="A1059">
        <v>911</v>
      </c>
      <c r="B1059">
        <v>1039</v>
      </c>
      <c r="C1059" s="2">
        <v>44384</v>
      </c>
      <c r="D1059" t="s">
        <v>242</v>
      </c>
      <c r="E1059" t="s">
        <v>63</v>
      </c>
      <c r="F1059" t="s">
        <v>26</v>
      </c>
      <c r="G1059" t="s">
        <v>94</v>
      </c>
      <c r="H1059" t="s">
        <v>95</v>
      </c>
      <c r="I1059" t="s">
        <v>96</v>
      </c>
      <c r="J1059" t="s">
        <v>97</v>
      </c>
      <c r="K1059" t="s">
        <v>98</v>
      </c>
      <c r="L1059" t="s">
        <v>99</v>
      </c>
      <c r="M1059" t="s">
        <v>100</v>
      </c>
      <c r="N1059" t="s">
        <v>101</v>
      </c>
      <c r="O1059" t="s">
        <v>872</v>
      </c>
      <c r="P1059" t="s">
        <v>326</v>
      </c>
      <c r="Q1059" t="s">
        <v>244</v>
      </c>
      <c r="R1059" t="s">
        <v>873</v>
      </c>
      <c r="S1059" t="s">
        <v>131</v>
      </c>
      <c r="T1059" t="s">
        <v>880</v>
      </c>
      <c r="U1059" s="10" t="s">
        <v>1061</v>
      </c>
      <c r="V1059" s="10" t="s">
        <v>1066</v>
      </c>
      <c r="W1059" s="10" t="s">
        <v>1066</v>
      </c>
      <c r="X1059" s="10" t="s">
        <v>1059</v>
      </c>
      <c r="Y1059" t="s">
        <v>39</v>
      </c>
      <c r="Z1059" t="s">
        <v>40</v>
      </c>
      <c r="AA1059" t="s">
        <v>63</v>
      </c>
    </row>
    <row r="1060" spans="1:28" x14ac:dyDescent="0.8">
      <c r="A1060">
        <v>951</v>
      </c>
      <c r="B1060">
        <v>585</v>
      </c>
      <c r="C1060" s="2">
        <v>44384</v>
      </c>
      <c r="D1060" t="s">
        <v>242</v>
      </c>
      <c r="E1060" t="s">
        <v>125</v>
      </c>
      <c r="F1060" t="s">
        <v>26</v>
      </c>
      <c r="G1060" t="s">
        <v>94</v>
      </c>
      <c r="H1060" t="s">
        <v>95</v>
      </c>
      <c r="I1060" t="s">
        <v>236</v>
      </c>
      <c r="J1060" t="s">
        <v>237</v>
      </c>
      <c r="K1060" t="s">
        <v>238</v>
      </c>
      <c r="L1060" t="s">
        <v>239</v>
      </c>
      <c r="M1060" t="s">
        <v>240</v>
      </c>
      <c r="N1060" t="s">
        <v>263</v>
      </c>
      <c r="O1060" t="s">
        <v>872</v>
      </c>
      <c r="P1060" t="s">
        <v>326</v>
      </c>
      <c r="Q1060" t="s">
        <v>244</v>
      </c>
      <c r="R1060" t="s">
        <v>873</v>
      </c>
      <c r="S1060" t="s">
        <v>131</v>
      </c>
      <c r="T1060" t="s">
        <v>880</v>
      </c>
      <c r="U1060" s="10" t="s">
        <v>1061</v>
      </c>
      <c r="V1060" s="10" t="s">
        <v>1066</v>
      </c>
      <c r="W1060" s="10" t="s">
        <v>1066</v>
      </c>
      <c r="X1060" s="10" t="s">
        <v>1059</v>
      </c>
      <c r="Y1060" t="s">
        <v>39</v>
      </c>
      <c r="Z1060" t="s">
        <v>40</v>
      </c>
      <c r="AA1060" t="s">
        <v>63</v>
      </c>
    </row>
    <row r="1061" spans="1:28" x14ac:dyDescent="0.8">
      <c r="A1061">
        <v>1724</v>
      </c>
      <c r="B1061">
        <v>811</v>
      </c>
      <c r="C1061" s="2">
        <v>44384</v>
      </c>
      <c r="D1061" t="s">
        <v>151</v>
      </c>
      <c r="E1061" t="s">
        <v>63</v>
      </c>
      <c r="F1061" t="s">
        <v>26</v>
      </c>
      <c r="G1061" t="s">
        <v>27</v>
      </c>
      <c r="H1061" t="s">
        <v>114</v>
      </c>
      <c r="I1061" t="s">
        <v>115</v>
      </c>
      <c r="J1061" t="s">
        <v>116</v>
      </c>
      <c r="K1061" t="s">
        <v>307</v>
      </c>
      <c r="L1061" t="s">
        <v>308</v>
      </c>
      <c r="M1061" t="s">
        <v>309</v>
      </c>
      <c r="O1061" t="s">
        <v>888</v>
      </c>
      <c r="P1061" t="s">
        <v>85</v>
      </c>
      <c r="Q1061" t="s">
        <v>539</v>
      </c>
      <c r="R1061" t="s">
        <v>889</v>
      </c>
      <c r="S1061" t="s">
        <v>890</v>
      </c>
      <c r="T1061" t="s">
        <v>891</v>
      </c>
      <c r="U1061" s="10" t="s">
        <v>1061</v>
      </c>
      <c r="V1061" s="10" t="s">
        <v>1066</v>
      </c>
      <c r="W1061" s="10" t="s">
        <v>1066</v>
      </c>
      <c r="X1061" s="10" t="s">
        <v>1059</v>
      </c>
      <c r="Y1061" t="s">
        <v>39</v>
      </c>
      <c r="Z1061" t="s">
        <v>40</v>
      </c>
      <c r="AA1061" t="s">
        <v>41</v>
      </c>
    </row>
    <row r="1062" spans="1:28" x14ac:dyDescent="0.8">
      <c r="A1062">
        <v>234</v>
      </c>
      <c r="B1062">
        <v>1134</v>
      </c>
      <c r="C1062" s="2">
        <v>44384</v>
      </c>
      <c r="D1062" t="s">
        <v>151</v>
      </c>
      <c r="E1062" t="s">
        <v>63</v>
      </c>
      <c r="F1062" t="s">
        <v>26</v>
      </c>
      <c r="G1062" t="s">
        <v>45</v>
      </c>
      <c r="H1062" t="s">
        <v>68</v>
      </c>
      <c r="I1062" t="s">
        <v>69</v>
      </c>
      <c r="J1062" t="s">
        <v>70</v>
      </c>
      <c r="K1062" t="s">
        <v>71</v>
      </c>
      <c r="L1062" t="s">
        <v>72</v>
      </c>
      <c r="M1062" t="s">
        <v>73</v>
      </c>
      <c r="N1062" t="s">
        <v>61</v>
      </c>
      <c r="O1062" t="s">
        <v>888</v>
      </c>
      <c r="P1062" t="s">
        <v>85</v>
      </c>
      <c r="Q1062" t="s">
        <v>539</v>
      </c>
      <c r="R1062" t="s">
        <v>889</v>
      </c>
      <c r="S1062" t="s">
        <v>890</v>
      </c>
      <c r="T1062" t="s">
        <v>891</v>
      </c>
      <c r="U1062" s="10" t="s">
        <v>1061</v>
      </c>
      <c r="V1062" s="10" t="s">
        <v>1066</v>
      </c>
      <c r="W1062" s="10" t="s">
        <v>1066</v>
      </c>
      <c r="X1062" s="10" t="s">
        <v>1059</v>
      </c>
      <c r="Y1062" t="s">
        <v>39</v>
      </c>
      <c r="Z1062" t="s">
        <v>40</v>
      </c>
      <c r="AA1062" t="s">
        <v>53</v>
      </c>
    </row>
    <row r="1063" spans="1:28" x14ac:dyDescent="0.8">
      <c r="A1063">
        <v>1769</v>
      </c>
      <c r="B1063">
        <v>1487</v>
      </c>
      <c r="C1063" s="2">
        <v>44387</v>
      </c>
      <c r="D1063" t="s">
        <v>173</v>
      </c>
      <c r="E1063" t="s">
        <v>103</v>
      </c>
      <c r="F1063" t="s">
        <v>26</v>
      </c>
      <c r="G1063" t="s">
        <v>45</v>
      </c>
      <c r="H1063" t="s">
        <v>68</v>
      </c>
      <c r="I1063" t="s">
        <v>69</v>
      </c>
      <c r="J1063" t="s">
        <v>70</v>
      </c>
      <c r="K1063" t="s">
        <v>71</v>
      </c>
      <c r="L1063" t="s">
        <v>72</v>
      </c>
      <c r="M1063" t="s">
        <v>73</v>
      </c>
      <c r="N1063" t="s">
        <v>61</v>
      </c>
      <c r="O1063" t="s">
        <v>822</v>
      </c>
      <c r="P1063" t="s">
        <v>85</v>
      </c>
      <c r="Q1063" t="s">
        <v>668</v>
      </c>
      <c r="R1063" t="s">
        <v>823</v>
      </c>
      <c r="S1063" t="s">
        <v>220</v>
      </c>
      <c r="T1063" t="s">
        <v>824</v>
      </c>
      <c r="U1063" s="10" t="s">
        <v>1061</v>
      </c>
      <c r="V1063" s="10" t="s">
        <v>1066</v>
      </c>
      <c r="W1063" s="10" t="s">
        <v>1066</v>
      </c>
      <c r="X1063" s="10" t="s">
        <v>1097</v>
      </c>
      <c r="Y1063" t="s">
        <v>39</v>
      </c>
      <c r="Z1063" t="s">
        <v>40</v>
      </c>
      <c r="AA1063" t="s">
        <v>41</v>
      </c>
    </row>
    <row r="1064" spans="1:28" x14ac:dyDescent="0.8">
      <c r="A1064">
        <v>1773</v>
      </c>
      <c r="B1064">
        <v>1491</v>
      </c>
      <c r="C1064" s="2">
        <v>44387</v>
      </c>
      <c r="D1064" t="s">
        <v>173</v>
      </c>
      <c r="E1064" t="s">
        <v>103</v>
      </c>
      <c r="F1064" t="s">
        <v>26</v>
      </c>
      <c r="G1064" t="s">
        <v>45</v>
      </c>
      <c r="H1064" t="s">
        <v>79</v>
      </c>
      <c r="I1064" t="s">
        <v>69</v>
      </c>
      <c r="J1064" t="s">
        <v>80</v>
      </c>
      <c r="K1064" t="s">
        <v>81</v>
      </c>
      <c r="L1064" t="s">
        <v>638</v>
      </c>
      <c r="M1064" t="s">
        <v>639</v>
      </c>
      <c r="N1064" t="s">
        <v>61</v>
      </c>
      <c r="O1064" t="s">
        <v>822</v>
      </c>
      <c r="P1064" t="s">
        <v>85</v>
      </c>
      <c r="Q1064" t="s">
        <v>668</v>
      </c>
      <c r="R1064" t="s">
        <v>823</v>
      </c>
      <c r="S1064" t="s">
        <v>220</v>
      </c>
      <c r="T1064" t="s">
        <v>824</v>
      </c>
      <c r="U1064" s="10" t="s">
        <v>1061</v>
      </c>
      <c r="V1064" s="10" t="s">
        <v>1066</v>
      </c>
      <c r="W1064" s="10" t="s">
        <v>1066</v>
      </c>
      <c r="X1064" s="10" t="s">
        <v>1097</v>
      </c>
      <c r="Y1064" t="s">
        <v>39</v>
      </c>
      <c r="Z1064" t="s">
        <v>40</v>
      </c>
      <c r="AA1064" t="s">
        <v>41</v>
      </c>
    </row>
    <row r="1065" spans="1:28" x14ac:dyDescent="0.8">
      <c r="A1065">
        <v>174</v>
      </c>
      <c r="B1065">
        <v>1260</v>
      </c>
      <c r="C1065" s="2">
        <v>44388</v>
      </c>
      <c r="D1065" t="s">
        <v>235</v>
      </c>
      <c r="E1065" t="s">
        <v>125</v>
      </c>
      <c r="F1065" t="s">
        <v>26</v>
      </c>
      <c r="G1065" t="s">
        <v>27</v>
      </c>
      <c r="H1065" t="s">
        <v>28</v>
      </c>
      <c r="I1065" t="s">
        <v>109</v>
      </c>
      <c r="J1065" t="s">
        <v>110</v>
      </c>
      <c r="K1065" t="s">
        <v>111</v>
      </c>
      <c r="L1065" t="s">
        <v>112</v>
      </c>
      <c r="M1065" t="s">
        <v>113</v>
      </c>
      <c r="N1065" t="s">
        <v>61</v>
      </c>
      <c r="O1065" t="s">
        <v>825</v>
      </c>
      <c r="P1065" t="s">
        <v>85</v>
      </c>
      <c r="Q1065" t="s">
        <v>668</v>
      </c>
      <c r="R1065" t="s">
        <v>823</v>
      </c>
      <c r="S1065" t="s">
        <v>220</v>
      </c>
      <c r="T1065" t="s">
        <v>824</v>
      </c>
      <c r="U1065" s="10" t="s">
        <v>1061</v>
      </c>
      <c r="V1065" s="10" t="s">
        <v>1066</v>
      </c>
      <c r="W1065" s="10" t="s">
        <v>1066</v>
      </c>
      <c r="X1065" s="10" t="s">
        <v>1097</v>
      </c>
      <c r="Y1065" t="s">
        <v>39</v>
      </c>
      <c r="Z1065" t="s">
        <v>40</v>
      </c>
      <c r="AA1065" t="s">
        <v>53</v>
      </c>
      <c r="AB1065" t="s">
        <v>826</v>
      </c>
    </row>
    <row r="1066" spans="1:28" x14ac:dyDescent="0.8">
      <c r="A1066">
        <v>1577</v>
      </c>
      <c r="B1066">
        <v>322</v>
      </c>
      <c r="C1066" s="2">
        <v>44388</v>
      </c>
      <c r="D1066" t="s">
        <v>235</v>
      </c>
      <c r="E1066" t="s">
        <v>53</v>
      </c>
      <c r="F1066" t="s">
        <v>26</v>
      </c>
      <c r="G1066" t="s">
        <v>45</v>
      </c>
      <c r="H1066" t="s">
        <v>155</v>
      </c>
      <c r="I1066" t="s">
        <v>69</v>
      </c>
      <c r="J1066" t="s">
        <v>156</v>
      </c>
      <c r="K1066" t="s">
        <v>157</v>
      </c>
      <c r="L1066" t="s">
        <v>158</v>
      </c>
      <c r="M1066" t="s">
        <v>159</v>
      </c>
      <c r="N1066" t="s">
        <v>61</v>
      </c>
      <c r="O1066" t="s">
        <v>825</v>
      </c>
      <c r="P1066" t="s">
        <v>85</v>
      </c>
      <c r="Q1066" t="s">
        <v>668</v>
      </c>
      <c r="R1066" t="s">
        <v>823</v>
      </c>
      <c r="S1066" t="s">
        <v>220</v>
      </c>
      <c r="T1066" t="s">
        <v>824</v>
      </c>
      <c r="U1066" s="10" t="s">
        <v>1061</v>
      </c>
      <c r="V1066" s="10" t="s">
        <v>1066</v>
      </c>
      <c r="W1066" s="10" t="s">
        <v>1066</v>
      </c>
      <c r="X1066" s="10" t="s">
        <v>1097</v>
      </c>
      <c r="Y1066" t="s">
        <v>39</v>
      </c>
      <c r="Z1066" t="s">
        <v>40</v>
      </c>
      <c r="AA1066" t="s">
        <v>125</v>
      </c>
    </row>
    <row r="1067" spans="1:28" x14ac:dyDescent="0.8">
      <c r="A1067">
        <v>1256</v>
      </c>
      <c r="B1067">
        <v>1903</v>
      </c>
      <c r="C1067" s="2">
        <v>44387</v>
      </c>
      <c r="D1067" t="s">
        <v>102</v>
      </c>
      <c r="E1067" t="s">
        <v>103</v>
      </c>
      <c r="F1067" t="s">
        <v>26</v>
      </c>
      <c r="G1067" t="s">
        <v>45</v>
      </c>
      <c r="H1067" t="s">
        <v>79</v>
      </c>
      <c r="I1067" t="s">
        <v>69</v>
      </c>
      <c r="J1067" t="s">
        <v>80</v>
      </c>
      <c r="K1067" t="s">
        <v>81</v>
      </c>
      <c r="L1067" t="s">
        <v>82</v>
      </c>
      <c r="M1067" t="s">
        <v>83</v>
      </c>
      <c r="N1067" t="s">
        <v>61</v>
      </c>
      <c r="O1067" t="s">
        <v>822</v>
      </c>
      <c r="P1067" t="s">
        <v>85</v>
      </c>
      <c r="Q1067" t="s">
        <v>668</v>
      </c>
      <c r="R1067" t="s">
        <v>823</v>
      </c>
      <c r="S1067" t="s">
        <v>220</v>
      </c>
      <c r="T1067" t="s">
        <v>824</v>
      </c>
      <c r="U1067" s="10" t="s">
        <v>1061</v>
      </c>
      <c r="V1067" s="10" t="s">
        <v>1066</v>
      </c>
      <c r="W1067" s="10" t="s">
        <v>1066</v>
      </c>
      <c r="X1067" s="10" t="s">
        <v>1097</v>
      </c>
      <c r="Y1067" t="s">
        <v>39</v>
      </c>
      <c r="Z1067" t="s">
        <v>40</v>
      </c>
      <c r="AA1067" t="s">
        <v>63</v>
      </c>
    </row>
    <row r="1068" spans="1:28" x14ac:dyDescent="0.8">
      <c r="A1068">
        <v>993</v>
      </c>
      <c r="B1068">
        <v>1349</v>
      </c>
      <c r="C1068" s="2">
        <v>44385</v>
      </c>
      <c r="D1068" t="s">
        <v>203</v>
      </c>
      <c r="E1068" t="s">
        <v>25</v>
      </c>
      <c r="F1068" t="s">
        <v>26</v>
      </c>
      <c r="G1068" t="s">
        <v>45</v>
      </c>
      <c r="H1068" t="s">
        <v>155</v>
      </c>
      <c r="I1068" t="s">
        <v>69</v>
      </c>
      <c r="J1068" t="s">
        <v>156</v>
      </c>
      <c r="K1068" t="s">
        <v>157</v>
      </c>
      <c r="L1068" t="s">
        <v>232</v>
      </c>
      <c r="M1068" t="s">
        <v>233</v>
      </c>
      <c r="N1068" t="s">
        <v>61</v>
      </c>
      <c r="O1068" t="s">
        <v>839</v>
      </c>
      <c r="P1068" t="s">
        <v>85</v>
      </c>
      <c r="Q1068" t="s">
        <v>668</v>
      </c>
      <c r="R1068" t="s">
        <v>840</v>
      </c>
      <c r="S1068" t="s">
        <v>414</v>
      </c>
      <c r="T1068" t="s">
        <v>841</v>
      </c>
      <c r="U1068" s="10" t="s">
        <v>1061</v>
      </c>
      <c r="V1068" s="10" t="s">
        <v>1066</v>
      </c>
      <c r="W1068" s="10" t="s">
        <v>1066</v>
      </c>
      <c r="X1068" s="10" t="s">
        <v>1097</v>
      </c>
      <c r="Y1068" t="s">
        <v>39</v>
      </c>
      <c r="Z1068" t="s">
        <v>62</v>
      </c>
      <c r="AA1068" t="s">
        <v>63</v>
      </c>
    </row>
    <row r="1069" spans="1:28" x14ac:dyDescent="0.8">
      <c r="A1069">
        <v>527</v>
      </c>
      <c r="B1069">
        <v>67</v>
      </c>
      <c r="C1069" s="2">
        <v>44388</v>
      </c>
      <c r="D1069" t="s">
        <v>235</v>
      </c>
      <c r="E1069" t="s">
        <v>125</v>
      </c>
      <c r="F1069" t="s">
        <v>26</v>
      </c>
      <c r="G1069" t="s">
        <v>45</v>
      </c>
      <c r="H1069" t="s">
        <v>68</v>
      </c>
      <c r="I1069" t="s">
        <v>69</v>
      </c>
      <c r="J1069" t="s">
        <v>70</v>
      </c>
      <c r="K1069" t="s">
        <v>71</v>
      </c>
      <c r="L1069" t="s">
        <v>72</v>
      </c>
      <c r="M1069" t="s">
        <v>73</v>
      </c>
      <c r="N1069" t="s">
        <v>61</v>
      </c>
      <c r="O1069" t="s">
        <v>761</v>
      </c>
      <c r="P1069" t="s">
        <v>85</v>
      </c>
      <c r="Q1069" t="s">
        <v>359</v>
      </c>
      <c r="R1069" t="s">
        <v>762</v>
      </c>
      <c r="S1069" t="s">
        <v>763</v>
      </c>
      <c r="T1069" t="s">
        <v>764</v>
      </c>
      <c r="U1069" s="10" t="s">
        <v>1061</v>
      </c>
      <c r="V1069" s="10" t="s">
        <v>1066</v>
      </c>
      <c r="W1069" s="10" t="s">
        <v>1066</v>
      </c>
      <c r="X1069" s="10" t="s">
        <v>1080</v>
      </c>
      <c r="Y1069" t="s">
        <v>39</v>
      </c>
      <c r="Z1069" t="s">
        <v>62</v>
      </c>
      <c r="AA1069" t="s">
        <v>63</v>
      </c>
    </row>
    <row r="1070" spans="1:28" x14ac:dyDescent="0.8">
      <c r="A1070">
        <v>920</v>
      </c>
      <c r="B1070">
        <v>338</v>
      </c>
      <c r="C1070" s="2">
        <v>44384</v>
      </c>
      <c r="D1070" t="s">
        <v>242</v>
      </c>
      <c r="E1070" t="s">
        <v>150</v>
      </c>
      <c r="F1070" t="s">
        <v>26</v>
      </c>
      <c r="G1070" t="s">
        <v>45</v>
      </c>
      <c r="H1070" t="s">
        <v>68</v>
      </c>
      <c r="I1070" t="s">
        <v>69</v>
      </c>
      <c r="J1070" t="s">
        <v>70</v>
      </c>
      <c r="K1070" t="s">
        <v>71</v>
      </c>
      <c r="L1070" t="s">
        <v>72</v>
      </c>
      <c r="M1070" t="s">
        <v>73</v>
      </c>
      <c r="N1070" t="s">
        <v>61</v>
      </c>
      <c r="O1070" t="s">
        <v>774</v>
      </c>
      <c r="P1070" t="s">
        <v>85</v>
      </c>
      <c r="Q1070" t="s">
        <v>359</v>
      </c>
      <c r="R1070" t="s">
        <v>775</v>
      </c>
      <c r="S1070" t="s">
        <v>776</v>
      </c>
      <c r="T1070" t="s">
        <v>777</v>
      </c>
      <c r="U1070" s="10" t="s">
        <v>1061</v>
      </c>
      <c r="V1070" s="10" t="s">
        <v>1066</v>
      </c>
      <c r="W1070" s="10" t="s">
        <v>1066</v>
      </c>
      <c r="X1070" s="10" t="s">
        <v>1080</v>
      </c>
      <c r="Y1070" t="s">
        <v>39</v>
      </c>
      <c r="Z1070" t="s">
        <v>40</v>
      </c>
      <c r="AA1070" t="s">
        <v>63</v>
      </c>
    </row>
    <row r="1071" spans="1:28" x14ac:dyDescent="0.8">
      <c r="A1071">
        <v>1225</v>
      </c>
      <c r="B1071">
        <v>1822</v>
      </c>
      <c r="C1071" s="2">
        <v>44387</v>
      </c>
      <c r="D1071" t="s">
        <v>102</v>
      </c>
      <c r="E1071" t="s">
        <v>63</v>
      </c>
      <c r="F1071" t="s">
        <v>26</v>
      </c>
      <c r="G1071" t="s">
        <v>45</v>
      </c>
      <c r="H1071" t="s">
        <v>68</v>
      </c>
      <c r="I1071" t="s">
        <v>69</v>
      </c>
      <c r="J1071" t="s">
        <v>70</v>
      </c>
      <c r="K1071" t="s">
        <v>71</v>
      </c>
      <c r="L1071" t="s">
        <v>72</v>
      </c>
      <c r="M1071" t="s">
        <v>73</v>
      </c>
      <c r="N1071" t="s">
        <v>61</v>
      </c>
      <c r="O1071" t="s">
        <v>704</v>
      </c>
      <c r="P1071" t="s">
        <v>34</v>
      </c>
      <c r="Q1071" t="s">
        <v>705</v>
      </c>
      <c r="R1071" t="s">
        <v>706</v>
      </c>
      <c r="S1071" t="s">
        <v>707</v>
      </c>
      <c r="T1071" t="s">
        <v>708</v>
      </c>
      <c r="U1071" s="10" t="s">
        <v>1061</v>
      </c>
      <c r="V1071" s="10" t="s">
        <v>1066</v>
      </c>
      <c r="W1071" s="10" t="s">
        <v>1066</v>
      </c>
      <c r="X1071" s="10" t="s">
        <v>1068</v>
      </c>
      <c r="Y1071" t="s">
        <v>39</v>
      </c>
      <c r="Z1071" t="s">
        <v>40</v>
      </c>
      <c r="AA1071" t="s">
        <v>63</v>
      </c>
    </row>
    <row r="1072" spans="1:28" x14ac:dyDescent="0.8">
      <c r="A1072">
        <v>551</v>
      </c>
      <c r="B1072">
        <v>182</v>
      </c>
      <c r="C1072" s="2">
        <v>44388</v>
      </c>
      <c r="D1072" t="s">
        <v>124</v>
      </c>
      <c r="E1072" t="s">
        <v>63</v>
      </c>
      <c r="F1072" t="s">
        <v>26</v>
      </c>
      <c r="G1072" t="s">
        <v>94</v>
      </c>
      <c r="H1072" t="s">
        <v>95</v>
      </c>
      <c r="I1072" t="s">
        <v>236</v>
      </c>
      <c r="J1072" t="s">
        <v>237</v>
      </c>
      <c r="K1072" t="s">
        <v>238</v>
      </c>
      <c r="L1072" t="s">
        <v>239</v>
      </c>
      <c r="M1072" t="s">
        <v>240</v>
      </c>
      <c r="N1072" t="s">
        <v>101</v>
      </c>
      <c r="O1072" t="s">
        <v>741</v>
      </c>
      <c r="P1072" t="s">
        <v>85</v>
      </c>
      <c r="Q1072" t="s">
        <v>359</v>
      </c>
      <c r="R1072" t="s">
        <v>742</v>
      </c>
      <c r="S1072" t="s">
        <v>207</v>
      </c>
      <c r="T1072" t="s">
        <v>743</v>
      </c>
      <c r="U1072" s="10" t="s">
        <v>1061</v>
      </c>
      <c r="V1072" s="10" t="s">
        <v>1066</v>
      </c>
      <c r="W1072" s="10" t="s">
        <v>1066</v>
      </c>
      <c r="X1072" s="10" t="s">
        <v>1068</v>
      </c>
      <c r="Y1072" t="s">
        <v>39</v>
      </c>
      <c r="Z1072" t="s">
        <v>40</v>
      </c>
      <c r="AA1072" t="s">
        <v>63</v>
      </c>
    </row>
    <row r="1073" spans="1:28" x14ac:dyDescent="0.8">
      <c r="A1073">
        <v>1315</v>
      </c>
      <c r="B1073">
        <v>2012</v>
      </c>
      <c r="C1073" s="2">
        <v>44385</v>
      </c>
      <c r="D1073" t="s">
        <v>104</v>
      </c>
      <c r="E1073" t="s">
        <v>44</v>
      </c>
      <c r="F1073" t="s">
        <v>26</v>
      </c>
      <c r="G1073" t="s">
        <v>27</v>
      </c>
      <c r="H1073" t="s">
        <v>28</v>
      </c>
      <c r="I1073" t="s">
        <v>109</v>
      </c>
      <c r="J1073" t="s">
        <v>110</v>
      </c>
      <c r="K1073" t="s">
        <v>111</v>
      </c>
      <c r="L1073" t="s">
        <v>112</v>
      </c>
      <c r="M1073" t="s">
        <v>113</v>
      </c>
      <c r="N1073" t="s">
        <v>52</v>
      </c>
      <c r="O1073" t="s">
        <v>560</v>
      </c>
      <c r="P1073" t="s">
        <v>85</v>
      </c>
      <c r="Q1073" t="s">
        <v>561</v>
      </c>
      <c r="R1073" t="s">
        <v>562</v>
      </c>
      <c r="S1073" t="s">
        <v>563</v>
      </c>
      <c r="T1073" t="s">
        <v>564</v>
      </c>
      <c r="U1073" s="10" t="s">
        <v>1064</v>
      </c>
      <c r="V1073" s="10" t="s">
        <v>1066</v>
      </c>
      <c r="W1073" s="10" t="s">
        <v>1066</v>
      </c>
      <c r="X1073" s="10" t="s">
        <v>1059</v>
      </c>
      <c r="Y1073" t="s">
        <v>39</v>
      </c>
      <c r="Z1073" t="s">
        <v>40</v>
      </c>
      <c r="AA1073" t="s">
        <v>63</v>
      </c>
    </row>
    <row r="1074" spans="1:28" x14ac:dyDescent="0.8">
      <c r="A1074">
        <v>1294</v>
      </c>
      <c r="B1074">
        <v>1991</v>
      </c>
      <c r="C1074" s="2">
        <v>44385</v>
      </c>
      <c r="D1074" t="s">
        <v>104</v>
      </c>
      <c r="E1074" t="s">
        <v>103</v>
      </c>
      <c r="F1074" t="s">
        <v>26</v>
      </c>
      <c r="G1074" t="s">
        <v>45</v>
      </c>
      <c r="H1074" t="s">
        <v>46</v>
      </c>
      <c r="I1074" t="s">
        <v>47</v>
      </c>
      <c r="J1074" t="s">
        <v>48</v>
      </c>
      <c r="K1074" t="s">
        <v>49</v>
      </c>
      <c r="L1074" t="s">
        <v>91</v>
      </c>
      <c r="M1074" t="s">
        <v>92</v>
      </c>
      <c r="N1074" t="s">
        <v>61</v>
      </c>
      <c r="O1074" t="s">
        <v>560</v>
      </c>
      <c r="P1074" t="s">
        <v>85</v>
      </c>
      <c r="Q1074" t="s">
        <v>561</v>
      </c>
      <c r="R1074" t="s">
        <v>562</v>
      </c>
      <c r="S1074" t="s">
        <v>563</v>
      </c>
      <c r="T1074" t="s">
        <v>564</v>
      </c>
      <c r="U1074" s="10" t="s">
        <v>1064</v>
      </c>
      <c r="V1074" s="10" t="s">
        <v>1066</v>
      </c>
      <c r="W1074" s="10" t="s">
        <v>1066</v>
      </c>
      <c r="X1074" s="10" t="s">
        <v>1059</v>
      </c>
      <c r="Y1074" t="s">
        <v>39</v>
      </c>
      <c r="Z1074" t="s">
        <v>40</v>
      </c>
      <c r="AA1074" t="s">
        <v>63</v>
      </c>
    </row>
    <row r="1075" spans="1:28" x14ac:dyDescent="0.8">
      <c r="A1075">
        <v>1683</v>
      </c>
      <c r="B1075">
        <v>456</v>
      </c>
      <c r="C1075" s="2">
        <v>44388</v>
      </c>
      <c r="D1075" t="s">
        <v>124</v>
      </c>
      <c r="E1075" t="s">
        <v>125</v>
      </c>
      <c r="F1075" t="s">
        <v>26</v>
      </c>
      <c r="G1075" t="s">
        <v>45</v>
      </c>
      <c r="H1075" t="s">
        <v>68</v>
      </c>
      <c r="I1075" t="s">
        <v>69</v>
      </c>
      <c r="J1075" t="s">
        <v>70</v>
      </c>
      <c r="K1075" t="s">
        <v>71</v>
      </c>
      <c r="L1075" t="s">
        <v>72</v>
      </c>
      <c r="M1075" t="s">
        <v>73</v>
      </c>
      <c r="N1075" t="s">
        <v>61</v>
      </c>
      <c r="O1075" t="s">
        <v>560</v>
      </c>
      <c r="P1075" t="s">
        <v>85</v>
      </c>
      <c r="Q1075" t="s">
        <v>561</v>
      </c>
      <c r="R1075" t="s">
        <v>562</v>
      </c>
      <c r="S1075" t="s">
        <v>563</v>
      </c>
      <c r="T1075" t="s">
        <v>564</v>
      </c>
      <c r="U1075" s="10" t="s">
        <v>1064</v>
      </c>
      <c r="V1075" s="10" t="s">
        <v>1066</v>
      </c>
      <c r="W1075" s="10" t="s">
        <v>1066</v>
      </c>
      <c r="X1075" s="10" t="s">
        <v>1059</v>
      </c>
      <c r="Y1075" t="s">
        <v>39</v>
      </c>
      <c r="Z1075" t="s">
        <v>40</v>
      </c>
      <c r="AA1075" t="s">
        <v>41</v>
      </c>
    </row>
    <row r="1076" spans="1:28" x14ac:dyDescent="0.8">
      <c r="A1076">
        <v>553</v>
      </c>
      <c r="B1076">
        <v>184</v>
      </c>
      <c r="C1076" s="2">
        <v>44388</v>
      </c>
      <c r="D1076" t="s">
        <v>124</v>
      </c>
      <c r="E1076" t="s">
        <v>53</v>
      </c>
      <c r="F1076" t="s">
        <v>26</v>
      </c>
      <c r="G1076" t="s">
        <v>45</v>
      </c>
      <c r="H1076" t="s">
        <v>68</v>
      </c>
      <c r="I1076" t="s">
        <v>69</v>
      </c>
      <c r="J1076" t="s">
        <v>70</v>
      </c>
      <c r="K1076" t="s">
        <v>71</v>
      </c>
      <c r="L1076" t="s">
        <v>72</v>
      </c>
      <c r="M1076" t="s">
        <v>73</v>
      </c>
      <c r="N1076" t="s">
        <v>61</v>
      </c>
      <c r="O1076" t="s">
        <v>560</v>
      </c>
      <c r="P1076" t="s">
        <v>85</v>
      </c>
      <c r="Q1076" t="s">
        <v>561</v>
      </c>
      <c r="R1076" t="s">
        <v>562</v>
      </c>
      <c r="S1076" t="s">
        <v>563</v>
      </c>
      <c r="T1076" t="s">
        <v>564</v>
      </c>
      <c r="U1076" s="10" t="s">
        <v>1064</v>
      </c>
      <c r="V1076" s="10" t="s">
        <v>1066</v>
      </c>
      <c r="W1076" s="10" t="s">
        <v>1066</v>
      </c>
      <c r="X1076" s="10" t="s">
        <v>1059</v>
      </c>
      <c r="Y1076" t="s">
        <v>39</v>
      </c>
      <c r="Z1076" t="s">
        <v>40</v>
      </c>
      <c r="AA1076" t="s">
        <v>63</v>
      </c>
    </row>
    <row r="1077" spans="1:28" x14ac:dyDescent="0.8">
      <c r="A1077">
        <v>645</v>
      </c>
      <c r="B1077">
        <v>982</v>
      </c>
      <c r="C1077" s="2">
        <v>44384</v>
      </c>
      <c r="D1077" t="s">
        <v>306</v>
      </c>
      <c r="E1077" t="s">
        <v>25</v>
      </c>
      <c r="F1077" t="s">
        <v>26</v>
      </c>
      <c r="G1077" t="s">
        <v>45</v>
      </c>
      <c r="H1077" t="s">
        <v>46</v>
      </c>
      <c r="I1077" t="s">
        <v>47</v>
      </c>
      <c r="J1077" t="s">
        <v>48</v>
      </c>
      <c r="K1077" t="s">
        <v>49</v>
      </c>
      <c r="L1077" t="s">
        <v>91</v>
      </c>
      <c r="M1077" t="s">
        <v>92</v>
      </c>
      <c r="N1077" t="s">
        <v>61</v>
      </c>
      <c r="O1077" t="s">
        <v>560</v>
      </c>
      <c r="P1077" t="s">
        <v>85</v>
      </c>
      <c r="Q1077" t="s">
        <v>561</v>
      </c>
      <c r="R1077" t="s">
        <v>562</v>
      </c>
      <c r="S1077" t="s">
        <v>563</v>
      </c>
      <c r="T1077" t="s">
        <v>564</v>
      </c>
      <c r="U1077" s="10" t="s">
        <v>1064</v>
      </c>
      <c r="V1077" s="10" t="s">
        <v>1066</v>
      </c>
      <c r="W1077" s="10" t="s">
        <v>1066</v>
      </c>
      <c r="X1077" s="10" t="s">
        <v>1059</v>
      </c>
      <c r="Y1077" t="s">
        <v>39</v>
      </c>
      <c r="Z1077" t="s">
        <v>62</v>
      </c>
      <c r="AA1077" t="s">
        <v>63</v>
      </c>
    </row>
    <row r="1078" spans="1:28" x14ac:dyDescent="0.8">
      <c r="A1078">
        <v>630</v>
      </c>
      <c r="B1078">
        <v>167</v>
      </c>
      <c r="C1078" s="2">
        <v>44384</v>
      </c>
      <c r="D1078" t="s">
        <v>306</v>
      </c>
      <c r="E1078" t="s">
        <v>63</v>
      </c>
      <c r="F1078" t="s">
        <v>26</v>
      </c>
      <c r="G1078" t="s">
        <v>45</v>
      </c>
      <c r="H1078" t="s">
        <v>46</v>
      </c>
      <c r="I1078" t="s">
        <v>47</v>
      </c>
      <c r="J1078" t="s">
        <v>48</v>
      </c>
      <c r="K1078" t="s">
        <v>49</v>
      </c>
      <c r="L1078" t="s">
        <v>91</v>
      </c>
      <c r="M1078" t="s">
        <v>92</v>
      </c>
      <c r="N1078" t="s">
        <v>61</v>
      </c>
      <c r="O1078" t="s">
        <v>560</v>
      </c>
      <c r="P1078" t="s">
        <v>85</v>
      </c>
      <c r="Q1078" t="s">
        <v>561</v>
      </c>
      <c r="R1078" t="s">
        <v>562</v>
      </c>
      <c r="S1078" t="s">
        <v>563</v>
      </c>
      <c r="T1078" t="s">
        <v>564</v>
      </c>
      <c r="U1078" s="10" t="s">
        <v>1064</v>
      </c>
      <c r="V1078" s="10" t="s">
        <v>1066</v>
      </c>
      <c r="W1078" s="10" t="s">
        <v>1066</v>
      </c>
      <c r="X1078" s="10" t="s">
        <v>1059</v>
      </c>
      <c r="Y1078" t="s">
        <v>39</v>
      </c>
      <c r="Z1078" t="s">
        <v>40</v>
      </c>
      <c r="AA1078" t="s">
        <v>63</v>
      </c>
    </row>
    <row r="1079" spans="1:28" x14ac:dyDescent="0.8">
      <c r="A1079">
        <v>1745</v>
      </c>
      <c r="B1079">
        <v>832</v>
      </c>
      <c r="C1079" s="2">
        <v>44384</v>
      </c>
      <c r="D1079" t="s">
        <v>24</v>
      </c>
      <c r="E1079" t="s">
        <v>63</v>
      </c>
      <c r="F1079" t="s">
        <v>26</v>
      </c>
      <c r="G1079" t="s">
        <v>45</v>
      </c>
      <c r="H1079" t="s">
        <v>55</v>
      </c>
      <c r="I1079" t="s">
        <v>56</v>
      </c>
      <c r="J1079" t="s">
        <v>57</v>
      </c>
      <c r="K1079" t="s">
        <v>58</v>
      </c>
      <c r="L1079" t="s">
        <v>59</v>
      </c>
      <c r="M1079" t="s">
        <v>60</v>
      </c>
      <c r="N1079" t="s">
        <v>61</v>
      </c>
      <c r="O1079" t="s">
        <v>84</v>
      </c>
      <c r="P1079" t="s">
        <v>85</v>
      </c>
      <c r="Q1079" t="s">
        <v>86</v>
      </c>
      <c r="R1079" t="s">
        <v>87</v>
      </c>
      <c r="S1079" t="s">
        <v>88</v>
      </c>
      <c r="T1079" t="s">
        <v>89</v>
      </c>
      <c r="U1079" s="10" t="s">
        <v>1061</v>
      </c>
      <c r="V1079" s="10" t="s">
        <v>1062</v>
      </c>
      <c r="W1079" s="10" t="s">
        <v>1066</v>
      </c>
      <c r="X1079" s="10" t="s">
        <v>1063</v>
      </c>
      <c r="Y1079" t="s">
        <v>39</v>
      </c>
      <c r="Z1079" t="s">
        <v>40</v>
      </c>
      <c r="AA1079" t="s">
        <v>41</v>
      </c>
      <c r="AB1079" t="s">
        <v>90</v>
      </c>
    </row>
    <row r="1080" spans="1:28" x14ac:dyDescent="0.8">
      <c r="A1080">
        <v>1744</v>
      </c>
      <c r="B1080">
        <v>831</v>
      </c>
      <c r="C1080" s="2">
        <v>44384</v>
      </c>
      <c r="D1080" t="s">
        <v>24</v>
      </c>
      <c r="E1080" t="s">
        <v>63</v>
      </c>
      <c r="F1080" t="s">
        <v>26</v>
      </c>
      <c r="G1080" t="s">
        <v>45</v>
      </c>
      <c r="H1080" t="s">
        <v>46</v>
      </c>
      <c r="I1080" t="s">
        <v>47</v>
      </c>
      <c r="J1080" t="s">
        <v>48</v>
      </c>
      <c r="K1080" t="s">
        <v>49</v>
      </c>
      <c r="L1080" t="s">
        <v>91</v>
      </c>
      <c r="M1080" t="s">
        <v>92</v>
      </c>
      <c r="N1080" t="s">
        <v>61</v>
      </c>
      <c r="O1080" t="s">
        <v>84</v>
      </c>
      <c r="P1080" t="s">
        <v>85</v>
      </c>
      <c r="Q1080" t="s">
        <v>86</v>
      </c>
      <c r="R1080" t="s">
        <v>87</v>
      </c>
      <c r="S1080" t="s">
        <v>88</v>
      </c>
      <c r="T1080" t="s">
        <v>89</v>
      </c>
      <c r="U1080" s="10" t="s">
        <v>1061</v>
      </c>
      <c r="V1080" s="10" t="s">
        <v>1062</v>
      </c>
      <c r="W1080" s="10" t="s">
        <v>1066</v>
      </c>
      <c r="X1080" s="10" t="s">
        <v>1063</v>
      </c>
      <c r="Y1080" t="s">
        <v>39</v>
      </c>
      <c r="Z1080" t="s">
        <v>40</v>
      </c>
      <c r="AA1080" t="s">
        <v>41</v>
      </c>
      <c r="AB1080" t="s">
        <v>90</v>
      </c>
    </row>
    <row r="1081" spans="1:28" x14ac:dyDescent="0.8">
      <c r="A1081">
        <v>518</v>
      </c>
      <c r="B1081">
        <v>58</v>
      </c>
      <c r="C1081" s="2">
        <v>44386</v>
      </c>
      <c r="D1081" t="s">
        <v>93</v>
      </c>
      <c r="E1081" t="s">
        <v>25</v>
      </c>
      <c r="F1081" t="s">
        <v>26</v>
      </c>
      <c r="G1081" t="s">
        <v>45</v>
      </c>
      <c r="H1081" t="s">
        <v>68</v>
      </c>
      <c r="I1081" t="s">
        <v>69</v>
      </c>
      <c r="J1081" t="s">
        <v>70</v>
      </c>
      <c r="K1081" t="s">
        <v>71</v>
      </c>
      <c r="L1081" t="s">
        <v>72</v>
      </c>
      <c r="M1081" t="s">
        <v>73</v>
      </c>
      <c r="N1081" t="s">
        <v>61</v>
      </c>
      <c r="O1081" t="s">
        <v>84</v>
      </c>
      <c r="P1081" t="s">
        <v>85</v>
      </c>
      <c r="Q1081" t="s">
        <v>86</v>
      </c>
      <c r="R1081" t="s">
        <v>87</v>
      </c>
      <c r="S1081" t="s">
        <v>88</v>
      </c>
      <c r="T1081" t="s">
        <v>89</v>
      </c>
      <c r="U1081" s="10" t="s">
        <v>1061</v>
      </c>
      <c r="V1081" s="10" t="s">
        <v>1062</v>
      </c>
      <c r="W1081" s="10" t="s">
        <v>1066</v>
      </c>
      <c r="X1081" s="10" t="s">
        <v>1063</v>
      </c>
      <c r="Y1081" t="s">
        <v>39</v>
      </c>
      <c r="Z1081" t="s">
        <v>40</v>
      </c>
      <c r="AA1081" t="s">
        <v>63</v>
      </c>
    </row>
    <row r="1082" spans="1:28" x14ac:dyDescent="0.8">
      <c r="A1082">
        <v>295</v>
      </c>
      <c r="B1082">
        <v>909</v>
      </c>
      <c r="C1082" s="2">
        <v>44386</v>
      </c>
      <c r="D1082" t="s">
        <v>43</v>
      </c>
      <c r="E1082" t="s">
        <v>53</v>
      </c>
      <c r="F1082" t="s">
        <v>26</v>
      </c>
      <c r="G1082" t="s">
        <v>94</v>
      </c>
      <c r="H1082" t="s">
        <v>95</v>
      </c>
      <c r="I1082" t="s">
        <v>96</v>
      </c>
      <c r="J1082" t="s">
        <v>97</v>
      </c>
      <c r="K1082" t="s">
        <v>98</v>
      </c>
      <c r="L1082" t="s">
        <v>99</v>
      </c>
      <c r="M1082" t="s">
        <v>100</v>
      </c>
      <c r="N1082" t="s">
        <v>101</v>
      </c>
      <c r="O1082" t="s">
        <v>84</v>
      </c>
      <c r="P1082" t="s">
        <v>85</v>
      </c>
      <c r="Q1082" t="s">
        <v>86</v>
      </c>
      <c r="R1082" t="s">
        <v>87</v>
      </c>
      <c r="S1082" t="s">
        <v>88</v>
      </c>
      <c r="T1082" t="s">
        <v>89</v>
      </c>
      <c r="U1082" s="10" t="s">
        <v>1061</v>
      </c>
      <c r="V1082" s="10" t="s">
        <v>1062</v>
      </c>
      <c r="W1082" s="10" t="s">
        <v>1066</v>
      </c>
      <c r="X1082" s="10" t="s">
        <v>1063</v>
      </c>
      <c r="Y1082" t="s">
        <v>39</v>
      </c>
      <c r="Z1082" t="s">
        <v>40</v>
      </c>
      <c r="AA1082" t="s">
        <v>53</v>
      </c>
    </row>
    <row r="1083" spans="1:28" x14ac:dyDescent="0.8">
      <c r="A1083">
        <v>1271</v>
      </c>
      <c r="B1083">
        <v>1918</v>
      </c>
      <c r="C1083" s="2">
        <v>44387</v>
      </c>
      <c r="D1083" t="s">
        <v>102</v>
      </c>
      <c r="E1083" t="s">
        <v>103</v>
      </c>
      <c r="F1083" t="s">
        <v>26</v>
      </c>
      <c r="G1083" t="s">
        <v>45</v>
      </c>
      <c r="H1083" t="s">
        <v>68</v>
      </c>
      <c r="I1083" t="s">
        <v>69</v>
      </c>
      <c r="J1083" t="s">
        <v>70</v>
      </c>
      <c r="K1083" t="s">
        <v>71</v>
      </c>
      <c r="L1083" t="s">
        <v>72</v>
      </c>
      <c r="M1083" t="s">
        <v>73</v>
      </c>
      <c r="N1083" t="s">
        <v>61</v>
      </c>
      <c r="O1083" t="s">
        <v>84</v>
      </c>
      <c r="P1083" t="s">
        <v>85</v>
      </c>
      <c r="Q1083" t="s">
        <v>86</v>
      </c>
      <c r="R1083" t="s">
        <v>87</v>
      </c>
      <c r="S1083" t="s">
        <v>88</v>
      </c>
      <c r="T1083" t="s">
        <v>89</v>
      </c>
      <c r="U1083" s="10" t="s">
        <v>1061</v>
      </c>
      <c r="V1083" s="10" t="s">
        <v>1062</v>
      </c>
      <c r="W1083" s="10" t="s">
        <v>1066</v>
      </c>
      <c r="X1083" s="10" t="s">
        <v>1063</v>
      </c>
      <c r="Y1083" t="s">
        <v>39</v>
      </c>
      <c r="Z1083" t="s">
        <v>40</v>
      </c>
      <c r="AA1083" t="s">
        <v>63</v>
      </c>
    </row>
    <row r="1084" spans="1:28" x14ac:dyDescent="0.8">
      <c r="A1084">
        <v>1250</v>
      </c>
      <c r="B1084">
        <v>1847</v>
      </c>
      <c r="C1084" s="2">
        <v>44387</v>
      </c>
      <c r="D1084" t="s">
        <v>102</v>
      </c>
      <c r="E1084" t="s">
        <v>25</v>
      </c>
      <c r="F1084" t="s">
        <v>26</v>
      </c>
      <c r="G1084" t="s">
        <v>45</v>
      </c>
      <c r="H1084" t="s">
        <v>46</v>
      </c>
      <c r="I1084" t="s">
        <v>47</v>
      </c>
      <c r="J1084" t="s">
        <v>48</v>
      </c>
      <c r="K1084" t="s">
        <v>49</v>
      </c>
      <c r="L1084" t="s">
        <v>91</v>
      </c>
      <c r="M1084" t="s">
        <v>92</v>
      </c>
      <c r="N1084" t="s">
        <v>61</v>
      </c>
      <c r="O1084" t="s">
        <v>84</v>
      </c>
      <c r="P1084" t="s">
        <v>85</v>
      </c>
      <c r="Q1084" t="s">
        <v>86</v>
      </c>
      <c r="R1084" t="s">
        <v>87</v>
      </c>
      <c r="S1084" t="s">
        <v>88</v>
      </c>
      <c r="T1084" t="s">
        <v>89</v>
      </c>
      <c r="U1084" s="10" t="s">
        <v>1061</v>
      </c>
      <c r="V1084" s="10" t="s">
        <v>1062</v>
      </c>
      <c r="W1084" s="10" t="s">
        <v>1066</v>
      </c>
      <c r="X1084" s="10" t="s">
        <v>1063</v>
      </c>
      <c r="Y1084" t="s">
        <v>39</v>
      </c>
      <c r="Z1084" t="s">
        <v>40</v>
      </c>
      <c r="AA1084" t="s">
        <v>63</v>
      </c>
    </row>
    <row r="1085" spans="1:28" x14ac:dyDescent="0.8">
      <c r="A1085">
        <v>1311</v>
      </c>
      <c r="B1085">
        <v>2008</v>
      </c>
      <c r="C1085" s="2">
        <v>44385</v>
      </c>
      <c r="D1085" t="s">
        <v>104</v>
      </c>
      <c r="E1085" t="s">
        <v>44</v>
      </c>
      <c r="F1085" t="s">
        <v>26</v>
      </c>
      <c r="G1085" t="s">
        <v>45</v>
      </c>
      <c r="H1085" t="s">
        <v>46</v>
      </c>
      <c r="I1085" t="s">
        <v>47</v>
      </c>
      <c r="J1085" t="s">
        <v>48</v>
      </c>
      <c r="K1085" t="s">
        <v>105</v>
      </c>
      <c r="L1085" t="s">
        <v>106</v>
      </c>
      <c r="M1085" t="s">
        <v>107</v>
      </c>
      <c r="O1085" t="s">
        <v>84</v>
      </c>
      <c r="P1085" t="s">
        <v>85</v>
      </c>
      <c r="Q1085" t="s">
        <v>86</v>
      </c>
      <c r="R1085" t="s">
        <v>87</v>
      </c>
      <c r="S1085" t="s">
        <v>88</v>
      </c>
      <c r="T1085" t="s">
        <v>89</v>
      </c>
      <c r="U1085" s="10" t="s">
        <v>1061</v>
      </c>
      <c r="V1085" s="10" t="s">
        <v>1062</v>
      </c>
      <c r="W1085" s="10" t="s">
        <v>1066</v>
      </c>
      <c r="X1085" s="10" t="s">
        <v>1063</v>
      </c>
      <c r="Y1085" t="s">
        <v>39</v>
      </c>
      <c r="Z1085" t="s">
        <v>40</v>
      </c>
      <c r="AA1085" t="s">
        <v>63</v>
      </c>
    </row>
    <row r="1086" spans="1:28" x14ac:dyDescent="0.8">
      <c r="A1086">
        <v>1335</v>
      </c>
      <c r="B1086">
        <v>2418</v>
      </c>
      <c r="C1086" s="2">
        <v>44385</v>
      </c>
      <c r="D1086" t="s">
        <v>104</v>
      </c>
      <c r="E1086" t="s">
        <v>63</v>
      </c>
      <c r="F1086" t="s">
        <v>26</v>
      </c>
      <c r="G1086" t="s">
        <v>45</v>
      </c>
      <c r="H1086" t="s">
        <v>46</v>
      </c>
      <c r="I1086" t="s">
        <v>47</v>
      </c>
      <c r="J1086" t="s">
        <v>48</v>
      </c>
      <c r="K1086" t="s">
        <v>49</v>
      </c>
      <c r="L1086" t="s">
        <v>91</v>
      </c>
      <c r="M1086" t="s">
        <v>92</v>
      </c>
      <c r="N1086" t="s">
        <v>61</v>
      </c>
      <c r="O1086" t="s">
        <v>84</v>
      </c>
      <c r="P1086" t="s">
        <v>85</v>
      </c>
      <c r="Q1086" t="s">
        <v>86</v>
      </c>
      <c r="R1086" t="s">
        <v>87</v>
      </c>
      <c r="S1086" t="s">
        <v>88</v>
      </c>
      <c r="T1086" t="s">
        <v>89</v>
      </c>
      <c r="U1086" s="10" t="s">
        <v>1061</v>
      </c>
      <c r="V1086" s="10" t="s">
        <v>1062</v>
      </c>
      <c r="W1086" s="10" t="s">
        <v>1066</v>
      </c>
      <c r="X1086" s="10" t="s">
        <v>1063</v>
      </c>
      <c r="Y1086" t="s">
        <v>39</v>
      </c>
      <c r="Z1086" t="s">
        <v>40</v>
      </c>
      <c r="AA1086" t="s">
        <v>63</v>
      </c>
    </row>
    <row r="1087" spans="1:28" x14ac:dyDescent="0.8">
      <c r="A1087">
        <v>1297</v>
      </c>
      <c r="B1087">
        <v>1994</v>
      </c>
      <c r="C1087" s="2">
        <v>44385</v>
      </c>
      <c r="D1087" t="s">
        <v>104</v>
      </c>
      <c r="E1087" t="s">
        <v>103</v>
      </c>
      <c r="F1087" t="s">
        <v>26</v>
      </c>
      <c r="G1087" t="s">
        <v>45</v>
      </c>
      <c r="H1087" t="s">
        <v>46</v>
      </c>
      <c r="I1087" t="s">
        <v>47</v>
      </c>
      <c r="J1087" t="s">
        <v>48</v>
      </c>
      <c r="K1087" t="s">
        <v>49</v>
      </c>
      <c r="L1087" t="s">
        <v>91</v>
      </c>
      <c r="M1087" t="s">
        <v>92</v>
      </c>
      <c r="N1087" t="s">
        <v>61</v>
      </c>
      <c r="O1087" t="s">
        <v>84</v>
      </c>
      <c r="P1087" t="s">
        <v>85</v>
      </c>
      <c r="Q1087" t="s">
        <v>86</v>
      </c>
      <c r="R1087" t="s">
        <v>87</v>
      </c>
      <c r="S1087" t="s">
        <v>88</v>
      </c>
      <c r="T1087" t="s">
        <v>89</v>
      </c>
      <c r="U1087" s="10" t="s">
        <v>1061</v>
      </c>
      <c r="V1087" s="10" t="s">
        <v>1062</v>
      </c>
      <c r="W1087" s="10" t="s">
        <v>1066</v>
      </c>
      <c r="X1087" s="10" t="s">
        <v>1063</v>
      </c>
      <c r="Y1087" t="s">
        <v>39</v>
      </c>
      <c r="Z1087" t="s">
        <v>40</v>
      </c>
      <c r="AA1087" t="s">
        <v>63</v>
      </c>
    </row>
    <row r="1088" spans="1:28" x14ac:dyDescent="0.8">
      <c r="A1088">
        <v>1292</v>
      </c>
      <c r="B1088">
        <v>1989</v>
      </c>
      <c r="C1088" s="2">
        <v>44385</v>
      </c>
      <c r="D1088" t="s">
        <v>104</v>
      </c>
      <c r="E1088" t="s">
        <v>103</v>
      </c>
      <c r="F1088" t="s">
        <v>26</v>
      </c>
      <c r="G1088" t="s">
        <v>45</v>
      </c>
      <c r="H1088" t="s">
        <v>46</v>
      </c>
      <c r="I1088" t="s">
        <v>47</v>
      </c>
      <c r="J1088" t="s">
        <v>48</v>
      </c>
      <c r="K1088" t="s">
        <v>49</v>
      </c>
      <c r="L1088" t="s">
        <v>91</v>
      </c>
      <c r="M1088" t="s">
        <v>92</v>
      </c>
      <c r="N1088" t="s">
        <v>61</v>
      </c>
      <c r="O1088" t="s">
        <v>84</v>
      </c>
      <c r="P1088" t="s">
        <v>85</v>
      </c>
      <c r="Q1088" t="s">
        <v>86</v>
      </c>
      <c r="R1088" t="s">
        <v>87</v>
      </c>
      <c r="S1088" t="s">
        <v>88</v>
      </c>
      <c r="T1088" t="s">
        <v>89</v>
      </c>
      <c r="U1088" s="10" t="s">
        <v>1061</v>
      </c>
      <c r="V1088" s="10" t="s">
        <v>1062</v>
      </c>
      <c r="W1088" s="10" t="s">
        <v>1066</v>
      </c>
      <c r="X1088" s="10" t="s">
        <v>1063</v>
      </c>
      <c r="Y1088" t="s">
        <v>39</v>
      </c>
      <c r="Z1088" t="s">
        <v>40</v>
      </c>
      <c r="AA1088" t="s">
        <v>63</v>
      </c>
    </row>
    <row r="1089" spans="1:28" x14ac:dyDescent="0.8">
      <c r="A1089">
        <v>1290</v>
      </c>
      <c r="B1089">
        <v>1987</v>
      </c>
      <c r="C1089" s="2">
        <v>44385</v>
      </c>
      <c r="D1089" t="s">
        <v>104</v>
      </c>
      <c r="E1089" t="s">
        <v>103</v>
      </c>
      <c r="F1089" t="s">
        <v>26</v>
      </c>
      <c r="G1089" t="s">
        <v>45</v>
      </c>
      <c r="H1089" t="s">
        <v>46</v>
      </c>
      <c r="I1089" t="s">
        <v>47</v>
      </c>
      <c r="J1089" t="s">
        <v>48</v>
      </c>
      <c r="K1089" t="s">
        <v>49</v>
      </c>
      <c r="L1089" t="s">
        <v>91</v>
      </c>
      <c r="M1089" t="s">
        <v>92</v>
      </c>
      <c r="N1089" t="s">
        <v>61</v>
      </c>
      <c r="O1089" t="s">
        <v>84</v>
      </c>
      <c r="P1089" t="s">
        <v>85</v>
      </c>
      <c r="Q1089" t="s">
        <v>86</v>
      </c>
      <c r="R1089" t="s">
        <v>87</v>
      </c>
      <c r="S1089" t="s">
        <v>88</v>
      </c>
      <c r="T1089" t="s">
        <v>89</v>
      </c>
      <c r="U1089" s="10" t="s">
        <v>1061</v>
      </c>
      <c r="V1089" s="10" t="s">
        <v>1062</v>
      </c>
      <c r="W1089" s="10" t="s">
        <v>1066</v>
      </c>
      <c r="X1089" s="10" t="s">
        <v>1063</v>
      </c>
      <c r="Y1089" t="s">
        <v>39</v>
      </c>
      <c r="Z1089" t="s">
        <v>40</v>
      </c>
      <c r="AA1089" t="s">
        <v>63</v>
      </c>
    </row>
    <row r="1090" spans="1:28" x14ac:dyDescent="0.8">
      <c r="A1090">
        <v>764</v>
      </c>
      <c r="B1090">
        <v>1245</v>
      </c>
      <c r="C1090" s="2">
        <v>44385</v>
      </c>
      <c r="D1090" t="s">
        <v>108</v>
      </c>
      <c r="E1090" t="s">
        <v>25</v>
      </c>
      <c r="F1090" t="s">
        <v>26</v>
      </c>
      <c r="G1090" t="s">
        <v>27</v>
      </c>
      <c r="H1090" t="s">
        <v>28</v>
      </c>
      <c r="I1090" t="s">
        <v>109</v>
      </c>
      <c r="J1090" t="s">
        <v>110</v>
      </c>
      <c r="K1090" t="s">
        <v>111</v>
      </c>
      <c r="L1090" t="s">
        <v>112</v>
      </c>
      <c r="M1090" t="s">
        <v>113</v>
      </c>
      <c r="N1090" t="s">
        <v>52</v>
      </c>
      <c r="O1090" t="s">
        <v>84</v>
      </c>
      <c r="P1090" t="s">
        <v>85</v>
      </c>
      <c r="Q1090" t="s">
        <v>86</v>
      </c>
      <c r="R1090" t="s">
        <v>87</v>
      </c>
      <c r="S1090" t="s">
        <v>88</v>
      </c>
      <c r="T1090" t="s">
        <v>89</v>
      </c>
      <c r="U1090" s="10" t="s">
        <v>1061</v>
      </c>
      <c r="V1090" s="10" t="s">
        <v>1062</v>
      </c>
      <c r="W1090" s="10" t="s">
        <v>1066</v>
      </c>
      <c r="X1090" s="10" t="s">
        <v>1063</v>
      </c>
      <c r="Y1090" t="s">
        <v>39</v>
      </c>
      <c r="Z1090" t="s">
        <v>40</v>
      </c>
      <c r="AA1090" t="s">
        <v>63</v>
      </c>
    </row>
    <row r="1091" spans="1:28" x14ac:dyDescent="0.8">
      <c r="A1091">
        <v>769</v>
      </c>
      <c r="B1091">
        <v>1250</v>
      </c>
      <c r="C1091" s="2">
        <v>44385</v>
      </c>
      <c r="D1091" t="s">
        <v>108</v>
      </c>
      <c r="E1091" t="s">
        <v>103</v>
      </c>
      <c r="F1091" t="s">
        <v>26</v>
      </c>
      <c r="G1091" t="s">
        <v>27</v>
      </c>
      <c r="H1091" t="s">
        <v>114</v>
      </c>
      <c r="I1091" t="s">
        <v>115</v>
      </c>
      <c r="J1091" t="s">
        <v>116</v>
      </c>
      <c r="K1091" t="s">
        <v>117</v>
      </c>
      <c r="L1091" t="s">
        <v>118</v>
      </c>
      <c r="M1091" t="s">
        <v>119</v>
      </c>
      <c r="O1091" t="s">
        <v>84</v>
      </c>
      <c r="P1091" t="s">
        <v>85</v>
      </c>
      <c r="Q1091" t="s">
        <v>86</v>
      </c>
      <c r="R1091" t="s">
        <v>87</v>
      </c>
      <c r="S1091" t="s">
        <v>88</v>
      </c>
      <c r="T1091" t="s">
        <v>89</v>
      </c>
      <c r="U1091" s="10" t="s">
        <v>1061</v>
      </c>
      <c r="V1091" s="10" t="s">
        <v>1062</v>
      </c>
      <c r="W1091" s="10" t="s">
        <v>1066</v>
      </c>
      <c r="X1091" s="10" t="s">
        <v>1063</v>
      </c>
      <c r="Y1091" t="s">
        <v>39</v>
      </c>
      <c r="Z1091" t="s">
        <v>40</v>
      </c>
      <c r="AA1091" t="s">
        <v>63</v>
      </c>
    </row>
    <row r="1092" spans="1:28" x14ac:dyDescent="0.8">
      <c r="A1092">
        <v>756</v>
      </c>
      <c r="B1092">
        <v>1237</v>
      </c>
      <c r="C1092" s="2">
        <v>44385</v>
      </c>
      <c r="D1092" t="s">
        <v>108</v>
      </c>
      <c r="E1092" t="s">
        <v>25</v>
      </c>
      <c r="F1092" t="s">
        <v>26</v>
      </c>
      <c r="G1092" t="s">
        <v>27</v>
      </c>
      <c r="H1092" t="s">
        <v>114</v>
      </c>
      <c r="I1092" t="s">
        <v>115</v>
      </c>
      <c r="J1092" t="s">
        <v>120</v>
      </c>
      <c r="K1092" t="s">
        <v>121</v>
      </c>
      <c r="L1092" t="s">
        <v>122</v>
      </c>
      <c r="M1092" t="s">
        <v>123</v>
      </c>
      <c r="O1092" t="s">
        <v>84</v>
      </c>
      <c r="P1092" t="s">
        <v>85</v>
      </c>
      <c r="Q1092" t="s">
        <v>86</v>
      </c>
      <c r="R1092" t="s">
        <v>87</v>
      </c>
      <c r="S1092" t="s">
        <v>88</v>
      </c>
      <c r="T1092" t="s">
        <v>89</v>
      </c>
      <c r="U1092" s="10" t="s">
        <v>1061</v>
      </c>
      <c r="V1092" s="10" t="s">
        <v>1062</v>
      </c>
      <c r="W1092" s="10" t="s">
        <v>1066</v>
      </c>
      <c r="X1092" s="10" t="s">
        <v>1063</v>
      </c>
      <c r="Y1092" t="s">
        <v>39</v>
      </c>
      <c r="Z1092" t="s">
        <v>40</v>
      </c>
      <c r="AA1092" t="s">
        <v>63</v>
      </c>
    </row>
    <row r="1093" spans="1:28" x14ac:dyDescent="0.8">
      <c r="A1093">
        <v>201</v>
      </c>
      <c r="B1093">
        <v>1427</v>
      </c>
      <c r="C1093" s="2">
        <v>44388</v>
      </c>
      <c r="D1093" t="s">
        <v>124</v>
      </c>
      <c r="E1093" t="s">
        <v>125</v>
      </c>
      <c r="F1093" t="s">
        <v>26</v>
      </c>
      <c r="G1093" t="s">
        <v>45</v>
      </c>
      <c r="H1093" t="s">
        <v>68</v>
      </c>
      <c r="I1093" t="s">
        <v>69</v>
      </c>
      <c r="J1093" t="s">
        <v>70</v>
      </c>
      <c r="K1093" t="s">
        <v>71</v>
      </c>
      <c r="L1093" t="s">
        <v>72</v>
      </c>
      <c r="M1093" t="s">
        <v>73</v>
      </c>
      <c r="N1093" t="s">
        <v>61</v>
      </c>
      <c r="O1093" t="s">
        <v>84</v>
      </c>
      <c r="P1093" t="s">
        <v>85</v>
      </c>
      <c r="Q1093" t="s">
        <v>86</v>
      </c>
      <c r="R1093" t="s">
        <v>87</v>
      </c>
      <c r="S1093" t="s">
        <v>88</v>
      </c>
      <c r="T1093" t="s">
        <v>89</v>
      </c>
      <c r="U1093" s="10" t="s">
        <v>1061</v>
      </c>
      <c r="V1093" s="10" t="s">
        <v>1062</v>
      </c>
      <c r="W1093" s="10" t="s">
        <v>1066</v>
      </c>
      <c r="X1093" s="10" t="s">
        <v>1063</v>
      </c>
      <c r="Y1093" t="s">
        <v>39</v>
      </c>
      <c r="Z1093" t="s">
        <v>40</v>
      </c>
      <c r="AA1093" t="s">
        <v>53</v>
      </c>
    </row>
    <row r="1094" spans="1:28" x14ac:dyDescent="0.8">
      <c r="A1094">
        <v>1269</v>
      </c>
      <c r="B1094">
        <v>1916</v>
      </c>
      <c r="C1094" s="2">
        <v>44387</v>
      </c>
      <c r="D1094" t="s">
        <v>102</v>
      </c>
      <c r="E1094" t="s">
        <v>25</v>
      </c>
      <c r="F1094" t="s">
        <v>26</v>
      </c>
      <c r="G1094" t="s">
        <v>45</v>
      </c>
      <c r="H1094" t="s">
        <v>46</v>
      </c>
      <c r="I1094" t="s">
        <v>47</v>
      </c>
      <c r="J1094" t="s">
        <v>48</v>
      </c>
      <c r="K1094" t="s">
        <v>49</v>
      </c>
      <c r="L1094" t="s">
        <v>91</v>
      </c>
      <c r="M1094" t="s">
        <v>92</v>
      </c>
      <c r="N1094" t="s">
        <v>61</v>
      </c>
      <c r="O1094" t="s">
        <v>765</v>
      </c>
      <c r="P1094" t="s">
        <v>34</v>
      </c>
      <c r="Q1094" t="s">
        <v>191</v>
      </c>
      <c r="R1094" t="s">
        <v>766</v>
      </c>
      <c r="S1094" t="s">
        <v>767</v>
      </c>
      <c r="T1094" t="s">
        <v>768</v>
      </c>
      <c r="U1094" s="10" t="s">
        <v>1061</v>
      </c>
      <c r="V1094" s="10" t="s">
        <v>1101</v>
      </c>
      <c r="W1094" s="10" t="s">
        <v>1141</v>
      </c>
      <c r="X1094" s="10" t="s">
        <v>1068</v>
      </c>
      <c r="Y1094" t="s">
        <v>39</v>
      </c>
      <c r="Z1094" t="s">
        <v>62</v>
      </c>
      <c r="AA1094" t="s">
        <v>63</v>
      </c>
    </row>
    <row r="1095" spans="1:28" x14ac:dyDescent="0.8">
      <c r="A1095">
        <v>283</v>
      </c>
      <c r="B1095">
        <v>897</v>
      </c>
      <c r="C1095" s="2">
        <v>44386</v>
      </c>
      <c r="D1095" t="s">
        <v>43</v>
      </c>
      <c r="E1095" t="s">
        <v>53</v>
      </c>
      <c r="F1095" t="s">
        <v>26</v>
      </c>
      <c r="G1095" t="s">
        <v>45</v>
      </c>
      <c r="H1095" t="s">
        <v>68</v>
      </c>
      <c r="I1095" t="s">
        <v>69</v>
      </c>
      <c r="J1095" t="s">
        <v>70</v>
      </c>
      <c r="K1095" t="s">
        <v>71</v>
      </c>
      <c r="L1095" t="s">
        <v>72</v>
      </c>
      <c r="M1095" t="s">
        <v>73</v>
      </c>
      <c r="N1095" t="s">
        <v>61</v>
      </c>
      <c r="O1095" t="s">
        <v>597</v>
      </c>
      <c r="P1095" t="s">
        <v>34</v>
      </c>
      <c r="Q1095" t="s">
        <v>228</v>
      </c>
      <c r="R1095" t="s">
        <v>598</v>
      </c>
      <c r="S1095" t="s">
        <v>599</v>
      </c>
      <c r="T1095" t="s">
        <v>600</v>
      </c>
      <c r="U1095" s="10" t="s">
        <v>1055</v>
      </c>
      <c r="V1095" s="10" t="s">
        <v>1092</v>
      </c>
      <c r="W1095" s="10" t="s">
        <v>1066</v>
      </c>
      <c r="X1095" s="10" t="s">
        <v>1068</v>
      </c>
      <c r="Y1095" t="s">
        <v>39</v>
      </c>
      <c r="Z1095" t="s">
        <v>40</v>
      </c>
      <c r="AA1095" t="s">
        <v>53</v>
      </c>
    </row>
    <row r="1096" spans="1:28" x14ac:dyDescent="0.8">
      <c r="A1096">
        <v>1750</v>
      </c>
      <c r="B1096">
        <v>88</v>
      </c>
      <c r="C1096" s="2">
        <v>44384</v>
      </c>
      <c r="D1096" t="s">
        <v>24</v>
      </c>
      <c r="E1096" t="s">
        <v>25</v>
      </c>
      <c r="F1096" t="s">
        <v>26</v>
      </c>
      <c r="G1096" t="s">
        <v>27</v>
      </c>
      <c r="H1096" t="s">
        <v>28</v>
      </c>
      <c r="I1096" t="s">
        <v>29</v>
      </c>
      <c r="K1096" t="s">
        <v>30</v>
      </c>
      <c r="L1096" t="s">
        <v>31</v>
      </c>
      <c r="M1096" t="s">
        <v>32</v>
      </c>
      <c r="O1096" t="s">
        <v>33</v>
      </c>
      <c r="P1096" t="s">
        <v>34</v>
      </c>
      <c r="Q1096" t="s">
        <v>35</v>
      </c>
      <c r="R1096" t="s">
        <v>36</v>
      </c>
      <c r="S1096" t="s">
        <v>37</v>
      </c>
      <c r="T1096" t="s">
        <v>38</v>
      </c>
      <c r="U1096" s="10" t="s">
        <v>1055</v>
      </c>
      <c r="V1096" s="10" t="s">
        <v>1058</v>
      </c>
      <c r="W1096" s="10" t="s">
        <v>1066</v>
      </c>
      <c r="X1096" s="10" t="s">
        <v>1059</v>
      </c>
      <c r="Y1096" t="s">
        <v>39</v>
      </c>
      <c r="Z1096" t="s">
        <v>40</v>
      </c>
      <c r="AA1096" t="s">
        <v>41</v>
      </c>
      <c r="AB1096" t="s">
        <v>42</v>
      </c>
    </row>
    <row r="1097" spans="1:28" x14ac:dyDescent="0.8">
      <c r="A1097">
        <v>1749</v>
      </c>
      <c r="B1097">
        <v>87</v>
      </c>
      <c r="C1097" s="2">
        <v>44384</v>
      </c>
      <c r="D1097" t="s">
        <v>24</v>
      </c>
      <c r="E1097" t="s">
        <v>25</v>
      </c>
      <c r="F1097" t="s">
        <v>26</v>
      </c>
      <c r="G1097" t="s">
        <v>27</v>
      </c>
      <c r="H1097" t="s">
        <v>28</v>
      </c>
      <c r="I1097" t="s">
        <v>29</v>
      </c>
      <c r="K1097" t="s">
        <v>30</v>
      </c>
      <c r="L1097" t="s">
        <v>31</v>
      </c>
      <c r="M1097" t="s">
        <v>32</v>
      </c>
      <c r="O1097" t="s">
        <v>33</v>
      </c>
      <c r="P1097" t="s">
        <v>34</v>
      </c>
      <c r="Q1097" t="s">
        <v>35</v>
      </c>
      <c r="R1097" t="s">
        <v>36</v>
      </c>
      <c r="S1097" t="s">
        <v>37</v>
      </c>
      <c r="T1097" t="s">
        <v>38</v>
      </c>
      <c r="U1097" s="10" t="s">
        <v>1055</v>
      </c>
      <c r="V1097" s="10" t="s">
        <v>1058</v>
      </c>
      <c r="W1097" s="10" t="s">
        <v>1066</v>
      </c>
      <c r="X1097" s="10" t="s">
        <v>1059</v>
      </c>
      <c r="Y1097" t="s">
        <v>39</v>
      </c>
      <c r="Z1097" t="s">
        <v>40</v>
      </c>
      <c r="AA1097" t="s">
        <v>41</v>
      </c>
      <c r="AB1097" t="s">
        <v>42</v>
      </c>
    </row>
    <row r="1098" spans="1:28" x14ac:dyDescent="0.8">
      <c r="A1098">
        <v>288</v>
      </c>
      <c r="B1098">
        <v>902</v>
      </c>
      <c r="C1098" s="2">
        <v>44386</v>
      </c>
      <c r="D1098" t="s">
        <v>43</v>
      </c>
      <c r="E1098" t="s">
        <v>44</v>
      </c>
      <c r="F1098" t="s">
        <v>26</v>
      </c>
      <c r="G1098" t="s">
        <v>45</v>
      </c>
      <c r="H1098" t="s">
        <v>46</v>
      </c>
      <c r="I1098" t="s">
        <v>47</v>
      </c>
      <c r="J1098" t="s">
        <v>48</v>
      </c>
      <c r="K1098" t="s">
        <v>49</v>
      </c>
      <c r="L1098" t="s">
        <v>50</v>
      </c>
      <c r="M1098" t="s">
        <v>51</v>
      </c>
      <c r="N1098" t="s">
        <v>52</v>
      </c>
      <c r="O1098" t="s">
        <v>33</v>
      </c>
      <c r="P1098" t="s">
        <v>34</v>
      </c>
      <c r="Q1098" t="s">
        <v>35</v>
      </c>
      <c r="R1098" t="s">
        <v>36</v>
      </c>
      <c r="S1098" t="s">
        <v>37</v>
      </c>
      <c r="T1098" t="s">
        <v>38</v>
      </c>
      <c r="U1098" s="10" t="s">
        <v>1055</v>
      </c>
      <c r="V1098" s="10" t="s">
        <v>1058</v>
      </c>
      <c r="W1098" s="10" t="s">
        <v>1066</v>
      </c>
      <c r="X1098" s="10" t="s">
        <v>1059</v>
      </c>
      <c r="Y1098" t="s">
        <v>39</v>
      </c>
      <c r="Z1098" t="s">
        <v>40</v>
      </c>
      <c r="AA1098" t="s">
        <v>53</v>
      </c>
    </row>
    <row r="1099" spans="1:28" x14ac:dyDescent="0.8">
      <c r="A1099">
        <v>1049</v>
      </c>
      <c r="B1099">
        <v>1453</v>
      </c>
      <c r="C1099" s="2">
        <v>44387</v>
      </c>
      <c r="D1099" t="s">
        <v>54</v>
      </c>
      <c r="E1099" t="s">
        <v>25</v>
      </c>
      <c r="F1099" t="s">
        <v>26</v>
      </c>
      <c r="G1099" t="s">
        <v>45</v>
      </c>
      <c r="H1099" t="s">
        <v>55</v>
      </c>
      <c r="I1099" t="s">
        <v>56</v>
      </c>
      <c r="J1099" t="s">
        <v>57</v>
      </c>
      <c r="K1099" t="s">
        <v>58</v>
      </c>
      <c r="L1099" t="s">
        <v>59</v>
      </c>
      <c r="M1099" t="s">
        <v>60</v>
      </c>
      <c r="N1099" t="s">
        <v>61</v>
      </c>
      <c r="O1099" t="s">
        <v>33</v>
      </c>
      <c r="P1099" t="s">
        <v>34</v>
      </c>
      <c r="Q1099" t="s">
        <v>35</v>
      </c>
      <c r="R1099" t="s">
        <v>36</v>
      </c>
      <c r="S1099" t="s">
        <v>37</v>
      </c>
      <c r="T1099" t="s">
        <v>38</v>
      </c>
      <c r="U1099" s="10" t="s">
        <v>1055</v>
      </c>
      <c r="V1099" s="10" t="s">
        <v>1058</v>
      </c>
      <c r="W1099" s="10" t="s">
        <v>1066</v>
      </c>
      <c r="X1099" s="10" t="s">
        <v>1059</v>
      </c>
      <c r="Y1099" t="s">
        <v>39</v>
      </c>
      <c r="Z1099" t="s">
        <v>62</v>
      </c>
      <c r="AA1099" t="s">
        <v>63</v>
      </c>
      <c r="AB1099" t="s">
        <v>64</v>
      </c>
    </row>
    <row r="1100" spans="1:28" x14ac:dyDescent="0.8">
      <c r="A1100">
        <v>1048</v>
      </c>
      <c r="B1100">
        <v>1452</v>
      </c>
      <c r="C1100" s="2">
        <v>44387</v>
      </c>
      <c r="D1100" t="s">
        <v>54</v>
      </c>
      <c r="E1100" t="s">
        <v>25</v>
      </c>
      <c r="F1100" t="s">
        <v>26</v>
      </c>
      <c r="G1100" t="s">
        <v>45</v>
      </c>
      <c r="H1100" t="s">
        <v>55</v>
      </c>
      <c r="I1100" t="s">
        <v>56</v>
      </c>
      <c r="J1100" t="s">
        <v>57</v>
      </c>
      <c r="K1100" t="s">
        <v>58</v>
      </c>
      <c r="L1100" t="s">
        <v>65</v>
      </c>
      <c r="M1100" t="s">
        <v>66</v>
      </c>
      <c r="N1100" t="s">
        <v>52</v>
      </c>
      <c r="O1100" t="s">
        <v>33</v>
      </c>
      <c r="P1100" t="s">
        <v>34</v>
      </c>
      <c r="Q1100" t="s">
        <v>35</v>
      </c>
      <c r="R1100" t="s">
        <v>36</v>
      </c>
      <c r="S1100" t="s">
        <v>37</v>
      </c>
      <c r="T1100" t="s">
        <v>38</v>
      </c>
      <c r="U1100" s="10" t="s">
        <v>1055</v>
      </c>
      <c r="V1100" s="10" t="s">
        <v>1058</v>
      </c>
      <c r="W1100" s="10" t="s">
        <v>1066</v>
      </c>
      <c r="X1100" s="10" t="s">
        <v>1059</v>
      </c>
      <c r="Y1100" t="s">
        <v>39</v>
      </c>
      <c r="Z1100" t="s">
        <v>62</v>
      </c>
      <c r="AA1100" t="s">
        <v>63</v>
      </c>
      <c r="AB1100" t="s">
        <v>64</v>
      </c>
    </row>
    <row r="1101" spans="1:28" x14ac:dyDescent="0.8">
      <c r="A1101">
        <v>1050</v>
      </c>
      <c r="B1101">
        <v>1454</v>
      </c>
      <c r="C1101" s="2">
        <v>44387</v>
      </c>
      <c r="D1101" t="s">
        <v>54</v>
      </c>
      <c r="E1101" t="s">
        <v>25</v>
      </c>
      <c r="F1101" t="s">
        <v>26</v>
      </c>
      <c r="G1101" t="s">
        <v>45</v>
      </c>
      <c r="H1101" t="s">
        <v>55</v>
      </c>
      <c r="I1101" t="s">
        <v>56</v>
      </c>
      <c r="J1101" t="s">
        <v>57</v>
      </c>
      <c r="K1101" t="s">
        <v>58</v>
      </c>
      <c r="L1101" t="s">
        <v>65</v>
      </c>
      <c r="M1101" t="s">
        <v>66</v>
      </c>
      <c r="N1101" t="s">
        <v>52</v>
      </c>
      <c r="O1101" t="s">
        <v>33</v>
      </c>
      <c r="P1101" t="s">
        <v>34</v>
      </c>
      <c r="Q1101" t="s">
        <v>35</v>
      </c>
      <c r="R1101" t="s">
        <v>36</v>
      </c>
      <c r="S1101" t="s">
        <v>37</v>
      </c>
      <c r="T1101" t="s">
        <v>38</v>
      </c>
      <c r="U1101" s="10" t="s">
        <v>1055</v>
      </c>
      <c r="V1101" s="10" t="s">
        <v>1058</v>
      </c>
      <c r="W1101" s="10" t="s">
        <v>1066</v>
      </c>
      <c r="X1101" s="10" t="s">
        <v>1059</v>
      </c>
      <c r="Y1101" t="s">
        <v>39</v>
      </c>
      <c r="Z1101" t="s">
        <v>62</v>
      </c>
      <c r="AA1101" t="s">
        <v>63</v>
      </c>
      <c r="AB1101" t="s">
        <v>64</v>
      </c>
    </row>
    <row r="1102" spans="1:28" x14ac:dyDescent="0.8">
      <c r="A1102">
        <v>1479</v>
      </c>
      <c r="B1102">
        <v>2326</v>
      </c>
      <c r="C1102" s="2">
        <v>44388</v>
      </c>
      <c r="D1102" t="s">
        <v>134</v>
      </c>
      <c r="E1102" t="s">
        <v>125</v>
      </c>
      <c r="F1102" t="s">
        <v>26</v>
      </c>
      <c r="G1102" t="s">
        <v>27</v>
      </c>
      <c r="H1102" t="s">
        <v>114</v>
      </c>
      <c r="I1102" t="s">
        <v>115</v>
      </c>
      <c r="J1102" t="s">
        <v>174</v>
      </c>
      <c r="K1102" t="s">
        <v>175</v>
      </c>
      <c r="L1102" t="s">
        <v>176</v>
      </c>
      <c r="M1102" t="s">
        <v>177</v>
      </c>
      <c r="O1102" t="s">
        <v>538</v>
      </c>
      <c r="P1102" t="s">
        <v>34</v>
      </c>
      <c r="Q1102" t="s">
        <v>539</v>
      </c>
      <c r="R1102" t="s">
        <v>540</v>
      </c>
      <c r="S1102" t="s">
        <v>541</v>
      </c>
      <c r="T1102" t="s">
        <v>542</v>
      </c>
      <c r="U1102" s="10" t="s">
        <v>1055</v>
      </c>
      <c r="V1102" s="10" t="s">
        <v>1058</v>
      </c>
      <c r="W1102" s="10" t="s">
        <v>1141</v>
      </c>
      <c r="X1102" s="10" t="s">
        <v>1059</v>
      </c>
      <c r="Y1102" t="s">
        <v>39</v>
      </c>
      <c r="Z1102" t="s">
        <v>40</v>
      </c>
      <c r="AA1102" t="s">
        <v>63</v>
      </c>
    </row>
    <row r="1103" spans="1:28" x14ac:dyDescent="0.8">
      <c r="A1103">
        <v>524</v>
      </c>
      <c r="B1103">
        <v>64</v>
      </c>
      <c r="C1103" s="2">
        <v>44388</v>
      </c>
      <c r="D1103" t="s">
        <v>235</v>
      </c>
      <c r="E1103" t="s">
        <v>25</v>
      </c>
      <c r="F1103" t="s">
        <v>26</v>
      </c>
      <c r="G1103" t="s">
        <v>45</v>
      </c>
      <c r="H1103" t="s">
        <v>68</v>
      </c>
      <c r="I1103" t="s">
        <v>69</v>
      </c>
      <c r="J1103" t="s">
        <v>70</v>
      </c>
      <c r="K1103" t="s">
        <v>71</v>
      </c>
      <c r="L1103" t="s">
        <v>72</v>
      </c>
      <c r="M1103" t="s">
        <v>73</v>
      </c>
      <c r="N1103" t="s">
        <v>61</v>
      </c>
      <c r="O1103" t="s">
        <v>543</v>
      </c>
      <c r="P1103" t="s">
        <v>34</v>
      </c>
      <c r="Q1103" t="s">
        <v>539</v>
      </c>
      <c r="R1103" t="s">
        <v>540</v>
      </c>
      <c r="S1103" t="s">
        <v>541</v>
      </c>
      <c r="T1103" t="s">
        <v>542</v>
      </c>
      <c r="U1103" s="10" t="s">
        <v>1055</v>
      </c>
      <c r="V1103" s="10" t="s">
        <v>1058</v>
      </c>
      <c r="W1103" s="10" t="s">
        <v>1141</v>
      </c>
      <c r="X1103" s="10" t="s">
        <v>1059</v>
      </c>
      <c r="Y1103" t="s">
        <v>39</v>
      </c>
      <c r="Z1103" t="s">
        <v>40</v>
      </c>
      <c r="AA1103" t="s">
        <v>63</v>
      </c>
    </row>
    <row r="1104" spans="1:28" x14ac:dyDescent="0.8">
      <c r="B1104">
        <v>71</v>
      </c>
      <c r="C1104" s="2">
        <v>44388</v>
      </c>
      <c r="D1104" t="s">
        <v>235</v>
      </c>
      <c r="E1104" t="s">
        <v>25</v>
      </c>
      <c r="F1104" t="s">
        <v>26</v>
      </c>
      <c r="G1104" t="s">
        <v>45</v>
      </c>
      <c r="H1104" t="s">
        <v>46</v>
      </c>
      <c r="I1104" t="s">
        <v>47</v>
      </c>
      <c r="J1104" t="s">
        <v>48</v>
      </c>
      <c r="K1104" t="s">
        <v>141</v>
      </c>
      <c r="L1104" t="s">
        <v>59</v>
      </c>
      <c r="M1104" t="s">
        <v>346</v>
      </c>
      <c r="N1104" t="s">
        <v>61</v>
      </c>
      <c r="O1104" t="s">
        <v>543</v>
      </c>
      <c r="P1104" t="s">
        <v>34</v>
      </c>
      <c r="Q1104" t="s">
        <v>539</v>
      </c>
      <c r="R1104" t="s">
        <v>540</v>
      </c>
      <c r="S1104" t="s">
        <v>541</v>
      </c>
      <c r="T1104" t="s">
        <v>542</v>
      </c>
      <c r="U1104" s="10" t="s">
        <v>1055</v>
      </c>
      <c r="V1104" s="10" t="s">
        <v>1058</v>
      </c>
      <c r="W1104" s="10" t="s">
        <v>1141</v>
      </c>
      <c r="X1104" s="10" t="s">
        <v>1059</v>
      </c>
      <c r="Y1104" t="s">
        <v>39</v>
      </c>
      <c r="Z1104" t="s">
        <v>40</v>
      </c>
      <c r="AA1104" t="s">
        <v>63</v>
      </c>
    </row>
    <row r="1105" spans="1:28" x14ac:dyDescent="0.8">
      <c r="A1105">
        <v>1670</v>
      </c>
      <c r="B1105">
        <v>443</v>
      </c>
      <c r="C1105" s="2">
        <v>44388</v>
      </c>
      <c r="D1105" t="s">
        <v>124</v>
      </c>
      <c r="E1105" t="s">
        <v>63</v>
      </c>
      <c r="F1105" t="s">
        <v>26</v>
      </c>
      <c r="G1105" t="s">
        <v>45</v>
      </c>
      <c r="H1105" t="s">
        <v>68</v>
      </c>
      <c r="I1105" t="s">
        <v>69</v>
      </c>
      <c r="J1105" t="s">
        <v>70</v>
      </c>
      <c r="K1105" t="s">
        <v>71</v>
      </c>
      <c r="L1105" t="s">
        <v>72</v>
      </c>
      <c r="M1105" t="s">
        <v>73</v>
      </c>
      <c r="N1105" t="s">
        <v>61</v>
      </c>
      <c r="O1105" t="s">
        <v>397</v>
      </c>
      <c r="P1105" t="s">
        <v>326</v>
      </c>
      <c r="Q1105" t="s">
        <v>35</v>
      </c>
      <c r="R1105" t="s">
        <v>398</v>
      </c>
      <c r="S1105" t="s">
        <v>399</v>
      </c>
      <c r="T1105" t="s">
        <v>400</v>
      </c>
      <c r="U1105" s="10" t="s">
        <v>1055</v>
      </c>
      <c r="V1105" s="10" t="s">
        <v>1058</v>
      </c>
      <c r="W1105" s="10" t="s">
        <v>1066</v>
      </c>
      <c r="X1105" s="10" t="s">
        <v>1059</v>
      </c>
      <c r="Y1105" t="s">
        <v>39</v>
      </c>
      <c r="Z1105" t="s">
        <v>40</v>
      </c>
      <c r="AA1105" t="s">
        <v>41</v>
      </c>
    </row>
    <row r="1106" spans="1:28" x14ac:dyDescent="0.8">
      <c r="A1106">
        <v>828</v>
      </c>
      <c r="B1106">
        <v>1405</v>
      </c>
      <c r="C1106" s="2">
        <v>44387</v>
      </c>
      <c r="D1106" t="s">
        <v>149</v>
      </c>
      <c r="E1106" t="s">
        <v>25</v>
      </c>
      <c r="F1106" t="s">
        <v>26</v>
      </c>
      <c r="G1106" t="s">
        <v>45</v>
      </c>
      <c r="H1106" t="s">
        <v>155</v>
      </c>
      <c r="I1106" t="s">
        <v>69</v>
      </c>
      <c r="J1106" t="s">
        <v>156</v>
      </c>
      <c r="K1106" t="s">
        <v>157</v>
      </c>
      <c r="L1106" t="s">
        <v>158</v>
      </c>
      <c r="M1106" t="s">
        <v>159</v>
      </c>
      <c r="N1106" t="s">
        <v>52</v>
      </c>
      <c r="O1106" t="s">
        <v>851</v>
      </c>
      <c r="P1106" t="s">
        <v>34</v>
      </c>
      <c r="Q1106" t="s">
        <v>721</v>
      </c>
      <c r="R1106" t="s">
        <v>852</v>
      </c>
      <c r="S1106" t="s">
        <v>131</v>
      </c>
      <c r="T1106" t="s">
        <v>853</v>
      </c>
      <c r="U1106" s="10" t="s">
        <v>1055</v>
      </c>
      <c r="V1106" s="10" t="s">
        <v>1058</v>
      </c>
      <c r="W1106" s="10" t="s">
        <v>1064</v>
      </c>
      <c r="X1106" s="10" t="s">
        <v>1068</v>
      </c>
      <c r="Y1106" t="s">
        <v>39</v>
      </c>
      <c r="Z1106" t="s">
        <v>40</v>
      </c>
      <c r="AA1106" t="s">
        <v>63</v>
      </c>
    </row>
    <row r="1107" spans="1:28" x14ac:dyDescent="0.8">
      <c r="A1107">
        <v>788</v>
      </c>
      <c r="B1107">
        <v>1317</v>
      </c>
      <c r="C1107" s="2">
        <v>44387</v>
      </c>
      <c r="D1107" t="s">
        <v>149</v>
      </c>
      <c r="E1107" t="s">
        <v>25</v>
      </c>
      <c r="F1107" t="s">
        <v>26</v>
      </c>
      <c r="G1107" t="s">
        <v>45</v>
      </c>
      <c r="H1107" t="s">
        <v>155</v>
      </c>
      <c r="I1107" t="s">
        <v>69</v>
      </c>
      <c r="J1107" t="s">
        <v>156</v>
      </c>
      <c r="K1107" t="s">
        <v>157</v>
      </c>
      <c r="L1107" t="s">
        <v>158</v>
      </c>
      <c r="M1107" t="s">
        <v>159</v>
      </c>
      <c r="N1107" t="s">
        <v>52</v>
      </c>
      <c r="O1107" t="s">
        <v>851</v>
      </c>
      <c r="P1107" t="s">
        <v>34</v>
      </c>
      <c r="Q1107" t="s">
        <v>721</v>
      </c>
      <c r="R1107" t="s">
        <v>852</v>
      </c>
      <c r="S1107" t="s">
        <v>131</v>
      </c>
      <c r="T1107" t="s">
        <v>853</v>
      </c>
      <c r="U1107" s="10" t="s">
        <v>1055</v>
      </c>
      <c r="V1107" s="10" t="s">
        <v>1058</v>
      </c>
      <c r="W1107" s="10" t="s">
        <v>1064</v>
      </c>
      <c r="X1107" s="10" t="s">
        <v>1068</v>
      </c>
      <c r="Y1107" t="s">
        <v>39</v>
      </c>
      <c r="Z1107" t="s">
        <v>40</v>
      </c>
      <c r="AA1107" t="s">
        <v>63</v>
      </c>
    </row>
    <row r="1108" spans="1:28" x14ac:dyDescent="0.8">
      <c r="A1108">
        <v>790</v>
      </c>
      <c r="B1108">
        <v>1319</v>
      </c>
      <c r="C1108" s="2">
        <v>44387</v>
      </c>
      <c r="D1108" t="s">
        <v>149</v>
      </c>
      <c r="E1108" t="s">
        <v>25</v>
      </c>
      <c r="F1108" t="s">
        <v>26</v>
      </c>
      <c r="G1108" t="s">
        <v>45</v>
      </c>
      <c r="H1108" t="s">
        <v>155</v>
      </c>
      <c r="I1108" t="s">
        <v>69</v>
      </c>
      <c r="J1108" t="s">
        <v>156</v>
      </c>
      <c r="K1108" t="s">
        <v>157</v>
      </c>
      <c r="L1108" t="s">
        <v>158</v>
      </c>
      <c r="M1108" t="s">
        <v>159</v>
      </c>
      <c r="N1108" t="s">
        <v>52</v>
      </c>
      <c r="O1108" t="s">
        <v>854</v>
      </c>
      <c r="P1108" t="s">
        <v>34</v>
      </c>
      <c r="Q1108" t="s">
        <v>721</v>
      </c>
      <c r="R1108" t="s">
        <v>855</v>
      </c>
      <c r="S1108" t="s">
        <v>856</v>
      </c>
      <c r="T1108" t="s">
        <v>857</v>
      </c>
      <c r="U1108" s="10" t="s">
        <v>1055</v>
      </c>
      <c r="V1108" s="10" t="s">
        <v>1058</v>
      </c>
      <c r="W1108" s="10" t="s">
        <v>1110</v>
      </c>
      <c r="X1108" s="10" t="s">
        <v>1068</v>
      </c>
      <c r="Y1108" t="s">
        <v>39</v>
      </c>
      <c r="Z1108" t="s">
        <v>40</v>
      </c>
      <c r="AA1108" t="s">
        <v>63</v>
      </c>
    </row>
    <row r="1109" spans="1:28" x14ac:dyDescent="0.8">
      <c r="A1109">
        <v>1393</v>
      </c>
      <c r="B1109">
        <v>2425</v>
      </c>
      <c r="C1109" s="2">
        <v>44386</v>
      </c>
      <c r="D1109" t="s">
        <v>67</v>
      </c>
      <c r="E1109" t="s">
        <v>125</v>
      </c>
      <c r="F1109" t="s">
        <v>26</v>
      </c>
      <c r="G1109" t="s">
        <v>45</v>
      </c>
      <c r="H1109" t="s">
        <v>55</v>
      </c>
      <c r="I1109" t="s">
        <v>56</v>
      </c>
      <c r="J1109" t="s">
        <v>57</v>
      </c>
      <c r="K1109" t="s">
        <v>58</v>
      </c>
      <c r="L1109" t="s">
        <v>59</v>
      </c>
      <c r="M1109" t="s">
        <v>60</v>
      </c>
      <c r="N1109" t="s">
        <v>61</v>
      </c>
      <c r="O1109" t="s">
        <v>755</v>
      </c>
      <c r="P1109" t="s">
        <v>85</v>
      </c>
      <c r="Q1109" t="s">
        <v>359</v>
      </c>
      <c r="R1109" t="s">
        <v>745</v>
      </c>
      <c r="S1109" t="s">
        <v>756</v>
      </c>
      <c r="T1109" t="s">
        <v>757</v>
      </c>
      <c r="U1109" s="10" t="s">
        <v>1061</v>
      </c>
      <c r="V1109" s="10" t="s">
        <v>1058</v>
      </c>
      <c r="W1109" s="10" t="s">
        <v>1141</v>
      </c>
      <c r="X1109" s="10" t="s">
        <v>1068</v>
      </c>
      <c r="Y1109" t="s">
        <v>39</v>
      </c>
      <c r="Z1109" t="s">
        <v>40</v>
      </c>
      <c r="AA1109" t="s">
        <v>63</v>
      </c>
    </row>
    <row r="1110" spans="1:28" x14ac:dyDescent="0.8">
      <c r="A1110">
        <v>1740</v>
      </c>
      <c r="B1110">
        <v>827</v>
      </c>
      <c r="C1110" s="2">
        <v>44384</v>
      </c>
      <c r="D1110" t="s">
        <v>24</v>
      </c>
      <c r="E1110" t="s">
        <v>150</v>
      </c>
      <c r="F1110" t="s">
        <v>26</v>
      </c>
      <c r="G1110" t="s">
        <v>45</v>
      </c>
      <c r="H1110" t="s">
        <v>68</v>
      </c>
      <c r="I1110" t="s">
        <v>69</v>
      </c>
      <c r="J1110" t="s">
        <v>70</v>
      </c>
      <c r="K1110" t="s">
        <v>71</v>
      </c>
      <c r="L1110" t="s">
        <v>72</v>
      </c>
      <c r="M1110" t="s">
        <v>73</v>
      </c>
      <c r="N1110" t="s">
        <v>61</v>
      </c>
      <c r="O1110" t="s">
        <v>782</v>
      </c>
      <c r="P1110" t="s">
        <v>85</v>
      </c>
      <c r="Q1110" t="s">
        <v>359</v>
      </c>
      <c r="R1110" t="s">
        <v>779</v>
      </c>
      <c r="S1110" t="s">
        <v>337</v>
      </c>
      <c r="T1110" t="s">
        <v>783</v>
      </c>
      <c r="U1110" s="10" t="s">
        <v>1061</v>
      </c>
      <c r="V1110" s="10" t="s">
        <v>1058</v>
      </c>
      <c r="W1110" s="10" t="s">
        <v>1066</v>
      </c>
      <c r="X1110" s="10" t="s">
        <v>1068</v>
      </c>
      <c r="Y1110" t="s">
        <v>39</v>
      </c>
      <c r="Z1110" t="s">
        <v>40</v>
      </c>
      <c r="AA1110" t="s">
        <v>41</v>
      </c>
      <c r="AB1110" t="s">
        <v>154</v>
      </c>
    </row>
    <row r="1111" spans="1:28" x14ac:dyDescent="0.8">
      <c r="A1111">
        <v>1757</v>
      </c>
      <c r="B1111">
        <v>95</v>
      </c>
      <c r="C1111" s="2">
        <v>44384</v>
      </c>
      <c r="D1111" t="s">
        <v>24</v>
      </c>
      <c r="E1111" t="s">
        <v>25</v>
      </c>
      <c r="F1111" t="s">
        <v>26</v>
      </c>
      <c r="G1111" t="s">
        <v>45</v>
      </c>
      <c r="H1111" t="s">
        <v>68</v>
      </c>
      <c r="I1111" t="s">
        <v>69</v>
      </c>
      <c r="J1111" t="s">
        <v>70</v>
      </c>
      <c r="K1111" t="s">
        <v>71</v>
      </c>
      <c r="L1111" t="s">
        <v>72</v>
      </c>
      <c r="M1111" t="s">
        <v>73</v>
      </c>
      <c r="N1111" t="s">
        <v>61</v>
      </c>
      <c r="O1111" t="s">
        <v>782</v>
      </c>
      <c r="P1111" t="s">
        <v>85</v>
      </c>
      <c r="Q1111" t="s">
        <v>359</v>
      </c>
      <c r="R1111" t="s">
        <v>779</v>
      </c>
      <c r="S1111" t="s">
        <v>337</v>
      </c>
      <c r="T1111" t="s">
        <v>783</v>
      </c>
      <c r="U1111" s="10" t="s">
        <v>1061</v>
      </c>
      <c r="V1111" s="10" t="s">
        <v>1058</v>
      </c>
      <c r="W1111" s="10" t="s">
        <v>1066</v>
      </c>
      <c r="X1111" s="10" t="s">
        <v>1068</v>
      </c>
      <c r="Y1111" t="s">
        <v>39</v>
      </c>
      <c r="Z1111" t="s">
        <v>40</v>
      </c>
      <c r="AA1111" t="s">
        <v>41</v>
      </c>
    </row>
    <row r="1112" spans="1:28" x14ac:dyDescent="0.8">
      <c r="A1112">
        <v>1512</v>
      </c>
      <c r="B1112">
        <v>15</v>
      </c>
      <c r="C1112" s="2">
        <v>44384</v>
      </c>
      <c r="D1112" t="s">
        <v>24</v>
      </c>
      <c r="E1112" t="s">
        <v>25</v>
      </c>
      <c r="F1112" t="s">
        <v>26</v>
      </c>
      <c r="G1112" t="s">
        <v>45</v>
      </c>
      <c r="H1112" t="s">
        <v>68</v>
      </c>
      <c r="I1112" t="s">
        <v>69</v>
      </c>
      <c r="J1112" t="s">
        <v>70</v>
      </c>
      <c r="K1112" t="s">
        <v>71</v>
      </c>
      <c r="L1112" t="s">
        <v>72</v>
      </c>
      <c r="M1112" t="s">
        <v>73</v>
      </c>
      <c r="N1112" t="s">
        <v>61</v>
      </c>
      <c r="O1112" t="s">
        <v>782</v>
      </c>
      <c r="P1112" t="s">
        <v>85</v>
      </c>
      <c r="Q1112" t="s">
        <v>359</v>
      </c>
      <c r="R1112" t="s">
        <v>779</v>
      </c>
      <c r="S1112" t="s">
        <v>337</v>
      </c>
      <c r="T1112" t="s">
        <v>783</v>
      </c>
      <c r="U1112" s="10" t="s">
        <v>1061</v>
      </c>
      <c r="V1112" s="10" t="s">
        <v>1058</v>
      </c>
      <c r="W1112" s="10" t="s">
        <v>1066</v>
      </c>
      <c r="X1112" s="10" t="s">
        <v>1068</v>
      </c>
      <c r="Y1112" t="s">
        <v>140</v>
      </c>
      <c r="Z1112" t="s">
        <v>40</v>
      </c>
      <c r="AA1112" t="s">
        <v>125</v>
      </c>
    </row>
    <row r="1113" spans="1:28" x14ac:dyDescent="0.8">
      <c r="A1113">
        <v>20</v>
      </c>
      <c r="B1113">
        <v>24</v>
      </c>
      <c r="C1113" s="2">
        <v>44384</v>
      </c>
      <c r="D1113" t="s">
        <v>24</v>
      </c>
      <c r="E1113" t="s">
        <v>150</v>
      </c>
      <c r="F1113" t="s">
        <v>26</v>
      </c>
      <c r="G1113" t="s">
        <v>45</v>
      </c>
      <c r="H1113" t="s">
        <v>68</v>
      </c>
      <c r="I1113" t="s">
        <v>69</v>
      </c>
      <c r="J1113" t="s">
        <v>70</v>
      </c>
      <c r="K1113" t="s">
        <v>71</v>
      </c>
      <c r="L1113" t="s">
        <v>72</v>
      </c>
      <c r="M1113" t="s">
        <v>73</v>
      </c>
      <c r="N1113" t="s">
        <v>61</v>
      </c>
      <c r="O1113" t="s">
        <v>782</v>
      </c>
      <c r="P1113" t="s">
        <v>85</v>
      </c>
      <c r="Q1113" t="s">
        <v>359</v>
      </c>
      <c r="R1113" t="s">
        <v>779</v>
      </c>
      <c r="S1113" t="s">
        <v>337</v>
      </c>
      <c r="T1113" t="s">
        <v>783</v>
      </c>
      <c r="U1113" s="10" t="s">
        <v>1061</v>
      </c>
      <c r="V1113" s="10" t="s">
        <v>1058</v>
      </c>
      <c r="W1113" s="10" t="s">
        <v>1066</v>
      </c>
      <c r="X1113" s="10" t="s">
        <v>1068</v>
      </c>
      <c r="Y1113" t="s">
        <v>140</v>
      </c>
      <c r="Z1113" t="s">
        <v>40</v>
      </c>
      <c r="AA1113" t="s">
        <v>234</v>
      </c>
    </row>
    <row r="1114" spans="1:28" x14ac:dyDescent="0.8">
      <c r="A1114">
        <v>16</v>
      </c>
      <c r="B1114">
        <v>17</v>
      </c>
      <c r="C1114" s="2">
        <v>44384</v>
      </c>
      <c r="D1114" t="s">
        <v>24</v>
      </c>
      <c r="E1114" t="s">
        <v>25</v>
      </c>
      <c r="F1114" t="s">
        <v>26</v>
      </c>
      <c r="G1114" t="s">
        <v>45</v>
      </c>
      <c r="H1114" t="s">
        <v>68</v>
      </c>
      <c r="I1114" t="s">
        <v>69</v>
      </c>
      <c r="J1114" t="s">
        <v>70</v>
      </c>
      <c r="K1114" t="s">
        <v>71</v>
      </c>
      <c r="L1114" t="s">
        <v>72</v>
      </c>
      <c r="M1114" t="s">
        <v>73</v>
      </c>
      <c r="N1114" t="s">
        <v>61</v>
      </c>
      <c r="O1114" t="s">
        <v>782</v>
      </c>
      <c r="P1114" t="s">
        <v>85</v>
      </c>
      <c r="Q1114" t="s">
        <v>359</v>
      </c>
      <c r="R1114" t="s">
        <v>779</v>
      </c>
      <c r="S1114" t="s">
        <v>337</v>
      </c>
      <c r="T1114" t="s">
        <v>783</v>
      </c>
      <c r="U1114" s="10" t="s">
        <v>1061</v>
      </c>
      <c r="V1114" s="10" t="s">
        <v>1058</v>
      </c>
      <c r="W1114" s="10" t="s">
        <v>1066</v>
      </c>
      <c r="X1114" s="10" t="s">
        <v>1068</v>
      </c>
      <c r="Y1114" t="s">
        <v>140</v>
      </c>
      <c r="Z1114" t="s">
        <v>202</v>
      </c>
      <c r="AA1114" t="s">
        <v>234</v>
      </c>
    </row>
    <row r="1115" spans="1:28" x14ac:dyDescent="0.8">
      <c r="A1115">
        <v>594</v>
      </c>
      <c r="B1115">
        <v>693</v>
      </c>
      <c r="C1115" s="2">
        <v>44384</v>
      </c>
      <c r="D1115" t="s">
        <v>24</v>
      </c>
      <c r="E1115" t="s">
        <v>25</v>
      </c>
      <c r="F1115" t="s">
        <v>26</v>
      </c>
      <c r="G1115" t="s">
        <v>45</v>
      </c>
      <c r="H1115" t="s">
        <v>46</v>
      </c>
      <c r="I1115" t="s">
        <v>47</v>
      </c>
      <c r="J1115" t="s">
        <v>48</v>
      </c>
      <c r="K1115" t="s">
        <v>49</v>
      </c>
      <c r="L1115" t="s">
        <v>91</v>
      </c>
      <c r="M1115" t="s">
        <v>92</v>
      </c>
      <c r="N1115" t="s">
        <v>61</v>
      </c>
      <c r="O1115" t="s">
        <v>782</v>
      </c>
      <c r="P1115" t="s">
        <v>85</v>
      </c>
      <c r="Q1115" t="s">
        <v>359</v>
      </c>
      <c r="R1115" t="s">
        <v>779</v>
      </c>
      <c r="S1115" t="s">
        <v>337</v>
      </c>
      <c r="T1115" t="s">
        <v>783</v>
      </c>
      <c r="U1115" s="10" t="s">
        <v>1061</v>
      </c>
      <c r="V1115" s="10" t="s">
        <v>1058</v>
      </c>
      <c r="W1115" s="10" t="s">
        <v>1066</v>
      </c>
      <c r="X1115" s="10" t="s">
        <v>1068</v>
      </c>
      <c r="Y1115" t="s">
        <v>39</v>
      </c>
      <c r="Z1115" t="s">
        <v>40</v>
      </c>
      <c r="AA1115" t="s">
        <v>63</v>
      </c>
    </row>
    <row r="1116" spans="1:28" x14ac:dyDescent="0.8">
      <c r="A1116">
        <v>1373</v>
      </c>
      <c r="B1116">
        <v>2070</v>
      </c>
      <c r="C1116" s="2">
        <v>44386</v>
      </c>
      <c r="D1116" t="s">
        <v>67</v>
      </c>
      <c r="E1116" t="s">
        <v>63</v>
      </c>
      <c r="F1116" t="s">
        <v>26</v>
      </c>
      <c r="G1116" t="s">
        <v>45</v>
      </c>
      <c r="H1116" t="s">
        <v>68</v>
      </c>
      <c r="I1116" t="s">
        <v>69</v>
      </c>
      <c r="J1116" t="s">
        <v>70</v>
      </c>
      <c r="K1116" t="s">
        <v>71</v>
      </c>
      <c r="L1116" t="s">
        <v>72</v>
      </c>
      <c r="M1116" t="s">
        <v>73</v>
      </c>
      <c r="N1116" t="s">
        <v>61</v>
      </c>
      <c r="O1116" t="s">
        <v>782</v>
      </c>
      <c r="P1116" t="s">
        <v>85</v>
      </c>
      <c r="Q1116" t="s">
        <v>359</v>
      </c>
      <c r="R1116" t="s">
        <v>779</v>
      </c>
      <c r="S1116" t="s">
        <v>337</v>
      </c>
      <c r="T1116" t="s">
        <v>783</v>
      </c>
      <c r="U1116" s="10" t="s">
        <v>1061</v>
      </c>
      <c r="V1116" s="10" t="s">
        <v>1058</v>
      </c>
      <c r="W1116" s="10" t="s">
        <v>1066</v>
      </c>
      <c r="X1116" s="10" t="s">
        <v>1068</v>
      </c>
      <c r="Y1116" t="s">
        <v>39</v>
      </c>
      <c r="Z1116" t="s">
        <v>40</v>
      </c>
      <c r="AA1116" t="s">
        <v>63</v>
      </c>
    </row>
    <row r="1117" spans="1:28" x14ac:dyDescent="0.8">
      <c r="A1117">
        <v>1378</v>
      </c>
      <c r="B1117">
        <v>2075</v>
      </c>
      <c r="C1117" s="2">
        <v>44386</v>
      </c>
      <c r="D1117" t="s">
        <v>67</v>
      </c>
      <c r="E1117" t="s">
        <v>125</v>
      </c>
      <c r="F1117" t="s">
        <v>26</v>
      </c>
      <c r="G1117" t="s">
        <v>45</v>
      </c>
      <c r="H1117" t="s">
        <v>55</v>
      </c>
      <c r="I1117" t="s">
        <v>249</v>
      </c>
      <c r="J1117" t="s">
        <v>250</v>
      </c>
      <c r="K1117" t="s">
        <v>251</v>
      </c>
      <c r="L1117" t="s">
        <v>252</v>
      </c>
      <c r="M1117" t="s">
        <v>253</v>
      </c>
      <c r="N1117" t="s">
        <v>61</v>
      </c>
      <c r="O1117" t="s">
        <v>782</v>
      </c>
      <c r="P1117" t="s">
        <v>85</v>
      </c>
      <c r="Q1117" t="s">
        <v>359</v>
      </c>
      <c r="R1117" t="s">
        <v>779</v>
      </c>
      <c r="S1117" t="s">
        <v>337</v>
      </c>
      <c r="T1117" t="s">
        <v>783</v>
      </c>
      <c r="U1117" s="10" t="s">
        <v>1061</v>
      </c>
      <c r="V1117" s="10" t="s">
        <v>1058</v>
      </c>
      <c r="W1117" s="10" t="s">
        <v>1066</v>
      </c>
      <c r="X1117" s="10" t="s">
        <v>1068</v>
      </c>
      <c r="Y1117" t="s">
        <v>39</v>
      </c>
      <c r="Z1117" t="s">
        <v>40</v>
      </c>
      <c r="AA1117" t="s">
        <v>63</v>
      </c>
    </row>
    <row r="1118" spans="1:28" x14ac:dyDescent="0.8">
      <c r="A1118">
        <v>1553</v>
      </c>
      <c r="B1118">
        <v>297</v>
      </c>
      <c r="C1118" s="2">
        <v>44386</v>
      </c>
      <c r="D1118" t="s">
        <v>93</v>
      </c>
      <c r="E1118" t="s">
        <v>53</v>
      </c>
      <c r="F1118" t="s">
        <v>26</v>
      </c>
      <c r="G1118" t="s">
        <v>45</v>
      </c>
      <c r="H1118" t="s">
        <v>68</v>
      </c>
      <c r="I1118" t="s">
        <v>69</v>
      </c>
      <c r="J1118" t="s">
        <v>70</v>
      </c>
      <c r="K1118" t="s">
        <v>71</v>
      </c>
      <c r="L1118" t="s">
        <v>72</v>
      </c>
      <c r="M1118" t="s">
        <v>73</v>
      </c>
      <c r="N1118" t="s">
        <v>61</v>
      </c>
      <c r="O1118" t="s">
        <v>782</v>
      </c>
      <c r="P1118" t="s">
        <v>85</v>
      </c>
      <c r="Q1118" t="s">
        <v>359</v>
      </c>
      <c r="R1118" t="s">
        <v>779</v>
      </c>
      <c r="S1118" t="s">
        <v>337</v>
      </c>
      <c r="T1118" t="s">
        <v>783</v>
      </c>
      <c r="U1118" s="10" t="s">
        <v>1061</v>
      </c>
      <c r="V1118" s="10" t="s">
        <v>1058</v>
      </c>
      <c r="W1118" s="10" t="s">
        <v>1066</v>
      </c>
      <c r="X1118" s="10" t="s">
        <v>1068</v>
      </c>
      <c r="Y1118" t="s">
        <v>140</v>
      </c>
      <c r="Z1118" t="s">
        <v>40</v>
      </c>
      <c r="AA1118" t="s">
        <v>125</v>
      </c>
    </row>
    <row r="1119" spans="1:28" x14ac:dyDescent="0.8">
      <c r="A1119">
        <v>1466</v>
      </c>
      <c r="B1119">
        <v>2263</v>
      </c>
      <c r="C1119" s="2">
        <v>44388</v>
      </c>
      <c r="D1119" t="s">
        <v>134</v>
      </c>
      <c r="E1119" t="s">
        <v>53</v>
      </c>
      <c r="F1119" t="s">
        <v>26</v>
      </c>
      <c r="G1119" t="s">
        <v>27</v>
      </c>
      <c r="H1119" t="s">
        <v>114</v>
      </c>
      <c r="I1119" t="s">
        <v>115</v>
      </c>
      <c r="J1119" t="s">
        <v>174</v>
      </c>
      <c r="K1119" t="s">
        <v>175</v>
      </c>
      <c r="L1119" t="s">
        <v>176</v>
      </c>
      <c r="M1119" t="s">
        <v>177</v>
      </c>
      <c r="O1119" t="s">
        <v>782</v>
      </c>
      <c r="P1119" t="s">
        <v>85</v>
      </c>
      <c r="Q1119" t="s">
        <v>359</v>
      </c>
      <c r="R1119" t="s">
        <v>779</v>
      </c>
      <c r="S1119" t="s">
        <v>337</v>
      </c>
      <c r="T1119" t="s">
        <v>783</v>
      </c>
      <c r="U1119" s="10" t="s">
        <v>1061</v>
      </c>
      <c r="V1119" s="10" t="s">
        <v>1058</v>
      </c>
      <c r="W1119" s="10" t="s">
        <v>1066</v>
      </c>
      <c r="X1119" s="10" t="s">
        <v>1068</v>
      </c>
      <c r="Y1119" t="s">
        <v>39</v>
      </c>
      <c r="Z1119" t="s">
        <v>40</v>
      </c>
      <c r="AA1119" t="s">
        <v>63</v>
      </c>
      <c r="AB1119" t="s">
        <v>784</v>
      </c>
    </row>
    <row r="1120" spans="1:28" x14ac:dyDescent="0.8">
      <c r="A1120">
        <v>1464</v>
      </c>
      <c r="B1120">
        <v>2261</v>
      </c>
      <c r="C1120" s="2">
        <v>44388</v>
      </c>
      <c r="D1120" t="s">
        <v>134</v>
      </c>
      <c r="E1120" t="s">
        <v>53</v>
      </c>
      <c r="F1120" t="s">
        <v>26</v>
      </c>
      <c r="G1120" t="s">
        <v>45</v>
      </c>
      <c r="H1120" t="s">
        <v>46</v>
      </c>
      <c r="I1120" t="s">
        <v>47</v>
      </c>
      <c r="J1120" t="s">
        <v>48</v>
      </c>
      <c r="K1120" t="s">
        <v>141</v>
      </c>
      <c r="L1120" t="s">
        <v>293</v>
      </c>
      <c r="M1120" t="s">
        <v>294</v>
      </c>
      <c r="N1120" t="s">
        <v>52</v>
      </c>
      <c r="O1120" t="s">
        <v>782</v>
      </c>
      <c r="P1120" t="s">
        <v>85</v>
      </c>
      <c r="Q1120" t="s">
        <v>359</v>
      </c>
      <c r="R1120" t="s">
        <v>779</v>
      </c>
      <c r="S1120" t="s">
        <v>337</v>
      </c>
      <c r="T1120" t="s">
        <v>783</v>
      </c>
      <c r="U1120" s="10" t="s">
        <v>1061</v>
      </c>
      <c r="V1120" s="10" t="s">
        <v>1058</v>
      </c>
      <c r="W1120" s="10" t="s">
        <v>1066</v>
      </c>
      <c r="X1120" s="10" t="s">
        <v>1068</v>
      </c>
      <c r="Y1120" t="s">
        <v>39</v>
      </c>
      <c r="Z1120" t="s">
        <v>40</v>
      </c>
      <c r="AA1120" t="s">
        <v>63</v>
      </c>
      <c r="AB1120" t="s">
        <v>784</v>
      </c>
    </row>
    <row r="1121" spans="1:28" x14ac:dyDescent="0.8">
      <c r="A1121">
        <v>1465</v>
      </c>
      <c r="B1121">
        <v>2262</v>
      </c>
      <c r="C1121" s="2">
        <v>44388</v>
      </c>
      <c r="D1121" t="s">
        <v>134</v>
      </c>
      <c r="E1121" t="s">
        <v>53</v>
      </c>
      <c r="F1121" t="s">
        <v>26</v>
      </c>
      <c r="G1121" t="s">
        <v>45</v>
      </c>
      <c r="H1121" t="s">
        <v>46</v>
      </c>
      <c r="I1121" t="s">
        <v>47</v>
      </c>
      <c r="J1121" t="s">
        <v>48</v>
      </c>
      <c r="K1121" t="s">
        <v>141</v>
      </c>
      <c r="L1121" t="s">
        <v>293</v>
      </c>
      <c r="M1121" t="s">
        <v>294</v>
      </c>
      <c r="N1121" t="s">
        <v>52</v>
      </c>
      <c r="O1121" t="s">
        <v>782</v>
      </c>
      <c r="P1121" t="s">
        <v>85</v>
      </c>
      <c r="Q1121" t="s">
        <v>359</v>
      </c>
      <c r="R1121" t="s">
        <v>779</v>
      </c>
      <c r="S1121" t="s">
        <v>337</v>
      </c>
      <c r="T1121" t="s">
        <v>783</v>
      </c>
      <c r="U1121" s="10" t="s">
        <v>1061</v>
      </c>
      <c r="V1121" s="10" t="s">
        <v>1058</v>
      </c>
      <c r="W1121" s="10" t="s">
        <v>1066</v>
      </c>
      <c r="X1121" s="10" t="s">
        <v>1068</v>
      </c>
      <c r="Y1121" t="s">
        <v>39</v>
      </c>
      <c r="Z1121" t="s">
        <v>40</v>
      </c>
      <c r="AA1121" t="s">
        <v>63</v>
      </c>
      <c r="AB1121" t="s">
        <v>784</v>
      </c>
    </row>
    <row r="1122" spans="1:28" x14ac:dyDescent="0.8">
      <c r="A1122">
        <v>1494</v>
      </c>
      <c r="B1122">
        <v>2341</v>
      </c>
      <c r="C1122" s="2">
        <v>44388</v>
      </c>
      <c r="D1122" t="s">
        <v>134</v>
      </c>
      <c r="E1122" t="s">
        <v>125</v>
      </c>
      <c r="F1122" t="s">
        <v>26</v>
      </c>
      <c r="G1122" t="s">
        <v>94</v>
      </c>
      <c r="H1122" t="s">
        <v>95</v>
      </c>
      <c r="I1122" t="s">
        <v>785</v>
      </c>
      <c r="J1122" t="s">
        <v>786</v>
      </c>
      <c r="K1122" t="s">
        <v>787</v>
      </c>
      <c r="L1122" t="s">
        <v>788</v>
      </c>
      <c r="M1122" t="s">
        <v>789</v>
      </c>
      <c r="N1122" t="s">
        <v>395</v>
      </c>
      <c r="O1122" t="s">
        <v>782</v>
      </c>
      <c r="P1122" t="s">
        <v>85</v>
      </c>
      <c r="Q1122" t="s">
        <v>359</v>
      </c>
      <c r="R1122" t="s">
        <v>779</v>
      </c>
      <c r="S1122" t="s">
        <v>337</v>
      </c>
      <c r="T1122" t="s">
        <v>783</v>
      </c>
      <c r="U1122" s="10" t="s">
        <v>1061</v>
      </c>
      <c r="V1122" s="10" t="s">
        <v>1058</v>
      </c>
      <c r="W1122" s="10" t="s">
        <v>1066</v>
      </c>
      <c r="X1122" s="10" t="s">
        <v>1068</v>
      </c>
      <c r="Y1122" t="s">
        <v>39</v>
      </c>
      <c r="Z1122" t="s">
        <v>40</v>
      </c>
      <c r="AA1122" t="s">
        <v>63</v>
      </c>
    </row>
    <row r="1123" spans="1:28" x14ac:dyDescent="0.8">
      <c r="A1123">
        <v>181</v>
      </c>
      <c r="B1123">
        <v>1337</v>
      </c>
      <c r="C1123" s="2">
        <v>44388</v>
      </c>
      <c r="D1123" t="s">
        <v>235</v>
      </c>
      <c r="E1123" t="s">
        <v>63</v>
      </c>
      <c r="F1123" t="s">
        <v>26</v>
      </c>
      <c r="G1123" t="s">
        <v>27</v>
      </c>
      <c r="H1123" t="s">
        <v>28</v>
      </c>
      <c r="I1123" t="s">
        <v>109</v>
      </c>
      <c r="J1123" t="s">
        <v>110</v>
      </c>
      <c r="K1123" t="s">
        <v>111</v>
      </c>
      <c r="L1123" t="s">
        <v>112</v>
      </c>
      <c r="M1123" t="s">
        <v>113</v>
      </c>
      <c r="N1123" t="s">
        <v>61</v>
      </c>
      <c r="O1123" t="s">
        <v>782</v>
      </c>
      <c r="P1123" t="s">
        <v>85</v>
      </c>
      <c r="Q1123" t="s">
        <v>359</v>
      </c>
      <c r="R1123" t="s">
        <v>779</v>
      </c>
      <c r="S1123" t="s">
        <v>337</v>
      </c>
      <c r="T1123" t="s">
        <v>783</v>
      </c>
      <c r="U1123" s="10" t="s">
        <v>1061</v>
      </c>
      <c r="V1123" s="10" t="s">
        <v>1058</v>
      </c>
      <c r="W1123" s="10" t="s">
        <v>1066</v>
      </c>
      <c r="X1123" s="10" t="s">
        <v>1068</v>
      </c>
      <c r="Y1123" t="s">
        <v>39</v>
      </c>
      <c r="Z1123" t="s">
        <v>40</v>
      </c>
      <c r="AA1123" t="s">
        <v>53</v>
      </c>
    </row>
    <row r="1124" spans="1:28" x14ac:dyDescent="0.8">
      <c r="A1124">
        <v>179</v>
      </c>
      <c r="B1124">
        <v>1335</v>
      </c>
      <c r="C1124" s="2">
        <v>44388</v>
      </c>
      <c r="D1124" t="s">
        <v>235</v>
      </c>
      <c r="E1124" t="s">
        <v>63</v>
      </c>
      <c r="F1124" t="s">
        <v>26</v>
      </c>
      <c r="G1124" t="s">
        <v>45</v>
      </c>
      <c r="H1124" t="s">
        <v>68</v>
      </c>
      <c r="I1124" t="s">
        <v>69</v>
      </c>
      <c r="J1124" t="s">
        <v>70</v>
      </c>
      <c r="K1124" t="s">
        <v>71</v>
      </c>
      <c r="L1124" t="s">
        <v>72</v>
      </c>
      <c r="M1124" t="s">
        <v>73</v>
      </c>
      <c r="N1124" t="s">
        <v>61</v>
      </c>
      <c r="O1124" t="s">
        <v>782</v>
      </c>
      <c r="P1124" t="s">
        <v>85</v>
      </c>
      <c r="Q1124" t="s">
        <v>359</v>
      </c>
      <c r="R1124" t="s">
        <v>779</v>
      </c>
      <c r="S1124" t="s">
        <v>337</v>
      </c>
      <c r="T1124" t="s">
        <v>783</v>
      </c>
      <c r="U1124" s="10" t="s">
        <v>1061</v>
      </c>
      <c r="V1124" s="10" t="s">
        <v>1058</v>
      </c>
      <c r="W1124" s="10" t="s">
        <v>1066</v>
      </c>
      <c r="X1124" s="10" t="s">
        <v>1068</v>
      </c>
      <c r="Y1124" t="s">
        <v>39</v>
      </c>
      <c r="Z1124" t="s">
        <v>40</v>
      </c>
      <c r="AA1124" t="s">
        <v>53</v>
      </c>
    </row>
    <row r="1125" spans="1:28" x14ac:dyDescent="0.8">
      <c r="A1125">
        <v>260</v>
      </c>
      <c r="B1125">
        <v>1466</v>
      </c>
      <c r="C1125" s="2">
        <v>44386</v>
      </c>
      <c r="D1125" t="s">
        <v>43</v>
      </c>
      <c r="E1125" t="s">
        <v>63</v>
      </c>
      <c r="F1125" t="s">
        <v>26</v>
      </c>
      <c r="G1125" t="s">
        <v>45</v>
      </c>
      <c r="H1125" t="s">
        <v>68</v>
      </c>
      <c r="I1125" t="s">
        <v>69</v>
      </c>
      <c r="J1125" t="s">
        <v>70</v>
      </c>
      <c r="K1125" t="s">
        <v>71</v>
      </c>
      <c r="L1125" t="s">
        <v>72</v>
      </c>
      <c r="M1125" t="s">
        <v>73</v>
      </c>
      <c r="N1125" t="s">
        <v>61</v>
      </c>
      <c r="O1125" t="s">
        <v>782</v>
      </c>
      <c r="P1125" t="s">
        <v>85</v>
      </c>
      <c r="Q1125" t="s">
        <v>359</v>
      </c>
      <c r="R1125" t="s">
        <v>779</v>
      </c>
      <c r="S1125" t="s">
        <v>337</v>
      </c>
      <c r="T1125" t="s">
        <v>783</v>
      </c>
      <c r="U1125" s="10" t="s">
        <v>1061</v>
      </c>
      <c r="V1125" s="10" t="s">
        <v>1058</v>
      </c>
      <c r="W1125" s="10" t="s">
        <v>1066</v>
      </c>
      <c r="X1125" s="10" t="s">
        <v>1068</v>
      </c>
      <c r="Y1125" t="s">
        <v>39</v>
      </c>
      <c r="Z1125" t="s">
        <v>40</v>
      </c>
      <c r="AA1125" t="s">
        <v>53</v>
      </c>
    </row>
    <row r="1126" spans="1:28" x14ac:dyDescent="0.8">
      <c r="A1126">
        <v>109</v>
      </c>
      <c r="B1126">
        <v>116</v>
      </c>
      <c r="C1126" s="2">
        <v>44386</v>
      </c>
      <c r="D1126" t="s">
        <v>43</v>
      </c>
      <c r="E1126" t="s">
        <v>25</v>
      </c>
      <c r="F1126" t="s">
        <v>26</v>
      </c>
      <c r="G1126" t="s">
        <v>45</v>
      </c>
      <c r="H1126" t="s">
        <v>68</v>
      </c>
      <c r="I1126" t="s">
        <v>69</v>
      </c>
      <c r="J1126" t="s">
        <v>70</v>
      </c>
      <c r="K1126" t="s">
        <v>71</v>
      </c>
      <c r="L1126" t="s">
        <v>72</v>
      </c>
      <c r="M1126" t="s">
        <v>73</v>
      </c>
      <c r="N1126" t="s">
        <v>61</v>
      </c>
      <c r="O1126" t="s">
        <v>782</v>
      </c>
      <c r="P1126" t="s">
        <v>85</v>
      </c>
      <c r="Q1126" t="s">
        <v>359</v>
      </c>
      <c r="R1126" t="s">
        <v>779</v>
      </c>
      <c r="S1126" t="s">
        <v>337</v>
      </c>
      <c r="T1126" t="s">
        <v>783</v>
      </c>
      <c r="U1126" s="10" t="s">
        <v>1061</v>
      </c>
      <c r="V1126" s="10" t="s">
        <v>1058</v>
      </c>
      <c r="W1126" s="10" t="s">
        <v>1066</v>
      </c>
      <c r="X1126" s="10" t="s">
        <v>1068</v>
      </c>
      <c r="Y1126" t="s">
        <v>39</v>
      </c>
      <c r="Z1126" t="s">
        <v>40</v>
      </c>
      <c r="AA1126" t="s">
        <v>44</v>
      </c>
    </row>
    <row r="1127" spans="1:28" x14ac:dyDescent="0.8">
      <c r="A1127">
        <v>108</v>
      </c>
      <c r="B1127">
        <v>115</v>
      </c>
      <c r="C1127" s="2">
        <v>44386</v>
      </c>
      <c r="D1127" t="s">
        <v>43</v>
      </c>
      <c r="E1127" t="s">
        <v>25</v>
      </c>
      <c r="F1127" t="s">
        <v>26</v>
      </c>
      <c r="G1127" t="s">
        <v>45</v>
      </c>
      <c r="H1127" t="s">
        <v>68</v>
      </c>
      <c r="I1127" t="s">
        <v>69</v>
      </c>
      <c r="J1127" t="s">
        <v>70</v>
      </c>
      <c r="K1127" t="s">
        <v>71</v>
      </c>
      <c r="L1127" t="s">
        <v>72</v>
      </c>
      <c r="M1127" t="s">
        <v>73</v>
      </c>
      <c r="N1127" t="s">
        <v>61</v>
      </c>
      <c r="O1127" t="s">
        <v>782</v>
      </c>
      <c r="P1127" t="s">
        <v>85</v>
      </c>
      <c r="Q1127" t="s">
        <v>359</v>
      </c>
      <c r="R1127" t="s">
        <v>779</v>
      </c>
      <c r="S1127" t="s">
        <v>337</v>
      </c>
      <c r="T1127" t="s">
        <v>783</v>
      </c>
      <c r="U1127" s="10" t="s">
        <v>1061</v>
      </c>
      <c r="V1127" s="10" t="s">
        <v>1058</v>
      </c>
      <c r="W1127" s="10" t="s">
        <v>1066</v>
      </c>
      <c r="X1127" s="10" t="s">
        <v>1068</v>
      </c>
      <c r="Y1127" t="s">
        <v>39</v>
      </c>
      <c r="Z1127" t="s">
        <v>40</v>
      </c>
      <c r="AA1127" t="s">
        <v>44</v>
      </c>
    </row>
    <row r="1128" spans="1:28" x14ac:dyDescent="0.8">
      <c r="A1128">
        <v>1088</v>
      </c>
      <c r="B1128">
        <v>1188</v>
      </c>
      <c r="C1128" s="2">
        <v>44387</v>
      </c>
      <c r="D1128" t="s">
        <v>54</v>
      </c>
      <c r="E1128" t="s">
        <v>103</v>
      </c>
      <c r="F1128" t="s">
        <v>26</v>
      </c>
      <c r="G1128" t="s">
        <v>45</v>
      </c>
      <c r="H1128" t="s">
        <v>68</v>
      </c>
      <c r="I1128" t="s">
        <v>69</v>
      </c>
      <c r="J1128" t="s">
        <v>70</v>
      </c>
      <c r="K1128" t="s">
        <v>71</v>
      </c>
      <c r="L1128" t="s">
        <v>72</v>
      </c>
      <c r="M1128" t="s">
        <v>73</v>
      </c>
      <c r="N1128" t="s">
        <v>61</v>
      </c>
      <c r="O1128" t="s">
        <v>782</v>
      </c>
      <c r="P1128" t="s">
        <v>85</v>
      </c>
      <c r="Q1128" t="s">
        <v>359</v>
      </c>
      <c r="R1128" t="s">
        <v>779</v>
      </c>
      <c r="S1128" t="s">
        <v>337</v>
      </c>
      <c r="T1128" t="s">
        <v>783</v>
      </c>
      <c r="U1128" s="10" t="s">
        <v>1061</v>
      </c>
      <c r="V1128" s="10" t="s">
        <v>1058</v>
      </c>
      <c r="W1128" s="10" t="s">
        <v>1066</v>
      </c>
      <c r="X1128" s="10" t="s">
        <v>1068</v>
      </c>
      <c r="Y1128" t="s">
        <v>39</v>
      </c>
      <c r="Z1128" t="s">
        <v>40</v>
      </c>
      <c r="AA1128" t="s">
        <v>63</v>
      </c>
    </row>
    <row r="1129" spans="1:28" x14ac:dyDescent="0.8">
      <c r="A1129">
        <v>1078</v>
      </c>
      <c r="B1129">
        <v>1053</v>
      </c>
      <c r="C1129" s="2">
        <v>44387</v>
      </c>
      <c r="D1129" t="s">
        <v>54</v>
      </c>
      <c r="E1129" t="s">
        <v>103</v>
      </c>
      <c r="F1129" t="s">
        <v>26</v>
      </c>
      <c r="G1129" t="s">
        <v>45</v>
      </c>
      <c r="H1129" t="s">
        <v>68</v>
      </c>
      <c r="I1129" t="s">
        <v>69</v>
      </c>
      <c r="J1129" t="s">
        <v>70</v>
      </c>
      <c r="K1129" t="s">
        <v>71</v>
      </c>
      <c r="L1129" t="s">
        <v>72</v>
      </c>
      <c r="M1129" t="s">
        <v>73</v>
      </c>
      <c r="N1129" t="s">
        <v>61</v>
      </c>
      <c r="O1129" t="s">
        <v>782</v>
      </c>
      <c r="P1129" t="s">
        <v>85</v>
      </c>
      <c r="Q1129" t="s">
        <v>359</v>
      </c>
      <c r="R1129" t="s">
        <v>779</v>
      </c>
      <c r="S1129" t="s">
        <v>337</v>
      </c>
      <c r="T1129" t="s">
        <v>783</v>
      </c>
      <c r="U1129" s="10" t="s">
        <v>1061</v>
      </c>
      <c r="V1129" s="10" t="s">
        <v>1058</v>
      </c>
      <c r="W1129" s="10" t="s">
        <v>1066</v>
      </c>
      <c r="X1129" s="10" t="s">
        <v>1068</v>
      </c>
      <c r="Y1129" t="s">
        <v>39</v>
      </c>
      <c r="Z1129" t="s">
        <v>40</v>
      </c>
      <c r="AA1129" t="s">
        <v>63</v>
      </c>
    </row>
    <row r="1130" spans="1:28" x14ac:dyDescent="0.8">
      <c r="A1130">
        <v>1056</v>
      </c>
      <c r="B1130">
        <v>1460</v>
      </c>
      <c r="C1130" s="2">
        <v>44387</v>
      </c>
      <c r="D1130" t="s">
        <v>54</v>
      </c>
      <c r="E1130" t="s">
        <v>63</v>
      </c>
      <c r="F1130" t="s">
        <v>26</v>
      </c>
      <c r="G1130" t="s">
        <v>45</v>
      </c>
      <c r="H1130" t="s">
        <v>68</v>
      </c>
      <c r="I1130" t="s">
        <v>69</v>
      </c>
      <c r="J1130" t="s">
        <v>70</v>
      </c>
      <c r="K1130" t="s">
        <v>71</v>
      </c>
      <c r="L1130" t="s">
        <v>72</v>
      </c>
      <c r="M1130" t="s">
        <v>73</v>
      </c>
      <c r="N1130" t="s">
        <v>61</v>
      </c>
      <c r="O1130" t="s">
        <v>782</v>
      </c>
      <c r="P1130" t="s">
        <v>85</v>
      </c>
      <c r="Q1130" t="s">
        <v>359</v>
      </c>
      <c r="R1130" t="s">
        <v>779</v>
      </c>
      <c r="S1130" t="s">
        <v>337</v>
      </c>
      <c r="T1130" t="s">
        <v>783</v>
      </c>
      <c r="U1130" s="10" t="s">
        <v>1061</v>
      </c>
      <c r="V1130" s="10" t="s">
        <v>1058</v>
      </c>
      <c r="W1130" s="10" t="s">
        <v>1066</v>
      </c>
      <c r="X1130" s="10" t="s">
        <v>1068</v>
      </c>
      <c r="Y1130" t="s">
        <v>39</v>
      </c>
      <c r="Z1130" t="s">
        <v>40</v>
      </c>
      <c r="AA1130" t="s">
        <v>63</v>
      </c>
    </row>
    <row r="1131" spans="1:28" x14ac:dyDescent="0.8">
      <c r="A1131">
        <v>1044</v>
      </c>
      <c r="B1131">
        <v>1448</v>
      </c>
      <c r="C1131" s="2">
        <v>44387</v>
      </c>
      <c r="D1131" t="s">
        <v>54</v>
      </c>
      <c r="E1131" t="s">
        <v>63</v>
      </c>
      <c r="F1131" t="s">
        <v>26</v>
      </c>
      <c r="G1131" t="s">
        <v>45</v>
      </c>
      <c r="H1131" t="s">
        <v>68</v>
      </c>
      <c r="I1131" t="s">
        <v>69</v>
      </c>
      <c r="J1131" t="s">
        <v>70</v>
      </c>
      <c r="K1131" t="s">
        <v>71</v>
      </c>
      <c r="L1131" t="s">
        <v>72</v>
      </c>
      <c r="M1131" t="s">
        <v>73</v>
      </c>
      <c r="N1131" t="s">
        <v>61</v>
      </c>
      <c r="O1131" t="s">
        <v>782</v>
      </c>
      <c r="P1131" t="s">
        <v>85</v>
      </c>
      <c r="Q1131" t="s">
        <v>359</v>
      </c>
      <c r="R1131" t="s">
        <v>779</v>
      </c>
      <c r="S1131" t="s">
        <v>337</v>
      </c>
      <c r="T1131" t="s">
        <v>783</v>
      </c>
      <c r="U1131" s="10" t="s">
        <v>1061</v>
      </c>
      <c r="V1131" s="10" t="s">
        <v>1058</v>
      </c>
      <c r="W1131" s="10" t="s">
        <v>1066</v>
      </c>
      <c r="X1131" s="10" t="s">
        <v>1068</v>
      </c>
      <c r="Y1131" t="s">
        <v>39</v>
      </c>
      <c r="Z1131" t="s">
        <v>40</v>
      </c>
      <c r="AA1131" t="s">
        <v>63</v>
      </c>
    </row>
    <row r="1132" spans="1:28" x14ac:dyDescent="0.8">
      <c r="A1132">
        <v>747</v>
      </c>
      <c r="B1132">
        <v>1228</v>
      </c>
      <c r="C1132" s="2">
        <v>44385</v>
      </c>
      <c r="D1132" t="s">
        <v>108</v>
      </c>
      <c r="E1132" t="s">
        <v>25</v>
      </c>
      <c r="F1132" t="s">
        <v>26</v>
      </c>
      <c r="G1132" t="s">
        <v>27</v>
      </c>
      <c r="H1132" t="s">
        <v>114</v>
      </c>
      <c r="I1132" t="s">
        <v>115</v>
      </c>
      <c r="J1132" t="s">
        <v>174</v>
      </c>
      <c r="K1132" t="s">
        <v>175</v>
      </c>
      <c r="L1132" t="s">
        <v>176</v>
      </c>
      <c r="M1132" t="s">
        <v>177</v>
      </c>
      <c r="O1132" t="s">
        <v>782</v>
      </c>
      <c r="P1132" t="s">
        <v>85</v>
      </c>
      <c r="Q1132" t="s">
        <v>359</v>
      </c>
      <c r="R1132" t="s">
        <v>779</v>
      </c>
      <c r="S1132" t="s">
        <v>337</v>
      </c>
      <c r="T1132" t="s">
        <v>783</v>
      </c>
      <c r="U1132" s="10" t="s">
        <v>1061</v>
      </c>
      <c r="V1132" s="10" t="s">
        <v>1058</v>
      </c>
      <c r="W1132" s="10" t="s">
        <v>1066</v>
      </c>
      <c r="X1132" s="10" t="s">
        <v>1068</v>
      </c>
      <c r="Y1132" t="s">
        <v>39</v>
      </c>
      <c r="Z1132" t="s">
        <v>40</v>
      </c>
      <c r="AA1132" t="s">
        <v>63</v>
      </c>
      <c r="AB1132" t="s">
        <v>790</v>
      </c>
    </row>
    <row r="1133" spans="1:28" x14ac:dyDescent="0.8">
      <c r="A1133">
        <v>746</v>
      </c>
      <c r="B1133">
        <v>1227</v>
      </c>
      <c r="C1133" s="2">
        <v>44385</v>
      </c>
      <c r="D1133" t="s">
        <v>108</v>
      </c>
      <c r="E1133" t="s">
        <v>25</v>
      </c>
      <c r="F1133" t="s">
        <v>26</v>
      </c>
      <c r="G1133" t="s">
        <v>27</v>
      </c>
      <c r="H1133" t="s">
        <v>114</v>
      </c>
      <c r="I1133" t="s">
        <v>115</v>
      </c>
      <c r="J1133" t="s">
        <v>120</v>
      </c>
      <c r="K1133" t="s">
        <v>121</v>
      </c>
      <c r="L1133" t="s">
        <v>122</v>
      </c>
      <c r="M1133" t="s">
        <v>123</v>
      </c>
      <c r="O1133" t="s">
        <v>782</v>
      </c>
      <c r="P1133" t="s">
        <v>85</v>
      </c>
      <c r="Q1133" t="s">
        <v>359</v>
      </c>
      <c r="R1133" t="s">
        <v>779</v>
      </c>
      <c r="S1133" t="s">
        <v>337</v>
      </c>
      <c r="T1133" t="s">
        <v>783</v>
      </c>
      <c r="U1133" s="10" t="s">
        <v>1061</v>
      </c>
      <c r="V1133" s="10" t="s">
        <v>1058</v>
      </c>
      <c r="W1133" s="10" t="s">
        <v>1066</v>
      </c>
      <c r="X1133" s="10" t="s">
        <v>1068</v>
      </c>
      <c r="Y1133" t="s">
        <v>39</v>
      </c>
      <c r="Z1133" t="s">
        <v>40</v>
      </c>
      <c r="AA1133" t="s">
        <v>63</v>
      </c>
      <c r="AB1133" t="s">
        <v>790</v>
      </c>
    </row>
    <row r="1134" spans="1:28" x14ac:dyDescent="0.8">
      <c r="A1134">
        <v>742</v>
      </c>
      <c r="B1134">
        <v>1223</v>
      </c>
      <c r="C1134" s="2">
        <v>44385</v>
      </c>
      <c r="D1134" t="s">
        <v>108</v>
      </c>
      <c r="E1134" t="s">
        <v>25</v>
      </c>
      <c r="F1134" t="s">
        <v>26</v>
      </c>
      <c r="G1134" t="s">
        <v>45</v>
      </c>
      <c r="H1134" t="s">
        <v>46</v>
      </c>
      <c r="I1134" t="s">
        <v>47</v>
      </c>
      <c r="J1134" t="s">
        <v>48</v>
      </c>
      <c r="K1134" t="s">
        <v>141</v>
      </c>
      <c r="L1134" t="s">
        <v>293</v>
      </c>
      <c r="M1134" t="s">
        <v>294</v>
      </c>
      <c r="N1134" t="s">
        <v>52</v>
      </c>
      <c r="O1134" t="s">
        <v>782</v>
      </c>
      <c r="P1134" t="s">
        <v>85</v>
      </c>
      <c r="Q1134" t="s">
        <v>359</v>
      </c>
      <c r="R1134" t="s">
        <v>779</v>
      </c>
      <c r="S1134" t="s">
        <v>337</v>
      </c>
      <c r="T1134" t="s">
        <v>783</v>
      </c>
      <c r="U1134" s="10" t="s">
        <v>1061</v>
      </c>
      <c r="V1134" s="10" t="s">
        <v>1058</v>
      </c>
      <c r="W1134" s="10" t="s">
        <v>1066</v>
      </c>
      <c r="X1134" s="10" t="s">
        <v>1068</v>
      </c>
      <c r="Y1134" t="s">
        <v>39</v>
      </c>
      <c r="Z1134" t="s">
        <v>40</v>
      </c>
      <c r="AA1134" t="s">
        <v>63</v>
      </c>
    </row>
    <row r="1135" spans="1:28" x14ac:dyDescent="0.8">
      <c r="A1135">
        <v>1121</v>
      </c>
      <c r="B1135">
        <v>1568</v>
      </c>
      <c r="C1135" s="2">
        <v>44384</v>
      </c>
      <c r="D1135" t="s">
        <v>384</v>
      </c>
      <c r="E1135" t="s">
        <v>150</v>
      </c>
      <c r="F1135" t="s">
        <v>26</v>
      </c>
      <c r="G1135" t="s">
        <v>45</v>
      </c>
      <c r="H1135" t="s">
        <v>68</v>
      </c>
      <c r="I1135" t="s">
        <v>69</v>
      </c>
      <c r="J1135" t="s">
        <v>70</v>
      </c>
      <c r="K1135" t="s">
        <v>71</v>
      </c>
      <c r="L1135" t="s">
        <v>72</v>
      </c>
      <c r="M1135" t="s">
        <v>73</v>
      </c>
      <c r="N1135" t="s">
        <v>61</v>
      </c>
      <c r="O1135" t="s">
        <v>782</v>
      </c>
      <c r="P1135" t="s">
        <v>85</v>
      </c>
      <c r="Q1135" t="s">
        <v>359</v>
      </c>
      <c r="R1135" t="s">
        <v>779</v>
      </c>
      <c r="S1135" t="s">
        <v>337</v>
      </c>
      <c r="T1135" t="s">
        <v>783</v>
      </c>
      <c r="U1135" s="10" t="s">
        <v>1061</v>
      </c>
      <c r="V1135" s="10" t="s">
        <v>1058</v>
      </c>
      <c r="W1135" s="10" t="s">
        <v>1066</v>
      </c>
      <c r="X1135" s="10" t="s">
        <v>1068</v>
      </c>
      <c r="Y1135" t="s">
        <v>39</v>
      </c>
      <c r="Z1135" t="s">
        <v>40</v>
      </c>
      <c r="AA1135" t="s">
        <v>63</v>
      </c>
    </row>
    <row r="1136" spans="1:28" x14ac:dyDescent="0.8">
      <c r="A1136">
        <v>1191</v>
      </c>
      <c r="B1136">
        <v>1738</v>
      </c>
      <c r="C1136" s="2">
        <v>44386</v>
      </c>
      <c r="D1136" t="s">
        <v>129</v>
      </c>
      <c r="E1136" t="s">
        <v>63</v>
      </c>
      <c r="F1136" t="s">
        <v>26</v>
      </c>
      <c r="G1136" t="s">
        <v>27</v>
      </c>
      <c r="H1136" t="s">
        <v>28</v>
      </c>
      <c r="I1136" t="s">
        <v>109</v>
      </c>
      <c r="J1136" t="s">
        <v>110</v>
      </c>
      <c r="K1136" t="s">
        <v>111</v>
      </c>
      <c r="L1136" t="s">
        <v>112</v>
      </c>
      <c r="M1136" t="s">
        <v>113</v>
      </c>
      <c r="N1136" t="s">
        <v>52</v>
      </c>
      <c r="O1136" t="s">
        <v>782</v>
      </c>
      <c r="P1136" t="s">
        <v>85</v>
      </c>
      <c r="Q1136" t="s">
        <v>359</v>
      </c>
      <c r="R1136" t="s">
        <v>779</v>
      </c>
      <c r="S1136" t="s">
        <v>337</v>
      </c>
      <c r="T1136" t="s">
        <v>783</v>
      </c>
      <c r="U1136" s="10" t="s">
        <v>1061</v>
      </c>
      <c r="V1136" s="10" t="s">
        <v>1058</v>
      </c>
      <c r="W1136" s="10" t="s">
        <v>1066</v>
      </c>
      <c r="X1136" s="10" t="s">
        <v>1068</v>
      </c>
      <c r="Y1136" t="s">
        <v>39</v>
      </c>
      <c r="Z1136" t="s">
        <v>40</v>
      </c>
      <c r="AA1136" t="s">
        <v>63</v>
      </c>
    </row>
    <row r="1137" spans="1:28" x14ac:dyDescent="0.8">
      <c r="A1137">
        <v>328</v>
      </c>
      <c r="B1137">
        <v>244</v>
      </c>
      <c r="C1137" s="2">
        <v>44385</v>
      </c>
      <c r="D1137" t="s">
        <v>213</v>
      </c>
      <c r="E1137" t="s">
        <v>25</v>
      </c>
      <c r="F1137" t="s">
        <v>26</v>
      </c>
      <c r="G1137" t="s">
        <v>27</v>
      </c>
      <c r="H1137" t="s">
        <v>28</v>
      </c>
      <c r="I1137" t="s">
        <v>109</v>
      </c>
      <c r="J1137" t="s">
        <v>110</v>
      </c>
      <c r="K1137" t="s">
        <v>111</v>
      </c>
      <c r="L1137" t="s">
        <v>112</v>
      </c>
      <c r="M1137" t="s">
        <v>113</v>
      </c>
      <c r="N1137" t="s">
        <v>52</v>
      </c>
      <c r="O1137" t="s">
        <v>782</v>
      </c>
      <c r="P1137" t="s">
        <v>85</v>
      </c>
      <c r="Q1137" t="s">
        <v>359</v>
      </c>
      <c r="R1137" t="s">
        <v>779</v>
      </c>
      <c r="S1137" t="s">
        <v>337</v>
      </c>
      <c r="T1137" t="s">
        <v>783</v>
      </c>
      <c r="U1137" s="10" t="s">
        <v>1061</v>
      </c>
      <c r="V1137" s="10" t="s">
        <v>1058</v>
      </c>
      <c r="W1137" s="10" t="s">
        <v>1066</v>
      </c>
      <c r="X1137" s="10" t="s">
        <v>1068</v>
      </c>
      <c r="Y1137" t="s">
        <v>39</v>
      </c>
      <c r="Z1137" t="s">
        <v>40</v>
      </c>
      <c r="AA1137" t="s">
        <v>53</v>
      </c>
      <c r="AB1137" t="s">
        <v>226</v>
      </c>
    </row>
    <row r="1138" spans="1:28" x14ac:dyDescent="0.8">
      <c r="A1138">
        <v>321</v>
      </c>
      <c r="B1138">
        <v>237</v>
      </c>
      <c r="C1138" s="2">
        <v>44385</v>
      </c>
      <c r="D1138" t="s">
        <v>213</v>
      </c>
      <c r="E1138" t="s">
        <v>25</v>
      </c>
      <c r="F1138" t="s">
        <v>26</v>
      </c>
      <c r="G1138" t="s">
        <v>27</v>
      </c>
      <c r="H1138" t="s">
        <v>28</v>
      </c>
      <c r="I1138" t="s">
        <v>109</v>
      </c>
      <c r="J1138" t="s">
        <v>110</v>
      </c>
      <c r="K1138" t="s">
        <v>111</v>
      </c>
      <c r="L1138" t="s">
        <v>112</v>
      </c>
      <c r="M1138" t="s">
        <v>113</v>
      </c>
      <c r="N1138" t="s">
        <v>52</v>
      </c>
      <c r="O1138" t="s">
        <v>782</v>
      </c>
      <c r="P1138" t="s">
        <v>85</v>
      </c>
      <c r="Q1138" t="s">
        <v>359</v>
      </c>
      <c r="R1138" t="s">
        <v>779</v>
      </c>
      <c r="S1138" t="s">
        <v>337</v>
      </c>
      <c r="T1138" t="s">
        <v>783</v>
      </c>
      <c r="U1138" s="10" t="s">
        <v>1061</v>
      </c>
      <c r="V1138" s="10" t="s">
        <v>1058</v>
      </c>
      <c r="W1138" s="10" t="s">
        <v>1066</v>
      </c>
      <c r="X1138" s="10" t="s">
        <v>1068</v>
      </c>
      <c r="Y1138" t="s">
        <v>39</v>
      </c>
      <c r="Z1138" t="s">
        <v>40</v>
      </c>
      <c r="AA1138" t="s">
        <v>53</v>
      </c>
      <c r="AB1138" t="s">
        <v>226</v>
      </c>
    </row>
    <row r="1139" spans="1:28" x14ac:dyDescent="0.8">
      <c r="A1139">
        <v>329</v>
      </c>
      <c r="B1139">
        <v>245</v>
      </c>
      <c r="C1139" s="2">
        <v>44385</v>
      </c>
      <c r="D1139" t="s">
        <v>213</v>
      </c>
      <c r="E1139" t="s">
        <v>25</v>
      </c>
      <c r="F1139" t="s">
        <v>26</v>
      </c>
      <c r="G1139" t="s">
        <v>27</v>
      </c>
      <c r="H1139" t="s">
        <v>28</v>
      </c>
      <c r="I1139" t="s">
        <v>109</v>
      </c>
      <c r="J1139" t="s">
        <v>110</v>
      </c>
      <c r="K1139" t="s">
        <v>111</v>
      </c>
      <c r="L1139" t="s">
        <v>112</v>
      </c>
      <c r="M1139" t="s">
        <v>113</v>
      </c>
      <c r="N1139" t="s">
        <v>61</v>
      </c>
      <c r="O1139" t="s">
        <v>782</v>
      </c>
      <c r="P1139" t="s">
        <v>85</v>
      </c>
      <c r="Q1139" t="s">
        <v>359</v>
      </c>
      <c r="R1139" t="s">
        <v>779</v>
      </c>
      <c r="S1139" t="s">
        <v>337</v>
      </c>
      <c r="T1139" t="s">
        <v>783</v>
      </c>
      <c r="U1139" s="10" t="s">
        <v>1061</v>
      </c>
      <c r="V1139" s="10" t="s">
        <v>1058</v>
      </c>
      <c r="W1139" s="10" t="s">
        <v>1066</v>
      </c>
      <c r="X1139" s="10" t="s">
        <v>1068</v>
      </c>
      <c r="Y1139" t="s">
        <v>39</v>
      </c>
      <c r="Z1139" t="s">
        <v>40</v>
      </c>
      <c r="AA1139" t="s">
        <v>53</v>
      </c>
      <c r="AB1139" t="s">
        <v>222</v>
      </c>
    </row>
    <row r="1140" spans="1:28" x14ac:dyDescent="0.8">
      <c r="A1140">
        <v>322</v>
      </c>
      <c r="B1140">
        <v>238</v>
      </c>
      <c r="C1140" s="2">
        <v>44385</v>
      </c>
      <c r="D1140" t="s">
        <v>213</v>
      </c>
      <c r="E1140" t="s">
        <v>25</v>
      </c>
      <c r="F1140" t="s">
        <v>26</v>
      </c>
      <c r="G1140" t="s">
        <v>27</v>
      </c>
      <c r="H1140" t="s">
        <v>28</v>
      </c>
      <c r="I1140" t="s">
        <v>109</v>
      </c>
      <c r="J1140" t="s">
        <v>110</v>
      </c>
      <c r="K1140" t="s">
        <v>111</v>
      </c>
      <c r="L1140" t="s">
        <v>112</v>
      </c>
      <c r="M1140" t="s">
        <v>113</v>
      </c>
      <c r="N1140" t="s">
        <v>52</v>
      </c>
      <c r="O1140" t="s">
        <v>782</v>
      </c>
      <c r="P1140" t="s">
        <v>85</v>
      </c>
      <c r="Q1140" t="s">
        <v>359</v>
      </c>
      <c r="R1140" t="s">
        <v>779</v>
      </c>
      <c r="S1140" t="s">
        <v>337</v>
      </c>
      <c r="T1140" t="s">
        <v>783</v>
      </c>
      <c r="U1140" s="10" t="s">
        <v>1061</v>
      </c>
      <c r="V1140" s="10" t="s">
        <v>1058</v>
      </c>
      <c r="W1140" s="10" t="s">
        <v>1066</v>
      </c>
      <c r="X1140" s="10" t="s">
        <v>1068</v>
      </c>
      <c r="Y1140" t="s">
        <v>39</v>
      </c>
      <c r="Z1140" t="s">
        <v>40</v>
      </c>
      <c r="AA1140" t="s">
        <v>53</v>
      </c>
      <c r="AB1140" t="s">
        <v>222</v>
      </c>
    </row>
    <row r="1141" spans="1:28" x14ac:dyDescent="0.8">
      <c r="A1141">
        <v>958</v>
      </c>
      <c r="B1141">
        <v>1266</v>
      </c>
      <c r="C1141" s="2">
        <v>44384</v>
      </c>
      <c r="D1141" t="s">
        <v>242</v>
      </c>
      <c r="E1141" t="s">
        <v>25</v>
      </c>
      <c r="F1141" t="s">
        <v>26</v>
      </c>
      <c r="G1141" t="s">
        <v>45</v>
      </c>
      <c r="H1141" t="s">
        <v>68</v>
      </c>
      <c r="I1141" t="s">
        <v>69</v>
      </c>
      <c r="J1141" t="s">
        <v>70</v>
      </c>
      <c r="K1141" t="s">
        <v>71</v>
      </c>
      <c r="L1141" t="s">
        <v>72</v>
      </c>
      <c r="M1141" t="s">
        <v>73</v>
      </c>
      <c r="N1141" t="s">
        <v>61</v>
      </c>
      <c r="O1141" t="s">
        <v>782</v>
      </c>
      <c r="P1141" t="s">
        <v>85</v>
      </c>
      <c r="Q1141" t="s">
        <v>359</v>
      </c>
      <c r="R1141" t="s">
        <v>779</v>
      </c>
      <c r="S1141" t="s">
        <v>337</v>
      </c>
      <c r="T1141" t="s">
        <v>783</v>
      </c>
      <c r="U1141" s="10" t="s">
        <v>1061</v>
      </c>
      <c r="V1141" s="10" t="s">
        <v>1058</v>
      </c>
      <c r="W1141" s="10" t="s">
        <v>1066</v>
      </c>
      <c r="X1141" s="10" t="s">
        <v>1068</v>
      </c>
      <c r="Y1141" t="s">
        <v>39</v>
      </c>
      <c r="Z1141" t="s">
        <v>202</v>
      </c>
      <c r="AA1141" t="s">
        <v>63</v>
      </c>
    </row>
    <row r="1142" spans="1:28" x14ac:dyDescent="0.8">
      <c r="A1142">
        <v>590</v>
      </c>
      <c r="B1142">
        <v>689</v>
      </c>
      <c r="C1142" s="2">
        <v>44384</v>
      </c>
      <c r="D1142" t="s">
        <v>151</v>
      </c>
      <c r="E1142" t="s">
        <v>150</v>
      </c>
      <c r="F1142" t="s">
        <v>26</v>
      </c>
      <c r="G1142" t="s">
        <v>27</v>
      </c>
      <c r="H1142" t="s">
        <v>114</v>
      </c>
      <c r="I1142" t="s">
        <v>115</v>
      </c>
      <c r="J1142" t="s">
        <v>116</v>
      </c>
      <c r="K1142" t="s">
        <v>117</v>
      </c>
      <c r="L1142" t="s">
        <v>195</v>
      </c>
      <c r="M1142" t="s">
        <v>196</v>
      </c>
      <c r="O1142" t="s">
        <v>667</v>
      </c>
      <c r="P1142" t="s">
        <v>85</v>
      </c>
      <c r="Q1142" t="s">
        <v>668</v>
      </c>
      <c r="R1142" t="s">
        <v>669</v>
      </c>
      <c r="S1142" t="s">
        <v>670</v>
      </c>
      <c r="T1142" t="s">
        <v>671</v>
      </c>
      <c r="U1142" s="10" t="s">
        <v>1061</v>
      </c>
      <c r="V1142" s="10" t="s">
        <v>1098</v>
      </c>
      <c r="W1142" s="10" t="s">
        <v>1064</v>
      </c>
      <c r="X1142" s="10" t="s">
        <v>1097</v>
      </c>
      <c r="Y1142" t="s">
        <v>39</v>
      </c>
      <c r="Z1142" t="s">
        <v>40</v>
      </c>
      <c r="AA1142" t="s">
        <v>63</v>
      </c>
    </row>
    <row r="1143" spans="1:28" x14ac:dyDescent="0.8">
      <c r="A1143">
        <v>1716</v>
      </c>
      <c r="B1143">
        <v>803</v>
      </c>
      <c r="C1143" s="2">
        <v>44384</v>
      </c>
      <c r="D1143" t="s">
        <v>151</v>
      </c>
      <c r="E1143" t="s">
        <v>150</v>
      </c>
      <c r="F1143" t="s">
        <v>26</v>
      </c>
      <c r="G1143" t="s">
        <v>45</v>
      </c>
      <c r="H1143" t="s">
        <v>79</v>
      </c>
      <c r="I1143" t="s">
        <v>69</v>
      </c>
      <c r="J1143" t="s">
        <v>80</v>
      </c>
      <c r="K1143" t="s">
        <v>81</v>
      </c>
      <c r="L1143" t="s">
        <v>638</v>
      </c>
      <c r="M1143" t="s">
        <v>639</v>
      </c>
      <c r="N1143" t="s">
        <v>61</v>
      </c>
      <c r="O1143" t="s">
        <v>667</v>
      </c>
      <c r="P1143" t="s">
        <v>85</v>
      </c>
      <c r="Q1143" t="s">
        <v>668</v>
      </c>
      <c r="R1143" t="s">
        <v>669</v>
      </c>
      <c r="S1143" t="s">
        <v>670</v>
      </c>
      <c r="T1143" t="s">
        <v>671</v>
      </c>
      <c r="U1143" s="10" t="s">
        <v>1061</v>
      </c>
      <c r="V1143" s="10" t="s">
        <v>1098</v>
      </c>
      <c r="W1143" s="10" t="s">
        <v>1064</v>
      </c>
      <c r="X1143" s="10" t="s">
        <v>1097</v>
      </c>
      <c r="Y1143" t="s">
        <v>39</v>
      </c>
      <c r="Z1143" t="s">
        <v>40</v>
      </c>
      <c r="AA1143" t="s">
        <v>41</v>
      </c>
      <c r="AB1143" t="s">
        <v>672</v>
      </c>
    </row>
    <row r="1144" spans="1:28" x14ac:dyDescent="0.8">
      <c r="A1144">
        <v>1072</v>
      </c>
      <c r="B1144">
        <v>375</v>
      </c>
      <c r="C1144" s="2">
        <v>44387</v>
      </c>
      <c r="D1144" t="s">
        <v>54</v>
      </c>
      <c r="E1144" t="s">
        <v>150</v>
      </c>
      <c r="F1144" t="s">
        <v>26</v>
      </c>
      <c r="G1144" t="s">
        <v>45</v>
      </c>
      <c r="H1144" t="s">
        <v>68</v>
      </c>
      <c r="I1144" t="s">
        <v>69</v>
      </c>
      <c r="J1144" t="s">
        <v>70</v>
      </c>
      <c r="K1144" t="s">
        <v>71</v>
      </c>
      <c r="L1144" t="s">
        <v>72</v>
      </c>
      <c r="M1144" t="s">
        <v>73</v>
      </c>
      <c r="N1144" t="s">
        <v>61</v>
      </c>
      <c r="O1144" t="s">
        <v>752</v>
      </c>
      <c r="P1144" t="s">
        <v>85</v>
      </c>
      <c r="Q1144" t="s">
        <v>359</v>
      </c>
      <c r="R1144" t="s">
        <v>745</v>
      </c>
      <c r="S1144" t="s">
        <v>753</v>
      </c>
      <c r="T1144" t="s">
        <v>754</v>
      </c>
      <c r="U1144" s="10" t="s">
        <v>1061</v>
      </c>
      <c r="V1144" s="10" t="s">
        <v>1098</v>
      </c>
      <c r="W1144" s="10" t="s">
        <v>1110</v>
      </c>
      <c r="X1144" s="10" t="s">
        <v>1068</v>
      </c>
      <c r="Y1144" t="s">
        <v>39</v>
      </c>
      <c r="Z1144" t="s">
        <v>40</v>
      </c>
      <c r="AA1144" t="s">
        <v>63</v>
      </c>
    </row>
    <row r="1145" spans="1:28" x14ac:dyDescent="0.8">
      <c r="A1145">
        <v>1038</v>
      </c>
      <c r="B1145">
        <v>1442</v>
      </c>
      <c r="C1145" s="2">
        <v>44387</v>
      </c>
      <c r="D1145" t="s">
        <v>54</v>
      </c>
      <c r="E1145" t="s">
        <v>150</v>
      </c>
      <c r="F1145" t="s">
        <v>26</v>
      </c>
      <c r="G1145" t="s">
        <v>45</v>
      </c>
      <c r="H1145" t="s">
        <v>68</v>
      </c>
      <c r="I1145" t="s">
        <v>69</v>
      </c>
      <c r="J1145" t="s">
        <v>70</v>
      </c>
      <c r="K1145" t="s">
        <v>71</v>
      </c>
      <c r="L1145" t="s">
        <v>72</v>
      </c>
      <c r="M1145" t="s">
        <v>73</v>
      </c>
      <c r="N1145" t="s">
        <v>61</v>
      </c>
      <c r="O1145" t="s">
        <v>752</v>
      </c>
      <c r="P1145" t="s">
        <v>85</v>
      </c>
      <c r="Q1145" t="s">
        <v>359</v>
      </c>
      <c r="R1145" t="s">
        <v>745</v>
      </c>
      <c r="S1145" t="s">
        <v>753</v>
      </c>
      <c r="T1145" t="s">
        <v>754</v>
      </c>
      <c r="U1145" s="10" t="s">
        <v>1061</v>
      </c>
      <c r="V1145" s="10" t="s">
        <v>1098</v>
      </c>
      <c r="W1145" s="10" t="s">
        <v>1110</v>
      </c>
      <c r="X1145" s="10" t="s">
        <v>1068</v>
      </c>
      <c r="Y1145" t="s">
        <v>140</v>
      </c>
      <c r="Z1145" t="s">
        <v>40</v>
      </c>
      <c r="AA1145" t="s">
        <v>63</v>
      </c>
    </row>
    <row r="1146" spans="1:28" x14ac:dyDescent="0.8">
      <c r="A1146">
        <v>1206</v>
      </c>
      <c r="B1146">
        <v>1753</v>
      </c>
      <c r="C1146" s="2">
        <v>44386</v>
      </c>
      <c r="D1146" t="s">
        <v>129</v>
      </c>
      <c r="E1146" t="s">
        <v>53</v>
      </c>
      <c r="F1146" t="s">
        <v>26</v>
      </c>
      <c r="G1146" t="s">
        <v>27</v>
      </c>
      <c r="H1146" t="s">
        <v>114</v>
      </c>
      <c r="I1146" t="s">
        <v>115</v>
      </c>
      <c r="J1146" t="s">
        <v>120</v>
      </c>
      <c r="K1146" t="s">
        <v>121</v>
      </c>
      <c r="L1146" t="s">
        <v>122</v>
      </c>
      <c r="M1146" t="s">
        <v>123</v>
      </c>
      <c r="O1146" t="s">
        <v>752</v>
      </c>
      <c r="P1146" t="s">
        <v>85</v>
      </c>
      <c r="Q1146" t="s">
        <v>359</v>
      </c>
      <c r="R1146" t="s">
        <v>745</v>
      </c>
      <c r="S1146" t="s">
        <v>753</v>
      </c>
      <c r="T1146" t="s">
        <v>754</v>
      </c>
      <c r="U1146" s="10" t="s">
        <v>1061</v>
      </c>
      <c r="V1146" s="10" t="s">
        <v>1098</v>
      </c>
      <c r="W1146" s="10" t="s">
        <v>1110</v>
      </c>
      <c r="X1146" s="10" t="s">
        <v>1068</v>
      </c>
      <c r="Y1146" t="s">
        <v>39</v>
      </c>
      <c r="Z1146" t="s">
        <v>40</v>
      </c>
      <c r="AA1146" t="s">
        <v>63</v>
      </c>
    </row>
    <row r="1147" spans="1:28" x14ac:dyDescent="0.8">
      <c r="A1147">
        <v>904</v>
      </c>
      <c r="B1147">
        <v>1032</v>
      </c>
      <c r="C1147" s="2">
        <v>44388</v>
      </c>
      <c r="D1147" t="s">
        <v>189</v>
      </c>
      <c r="E1147" t="s">
        <v>25</v>
      </c>
      <c r="F1147" t="s">
        <v>26</v>
      </c>
      <c r="G1147" t="s">
        <v>45</v>
      </c>
      <c r="H1147" t="s">
        <v>79</v>
      </c>
      <c r="I1147" t="s">
        <v>69</v>
      </c>
      <c r="J1147" t="s">
        <v>80</v>
      </c>
      <c r="K1147" t="s">
        <v>81</v>
      </c>
      <c r="L1147" t="s">
        <v>638</v>
      </c>
      <c r="M1147" t="s">
        <v>639</v>
      </c>
      <c r="N1147" t="s">
        <v>61</v>
      </c>
      <c r="O1147" t="s">
        <v>910</v>
      </c>
      <c r="P1147" t="s">
        <v>34</v>
      </c>
      <c r="Q1147" t="s">
        <v>359</v>
      </c>
      <c r="R1147" t="s">
        <v>911</v>
      </c>
      <c r="S1147" t="s">
        <v>912</v>
      </c>
      <c r="T1147" t="s">
        <v>913</v>
      </c>
      <c r="U1147" s="10" t="s">
        <v>1055</v>
      </c>
      <c r="V1147" s="10" t="s">
        <v>1108</v>
      </c>
      <c r="W1147" s="10" t="s">
        <v>1066</v>
      </c>
      <c r="X1147" s="10" t="s">
        <v>1080</v>
      </c>
      <c r="Y1147" t="s">
        <v>39</v>
      </c>
      <c r="Z1147" t="s">
        <v>40</v>
      </c>
      <c r="AA1147" t="s">
        <v>63</v>
      </c>
    </row>
    <row r="1148" spans="1:28" x14ac:dyDescent="0.8">
      <c r="A1148">
        <v>1469</v>
      </c>
      <c r="B1148">
        <v>2266</v>
      </c>
      <c r="C1148" s="2">
        <v>44388</v>
      </c>
      <c r="D1148" t="s">
        <v>134</v>
      </c>
      <c r="E1148" t="s">
        <v>25</v>
      </c>
      <c r="F1148" t="s">
        <v>26</v>
      </c>
      <c r="G1148" t="s">
        <v>45</v>
      </c>
      <c r="H1148" t="s">
        <v>155</v>
      </c>
      <c r="I1148" t="s">
        <v>69</v>
      </c>
      <c r="J1148" t="s">
        <v>156</v>
      </c>
      <c r="K1148" t="s">
        <v>157</v>
      </c>
      <c r="L1148" t="s">
        <v>158</v>
      </c>
      <c r="M1148" t="s">
        <v>159</v>
      </c>
      <c r="N1148" t="s">
        <v>52</v>
      </c>
      <c r="O1148" t="s">
        <v>910</v>
      </c>
      <c r="P1148" t="s">
        <v>34</v>
      </c>
      <c r="Q1148" t="s">
        <v>359</v>
      </c>
      <c r="R1148" t="s">
        <v>911</v>
      </c>
      <c r="S1148" t="s">
        <v>912</v>
      </c>
      <c r="T1148" t="s">
        <v>913</v>
      </c>
      <c r="U1148" s="10" t="s">
        <v>1055</v>
      </c>
      <c r="V1148" s="10" t="s">
        <v>1108</v>
      </c>
      <c r="W1148" s="10" t="s">
        <v>1066</v>
      </c>
      <c r="X1148" s="10" t="s">
        <v>1080</v>
      </c>
      <c r="Y1148" t="s">
        <v>39</v>
      </c>
      <c r="Z1148" t="s">
        <v>40</v>
      </c>
      <c r="AA1148" t="s">
        <v>63</v>
      </c>
    </row>
    <row r="1149" spans="1:28" x14ac:dyDescent="0.8">
      <c r="A1149">
        <v>1126</v>
      </c>
      <c r="B1149">
        <v>1573</v>
      </c>
      <c r="C1149" s="2">
        <v>44384</v>
      </c>
      <c r="D1149" t="s">
        <v>384</v>
      </c>
      <c r="E1149" t="s">
        <v>150</v>
      </c>
      <c r="F1149" t="s">
        <v>26</v>
      </c>
      <c r="G1149" t="s">
        <v>45</v>
      </c>
      <c r="H1149" t="s">
        <v>68</v>
      </c>
      <c r="I1149" t="s">
        <v>69</v>
      </c>
      <c r="J1149" t="s">
        <v>70</v>
      </c>
      <c r="K1149" t="s">
        <v>71</v>
      </c>
      <c r="L1149" t="s">
        <v>72</v>
      </c>
      <c r="M1149" t="s">
        <v>73</v>
      </c>
      <c r="N1149" t="s">
        <v>61</v>
      </c>
      <c r="O1149" t="s">
        <v>923</v>
      </c>
      <c r="P1149" t="s">
        <v>34</v>
      </c>
      <c r="Q1149" t="s">
        <v>359</v>
      </c>
      <c r="R1149" t="s">
        <v>911</v>
      </c>
      <c r="S1149" t="s">
        <v>72</v>
      </c>
      <c r="T1149" t="s">
        <v>924</v>
      </c>
      <c r="U1149" s="10" t="s">
        <v>1055</v>
      </c>
      <c r="V1149" s="10" t="s">
        <v>1108</v>
      </c>
      <c r="W1149" s="10" t="s">
        <v>1066</v>
      </c>
      <c r="X1149" s="10" t="s">
        <v>1068</v>
      </c>
      <c r="Y1149" t="s">
        <v>39</v>
      </c>
      <c r="Z1149" t="s">
        <v>40</v>
      </c>
      <c r="AA1149" t="s">
        <v>63</v>
      </c>
    </row>
    <row r="1150" spans="1:28" x14ac:dyDescent="0.8">
      <c r="A1150">
        <v>421</v>
      </c>
      <c r="B1150">
        <v>1474</v>
      </c>
      <c r="C1150" s="2">
        <v>44384</v>
      </c>
      <c r="D1150" t="s">
        <v>384</v>
      </c>
      <c r="E1150" t="s">
        <v>150</v>
      </c>
      <c r="F1150" t="s">
        <v>26</v>
      </c>
      <c r="G1150" t="s">
        <v>45</v>
      </c>
      <c r="H1150" t="s">
        <v>155</v>
      </c>
      <c r="I1150" t="s">
        <v>69</v>
      </c>
      <c r="J1150" t="s">
        <v>156</v>
      </c>
      <c r="K1150" t="s">
        <v>157</v>
      </c>
      <c r="L1150" t="s">
        <v>158</v>
      </c>
      <c r="M1150" t="s">
        <v>159</v>
      </c>
      <c r="N1150" t="s">
        <v>52</v>
      </c>
      <c r="O1150" t="s">
        <v>923</v>
      </c>
      <c r="P1150" t="s">
        <v>34</v>
      </c>
      <c r="Q1150" t="s">
        <v>359</v>
      </c>
      <c r="R1150" t="s">
        <v>911</v>
      </c>
      <c r="S1150" t="s">
        <v>72</v>
      </c>
      <c r="T1150" t="s">
        <v>924</v>
      </c>
      <c r="U1150" s="10" t="s">
        <v>1055</v>
      </c>
      <c r="V1150" s="10" t="s">
        <v>1108</v>
      </c>
      <c r="W1150" s="10" t="s">
        <v>1066</v>
      </c>
      <c r="X1150" s="10" t="s">
        <v>1068</v>
      </c>
      <c r="Y1150" t="s">
        <v>39</v>
      </c>
      <c r="Z1150" t="s">
        <v>40</v>
      </c>
      <c r="AA1150" t="s">
        <v>53</v>
      </c>
    </row>
    <row r="1151" spans="1:28" x14ac:dyDescent="0.8">
      <c r="A1151">
        <v>199</v>
      </c>
      <c r="B1151">
        <v>1425</v>
      </c>
      <c r="C1151" s="2">
        <v>44388</v>
      </c>
      <c r="D1151" t="s">
        <v>124</v>
      </c>
      <c r="E1151" t="s">
        <v>125</v>
      </c>
      <c r="F1151" t="s">
        <v>26</v>
      </c>
      <c r="G1151" t="s">
        <v>45</v>
      </c>
      <c r="H1151" t="s">
        <v>155</v>
      </c>
      <c r="I1151" t="s">
        <v>69</v>
      </c>
      <c r="J1151" t="s">
        <v>156</v>
      </c>
      <c r="K1151" t="s">
        <v>157</v>
      </c>
      <c r="L1151" t="s">
        <v>158</v>
      </c>
      <c r="M1151" t="s">
        <v>159</v>
      </c>
      <c r="N1151" t="s">
        <v>52</v>
      </c>
      <c r="O1151" t="s">
        <v>1028</v>
      </c>
      <c r="P1151" t="s">
        <v>34</v>
      </c>
      <c r="Q1151" t="s">
        <v>136</v>
      </c>
      <c r="R1151" t="s">
        <v>1029</v>
      </c>
      <c r="S1151" t="s">
        <v>1030</v>
      </c>
      <c r="T1151" t="s">
        <v>1031</v>
      </c>
      <c r="U1151" s="10" t="s">
        <v>1061</v>
      </c>
      <c r="V1151" s="10" t="s">
        <v>1108</v>
      </c>
      <c r="W1151" s="10" t="s">
        <v>1065</v>
      </c>
      <c r="X1151" s="10" t="s">
        <v>1068</v>
      </c>
      <c r="Y1151" t="s">
        <v>39</v>
      </c>
      <c r="Z1151" t="s">
        <v>40</v>
      </c>
      <c r="AA1151" t="s">
        <v>53</v>
      </c>
    </row>
    <row r="1152" spans="1:28" x14ac:dyDescent="0.8">
      <c r="A1152">
        <v>1596</v>
      </c>
      <c r="B1152">
        <v>583</v>
      </c>
      <c r="C1152" s="2">
        <v>44388</v>
      </c>
      <c r="D1152" t="s">
        <v>124</v>
      </c>
      <c r="E1152" t="s">
        <v>53</v>
      </c>
      <c r="F1152" t="s">
        <v>26</v>
      </c>
      <c r="G1152" t="s">
        <v>94</v>
      </c>
      <c r="H1152" t="s">
        <v>95</v>
      </c>
      <c r="I1152" t="s">
        <v>236</v>
      </c>
      <c r="J1152" t="s">
        <v>237</v>
      </c>
      <c r="K1152" t="s">
        <v>238</v>
      </c>
      <c r="L1152" t="s">
        <v>239</v>
      </c>
      <c r="M1152" t="s">
        <v>240</v>
      </c>
      <c r="N1152" t="s">
        <v>101</v>
      </c>
      <c r="O1152" t="s">
        <v>1032</v>
      </c>
      <c r="P1152" t="s">
        <v>34</v>
      </c>
      <c r="Q1152" t="s">
        <v>136</v>
      </c>
      <c r="R1152" t="s">
        <v>1029</v>
      </c>
      <c r="S1152" t="s">
        <v>207</v>
      </c>
      <c r="T1152" t="s">
        <v>1033</v>
      </c>
      <c r="U1152" s="10" t="s">
        <v>1061</v>
      </c>
      <c r="V1152" s="10" t="s">
        <v>1108</v>
      </c>
      <c r="W1152" s="10" t="s">
        <v>1065</v>
      </c>
      <c r="X1152" s="10" t="s">
        <v>1068</v>
      </c>
      <c r="Y1152" t="s">
        <v>39</v>
      </c>
      <c r="Z1152" t="s">
        <v>40</v>
      </c>
      <c r="AA1152" t="s">
        <v>125</v>
      </c>
    </row>
    <row r="1153" spans="1:28" x14ac:dyDescent="0.8">
      <c r="A1153">
        <v>208</v>
      </c>
      <c r="B1153">
        <v>959</v>
      </c>
      <c r="C1153" s="2">
        <v>44388</v>
      </c>
      <c r="D1153" t="s">
        <v>124</v>
      </c>
      <c r="E1153" t="s">
        <v>53</v>
      </c>
      <c r="F1153" t="s">
        <v>26</v>
      </c>
      <c r="G1153" t="s">
        <v>94</v>
      </c>
      <c r="H1153" t="s">
        <v>95</v>
      </c>
      <c r="I1153" t="s">
        <v>236</v>
      </c>
      <c r="J1153" t="s">
        <v>237</v>
      </c>
      <c r="K1153" t="s">
        <v>238</v>
      </c>
      <c r="L1153" t="s">
        <v>239</v>
      </c>
      <c r="M1153" t="s">
        <v>240</v>
      </c>
      <c r="N1153" t="s">
        <v>263</v>
      </c>
      <c r="O1153" t="s">
        <v>1032</v>
      </c>
      <c r="P1153" t="s">
        <v>34</v>
      </c>
      <c r="Q1153" t="s">
        <v>136</v>
      </c>
      <c r="R1153" t="s">
        <v>1029</v>
      </c>
      <c r="S1153" t="s">
        <v>207</v>
      </c>
      <c r="T1153" t="s">
        <v>1033</v>
      </c>
      <c r="U1153" s="10" t="s">
        <v>1061</v>
      </c>
      <c r="V1153" s="10" t="s">
        <v>1108</v>
      </c>
      <c r="W1153" s="10" t="s">
        <v>1065</v>
      </c>
      <c r="X1153" s="10" t="s">
        <v>1068</v>
      </c>
      <c r="Y1153" t="s">
        <v>39</v>
      </c>
      <c r="Z1153" t="s">
        <v>40</v>
      </c>
      <c r="AA1153" t="s">
        <v>53</v>
      </c>
    </row>
    <row r="1154" spans="1:28" x14ac:dyDescent="0.8">
      <c r="A1154">
        <v>643</v>
      </c>
      <c r="B1154">
        <v>980</v>
      </c>
      <c r="C1154" s="2">
        <v>44384</v>
      </c>
      <c r="D1154" t="s">
        <v>306</v>
      </c>
      <c r="E1154" t="s">
        <v>150</v>
      </c>
      <c r="F1154" t="s">
        <v>26</v>
      </c>
      <c r="G1154" t="s">
        <v>27</v>
      </c>
      <c r="H1154" t="s">
        <v>373</v>
      </c>
      <c r="I1154" t="s">
        <v>374</v>
      </c>
      <c r="J1154" t="s">
        <v>375</v>
      </c>
      <c r="K1154" t="s">
        <v>1034</v>
      </c>
      <c r="L1154" t="s">
        <v>112</v>
      </c>
      <c r="M1154" t="s">
        <v>1035</v>
      </c>
      <c r="O1154" t="s">
        <v>1032</v>
      </c>
      <c r="P1154" t="s">
        <v>34</v>
      </c>
      <c r="Q1154" t="s">
        <v>136</v>
      </c>
      <c r="R1154" t="s">
        <v>1029</v>
      </c>
      <c r="S1154" t="s">
        <v>207</v>
      </c>
      <c r="T1154" t="s">
        <v>1033</v>
      </c>
      <c r="U1154" s="10" t="s">
        <v>1061</v>
      </c>
      <c r="V1154" s="10" t="s">
        <v>1108</v>
      </c>
      <c r="W1154" s="10" t="s">
        <v>1065</v>
      </c>
      <c r="X1154" s="10" t="s">
        <v>1068</v>
      </c>
      <c r="Y1154" t="s">
        <v>39</v>
      </c>
      <c r="Z1154" t="s">
        <v>40</v>
      </c>
      <c r="AA1154" t="s">
        <v>63</v>
      </c>
      <c r="AB1154" t="s">
        <v>1036</v>
      </c>
    </row>
    <row r="1155" spans="1:28" x14ac:dyDescent="0.8">
      <c r="A1155">
        <v>642</v>
      </c>
      <c r="B1155">
        <v>979</v>
      </c>
      <c r="C1155" s="2">
        <v>44384</v>
      </c>
      <c r="D1155" t="s">
        <v>306</v>
      </c>
      <c r="E1155" t="s">
        <v>150</v>
      </c>
      <c r="F1155" t="s">
        <v>26</v>
      </c>
      <c r="G1155" t="s">
        <v>27</v>
      </c>
      <c r="H1155" t="s">
        <v>373</v>
      </c>
      <c r="I1155" t="s">
        <v>374</v>
      </c>
      <c r="J1155" t="s">
        <v>375</v>
      </c>
      <c r="K1155" t="s">
        <v>1034</v>
      </c>
      <c r="L1155" t="s">
        <v>112</v>
      </c>
      <c r="M1155" t="s">
        <v>1035</v>
      </c>
      <c r="O1155" t="s">
        <v>1032</v>
      </c>
      <c r="P1155" t="s">
        <v>34</v>
      </c>
      <c r="Q1155" t="s">
        <v>136</v>
      </c>
      <c r="R1155" t="s">
        <v>1029</v>
      </c>
      <c r="S1155" t="s">
        <v>207</v>
      </c>
      <c r="T1155" t="s">
        <v>1033</v>
      </c>
      <c r="U1155" s="10" t="s">
        <v>1061</v>
      </c>
      <c r="V1155" s="10" t="s">
        <v>1108</v>
      </c>
      <c r="W1155" s="10" t="s">
        <v>1065</v>
      </c>
      <c r="X1155" s="10" t="s">
        <v>1068</v>
      </c>
      <c r="Y1155" t="s">
        <v>39</v>
      </c>
      <c r="Z1155" t="s">
        <v>40</v>
      </c>
      <c r="AA1155" t="s">
        <v>63</v>
      </c>
      <c r="AB1155" t="s">
        <v>1036</v>
      </c>
    </row>
    <row r="1156" spans="1:28" x14ac:dyDescent="0.8">
      <c r="A1156">
        <v>639</v>
      </c>
      <c r="B1156">
        <v>976</v>
      </c>
      <c r="C1156" s="2">
        <v>44384</v>
      </c>
      <c r="D1156" t="s">
        <v>306</v>
      </c>
      <c r="E1156" t="s">
        <v>150</v>
      </c>
      <c r="F1156" t="s">
        <v>26</v>
      </c>
      <c r="G1156" t="s">
        <v>27</v>
      </c>
      <c r="H1156" t="s">
        <v>373</v>
      </c>
      <c r="I1156" t="s">
        <v>374</v>
      </c>
      <c r="J1156" t="s">
        <v>375</v>
      </c>
      <c r="K1156" t="s">
        <v>1034</v>
      </c>
      <c r="L1156" t="s">
        <v>112</v>
      </c>
      <c r="M1156" t="s">
        <v>1035</v>
      </c>
      <c r="O1156" t="s">
        <v>1032</v>
      </c>
      <c r="P1156" t="s">
        <v>34</v>
      </c>
      <c r="Q1156" t="s">
        <v>136</v>
      </c>
      <c r="R1156" t="s">
        <v>1029</v>
      </c>
      <c r="S1156" t="s">
        <v>207</v>
      </c>
      <c r="T1156" t="s">
        <v>1033</v>
      </c>
      <c r="U1156" s="10" t="s">
        <v>1061</v>
      </c>
      <c r="V1156" s="10" t="s">
        <v>1108</v>
      </c>
      <c r="W1156" s="10" t="s">
        <v>1065</v>
      </c>
      <c r="X1156" s="10" t="s">
        <v>1068</v>
      </c>
      <c r="Y1156" t="s">
        <v>39</v>
      </c>
      <c r="Z1156" t="s">
        <v>40</v>
      </c>
      <c r="AA1156" t="s">
        <v>63</v>
      </c>
    </row>
    <row r="1157" spans="1:28" x14ac:dyDescent="0.8">
      <c r="A1157">
        <v>638</v>
      </c>
      <c r="B1157">
        <v>975</v>
      </c>
      <c r="C1157" s="2">
        <v>44384</v>
      </c>
      <c r="D1157" t="s">
        <v>306</v>
      </c>
      <c r="E1157" t="s">
        <v>25</v>
      </c>
      <c r="F1157" t="s">
        <v>26</v>
      </c>
      <c r="G1157" t="s">
        <v>27</v>
      </c>
      <c r="H1157" t="s">
        <v>373</v>
      </c>
      <c r="I1157" t="s">
        <v>374</v>
      </c>
      <c r="J1157" t="s">
        <v>375</v>
      </c>
      <c r="K1157" t="s">
        <v>1034</v>
      </c>
      <c r="L1157" t="s">
        <v>112</v>
      </c>
      <c r="M1157" t="s">
        <v>1035</v>
      </c>
      <c r="O1157" t="s">
        <v>1032</v>
      </c>
      <c r="P1157" t="s">
        <v>34</v>
      </c>
      <c r="Q1157" t="s">
        <v>136</v>
      </c>
      <c r="R1157" t="s">
        <v>1029</v>
      </c>
      <c r="S1157" t="s">
        <v>207</v>
      </c>
      <c r="T1157" t="s">
        <v>1033</v>
      </c>
      <c r="U1157" s="10" t="s">
        <v>1061</v>
      </c>
      <c r="V1157" s="10" t="s">
        <v>1108</v>
      </c>
      <c r="W1157" s="10" t="s">
        <v>1065</v>
      </c>
      <c r="X1157" s="10" t="s">
        <v>1068</v>
      </c>
      <c r="Y1157" t="s">
        <v>39</v>
      </c>
      <c r="Z1157" t="s">
        <v>202</v>
      </c>
      <c r="AA1157" t="s">
        <v>63</v>
      </c>
    </row>
    <row r="1158" spans="1:28" x14ac:dyDescent="0.8">
      <c r="A1158">
        <v>628</v>
      </c>
      <c r="B1158">
        <v>165</v>
      </c>
      <c r="C1158" s="2">
        <v>44384</v>
      </c>
      <c r="D1158" t="s">
        <v>306</v>
      </c>
      <c r="E1158" t="s">
        <v>125</v>
      </c>
      <c r="F1158" t="s">
        <v>26</v>
      </c>
      <c r="G1158" t="s">
        <v>27</v>
      </c>
      <c r="H1158" t="s">
        <v>373</v>
      </c>
      <c r="I1158" t="s">
        <v>374</v>
      </c>
      <c r="J1158" t="s">
        <v>375</v>
      </c>
      <c r="K1158" t="s">
        <v>1034</v>
      </c>
      <c r="L1158" t="s">
        <v>112</v>
      </c>
      <c r="M1158" t="s">
        <v>1035</v>
      </c>
      <c r="O1158" t="s">
        <v>1032</v>
      </c>
      <c r="P1158" t="s">
        <v>34</v>
      </c>
      <c r="Q1158" t="s">
        <v>136</v>
      </c>
      <c r="R1158" t="s">
        <v>1029</v>
      </c>
      <c r="S1158" t="s">
        <v>207</v>
      </c>
      <c r="T1158" t="s">
        <v>1033</v>
      </c>
      <c r="U1158" s="10" t="s">
        <v>1061</v>
      </c>
      <c r="V1158" s="10" t="s">
        <v>1108</v>
      </c>
      <c r="W1158" s="10" t="s">
        <v>1065</v>
      </c>
      <c r="X1158" s="10" t="s">
        <v>1068</v>
      </c>
      <c r="Y1158" t="s">
        <v>39</v>
      </c>
      <c r="Z1158" t="s">
        <v>40</v>
      </c>
      <c r="AA1158" t="s">
        <v>63</v>
      </c>
    </row>
    <row r="1159" spans="1:28" x14ac:dyDescent="0.8">
      <c r="A1159">
        <v>384</v>
      </c>
      <c r="B1159">
        <v>480</v>
      </c>
      <c r="C1159" s="2">
        <v>44384</v>
      </c>
      <c r="D1159" t="s">
        <v>306</v>
      </c>
      <c r="E1159" t="s">
        <v>125</v>
      </c>
      <c r="F1159" t="s">
        <v>26</v>
      </c>
      <c r="G1159" t="s">
        <v>45</v>
      </c>
      <c r="H1159" t="s">
        <v>155</v>
      </c>
      <c r="I1159" t="s">
        <v>69</v>
      </c>
      <c r="J1159" t="s">
        <v>156</v>
      </c>
      <c r="K1159" t="s">
        <v>157</v>
      </c>
      <c r="L1159" t="s">
        <v>158</v>
      </c>
      <c r="M1159" t="s">
        <v>159</v>
      </c>
      <c r="N1159" t="s">
        <v>52</v>
      </c>
      <c r="O1159" t="s">
        <v>1032</v>
      </c>
      <c r="P1159" t="s">
        <v>34</v>
      </c>
      <c r="Q1159" t="s">
        <v>136</v>
      </c>
      <c r="R1159" t="s">
        <v>1029</v>
      </c>
      <c r="S1159" t="s">
        <v>207</v>
      </c>
      <c r="T1159" t="s">
        <v>1033</v>
      </c>
      <c r="U1159" s="10" t="s">
        <v>1061</v>
      </c>
      <c r="V1159" s="10" t="s">
        <v>1108</v>
      </c>
      <c r="W1159" s="10" t="s">
        <v>1065</v>
      </c>
      <c r="X1159" s="10" t="s">
        <v>1068</v>
      </c>
      <c r="Y1159" t="s">
        <v>39</v>
      </c>
      <c r="Z1159" t="s">
        <v>40</v>
      </c>
      <c r="AA1159" t="s">
        <v>53</v>
      </c>
    </row>
    <row r="1160" spans="1:28" x14ac:dyDescent="0.8">
      <c r="A1160">
        <v>617</v>
      </c>
      <c r="B1160">
        <v>214</v>
      </c>
      <c r="C1160" s="2">
        <v>44386</v>
      </c>
      <c r="D1160" t="s">
        <v>43</v>
      </c>
      <c r="E1160" t="s">
        <v>63</v>
      </c>
      <c r="F1160" t="s">
        <v>26</v>
      </c>
      <c r="G1160" t="s">
        <v>45</v>
      </c>
      <c r="H1160" t="s">
        <v>68</v>
      </c>
      <c r="I1160" t="s">
        <v>69</v>
      </c>
      <c r="J1160" t="s">
        <v>70</v>
      </c>
      <c r="K1160" t="s">
        <v>71</v>
      </c>
      <c r="L1160" t="s">
        <v>72</v>
      </c>
      <c r="M1160" t="s">
        <v>73</v>
      </c>
      <c r="N1160" t="s">
        <v>61</v>
      </c>
      <c r="O1160" t="s">
        <v>827</v>
      </c>
      <c r="P1160" t="s">
        <v>34</v>
      </c>
      <c r="Q1160" t="s">
        <v>136</v>
      </c>
      <c r="R1160" t="s">
        <v>828</v>
      </c>
      <c r="S1160" t="s">
        <v>829</v>
      </c>
      <c r="T1160" t="s">
        <v>830</v>
      </c>
      <c r="U1160" s="10" t="s">
        <v>1055</v>
      </c>
      <c r="V1160" s="10" t="s">
        <v>1103</v>
      </c>
      <c r="W1160" s="10" t="s">
        <v>1064</v>
      </c>
      <c r="X1160" s="10" t="s">
        <v>1080</v>
      </c>
      <c r="Y1160" t="s">
        <v>140</v>
      </c>
      <c r="Z1160" t="s">
        <v>40</v>
      </c>
      <c r="AA1160" t="s">
        <v>63</v>
      </c>
      <c r="AB1160" t="s">
        <v>831</v>
      </c>
    </row>
    <row r="1161" spans="1:28" x14ac:dyDescent="0.8">
      <c r="A1161">
        <v>616</v>
      </c>
      <c r="B1161">
        <v>213</v>
      </c>
      <c r="C1161" s="2">
        <v>44386</v>
      </c>
      <c r="D1161" t="s">
        <v>43</v>
      </c>
      <c r="E1161" t="s">
        <v>63</v>
      </c>
      <c r="F1161" t="s">
        <v>26</v>
      </c>
      <c r="G1161" t="s">
        <v>45</v>
      </c>
      <c r="H1161" t="s">
        <v>68</v>
      </c>
      <c r="I1161" t="s">
        <v>69</v>
      </c>
      <c r="J1161" t="s">
        <v>70</v>
      </c>
      <c r="K1161" t="s">
        <v>71</v>
      </c>
      <c r="L1161" t="s">
        <v>72</v>
      </c>
      <c r="M1161" t="s">
        <v>73</v>
      </c>
      <c r="N1161" t="s">
        <v>61</v>
      </c>
      <c r="O1161" t="s">
        <v>827</v>
      </c>
      <c r="P1161" t="s">
        <v>34</v>
      </c>
      <c r="Q1161" t="s">
        <v>136</v>
      </c>
      <c r="R1161" t="s">
        <v>828</v>
      </c>
      <c r="S1161" t="s">
        <v>829</v>
      </c>
      <c r="T1161" t="s">
        <v>830</v>
      </c>
      <c r="U1161" s="10" t="s">
        <v>1055</v>
      </c>
      <c r="V1161" s="10" t="s">
        <v>1103</v>
      </c>
      <c r="W1161" s="10" t="s">
        <v>1064</v>
      </c>
      <c r="X1161" s="10" t="s">
        <v>1080</v>
      </c>
      <c r="Y1161" t="s">
        <v>140</v>
      </c>
      <c r="Z1161" t="s">
        <v>40</v>
      </c>
      <c r="AA1161" t="s">
        <v>63</v>
      </c>
      <c r="AB1161" t="s">
        <v>831</v>
      </c>
    </row>
    <row r="1162" spans="1:28" x14ac:dyDescent="0.8">
      <c r="A1162">
        <v>622</v>
      </c>
      <c r="B1162">
        <v>219</v>
      </c>
      <c r="C1162" s="2">
        <v>44386</v>
      </c>
      <c r="D1162" t="s">
        <v>43</v>
      </c>
      <c r="E1162" t="s">
        <v>63</v>
      </c>
      <c r="F1162" t="s">
        <v>26</v>
      </c>
      <c r="G1162" t="s">
        <v>45</v>
      </c>
      <c r="H1162" t="s">
        <v>68</v>
      </c>
      <c r="I1162" t="s">
        <v>69</v>
      </c>
      <c r="J1162" t="s">
        <v>70</v>
      </c>
      <c r="K1162" t="s">
        <v>71</v>
      </c>
      <c r="L1162" t="s">
        <v>72</v>
      </c>
      <c r="M1162" t="s">
        <v>73</v>
      </c>
      <c r="N1162" t="s">
        <v>61</v>
      </c>
      <c r="O1162" t="s">
        <v>827</v>
      </c>
      <c r="P1162" t="s">
        <v>34</v>
      </c>
      <c r="Q1162" t="s">
        <v>136</v>
      </c>
      <c r="R1162" t="s">
        <v>828</v>
      </c>
      <c r="S1162" t="s">
        <v>829</v>
      </c>
      <c r="T1162" t="s">
        <v>830</v>
      </c>
      <c r="U1162" s="10" t="s">
        <v>1055</v>
      </c>
      <c r="V1162" s="10" t="s">
        <v>1103</v>
      </c>
      <c r="W1162" s="10" t="s">
        <v>1064</v>
      </c>
      <c r="X1162" s="10" t="s">
        <v>1080</v>
      </c>
      <c r="Y1162" t="s">
        <v>140</v>
      </c>
      <c r="Z1162" t="s">
        <v>40</v>
      </c>
      <c r="AA1162" t="s">
        <v>63</v>
      </c>
    </row>
    <row r="1163" spans="1:28" x14ac:dyDescent="0.8">
      <c r="A1163">
        <v>614</v>
      </c>
      <c r="B1163">
        <v>1385</v>
      </c>
      <c r="C1163" s="2">
        <v>44386</v>
      </c>
      <c r="D1163" t="s">
        <v>43</v>
      </c>
      <c r="E1163" t="s">
        <v>53</v>
      </c>
      <c r="F1163" t="s">
        <v>26</v>
      </c>
      <c r="G1163" t="s">
        <v>45</v>
      </c>
      <c r="H1163" t="s">
        <v>68</v>
      </c>
      <c r="I1163" t="s">
        <v>69</v>
      </c>
      <c r="J1163" t="s">
        <v>70</v>
      </c>
      <c r="K1163" t="s">
        <v>71</v>
      </c>
      <c r="L1163" t="s">
        <v>72</v>
      </c>
      <c r="M1163" t="s">
        <v>73</v>
      </c>
      <c r="N1163" t="s">
        <v>61</v>
      </c>
      <c r="O1163" t="s">
        <v>827</v>
      </c>
      <c r="P1163" t="s">
        <v>34</v>
      </c>
      <c r="Q1163" t="s">
        <v>136</v>
      </c>
      <c r="R1163" t="s">
        <v>828</v>
      </c>
      <c r="S1163" t="s">
        <v>829</v>
      </c>
      <c r="T1163" t="s">
        <v>830</v>
      </c>
      <c r="U1163" s="10" t="s">
        <v>1055</v>
      </c>
      <c r="V1163" s="10" t="s">
        <v>1103</v>
      </c>
      <c r="W1163" s="10" t="s">
        <v>1064</v>
      </c>
      <c r="X1163" s="10" t="s">
        <v>1080</v>
      </c>
      <c r="Y1163" t="s">
        <v>140</v>
      </c>
      <c r="Z1163" t="s">
        <v>40</v>
      </c>
      <c r="AA1163" t="s">
        <v>63</v>
      </c>
    </row>
    <row r="1164" spans="1:28" x14ac:dyDescent="0.8">
      <c r="A1164">
        <v>263</v>
      </c>
      <c r="B1164">
        <v>1469</v>
      </c>
      <c r="C1164" s="2">
        <v>44386</v>
      </c>
      <c r="D1164" t="s">
        <v>43</v>
      </c>
      <c r="E1164" t="s">
        <v>25</v>
      </c>
      <c r="F1164" t="s">
        <v>26</v>
      </c>
      <c r="G1164" t="s">
        <v>45</v>
      </c>
      <c r="H1164" t="s">
        <v>68</v>
      </c>
      <c r="I1164" t="s">
        <v>69</v>
      </c>
      <c r="J1164" t="s">
        <v>70</v>
      </c>
      <c r="K1164" t="s">
        <v>71</v>
      </c>
      <c r="L1164" t="s">
        <v>72</v>
      </c>
      <c r="M1164" t="s">
        <v>73</v>
      </c>
      <c r="N1164" t="s">
        <v>61</v>
      </c>
      <c r="O1164" t="s">
        <v>827</v>
      </c>
      <c r="P1164" t="s">
        <v>34</v>
      </c>
      <c r="Q1164" t="s">
        <v>136</v>
      </c>
      <c r="R1164" t="s">
        <v>828</v>
      </c>
      <c r="S1164" t="s">
        <v>829</v>
      </c>
      <c r="T1164" t="s">
        <v>830</v>
      </c>
      <c r="U1164" s="10" t="s">
        <v>1055</v>
      </c>
      <c r="V1164" s="10" t="s">
        <v>1103</v>
      </c>
      <c r="W1164" s="10" t="s">
        <v>1064</v>
      </c>
      <c r="X1164" s="10" t="s">
        <v>1080</v>
      </c>
      <c r="Y1164" t="s">
        <v>39</v>
      </c>
      <c r="Z1164" t="s">
        <v>40</v>
      </c>
      <c r="AA1164" t="s">
        <v>53</v>
      </c>
    </row>
    <row r="1165" spans="1:28" x14ac:dyDescent="0.8">
      <c r="A1165">
        <v>103</v>
      </c>
      <c r="B1165">
        <v>110</v>
      </c>
      <c r="C1165" s="2">
        <v>44386</v>
      </c>
      <c r="D1165" t="s">
        <v>43</v>
      </c>
      <c r="E1165" t="s">
        <v>25</v>
      </c>
      <c r="F1165" t="s">
        <v>26</v>
      </c>
      <c r="G1165" t="s">
        <v>45</v>
      </c>
      <c r="H1165" t="s">
        <v>68</v>
      </c>
      <c r="I1165" t="s">
        <v>69</v>
      </c>
      <c r="J1165" t="s">
        <v>70</v>
      </c>
      <c r="K1165" t="s">
        <v>71</v>
      </c>
      <c r="L1165" t="s">
        <v>72</v>
      </c>
      <c r="M1165" t="s">
        <v>73</v>
      </c>
      <c r="N1165" t="s">
        <v>61</v>
      </c>
      <c r="O1165" t="s">
        <v>827</v>
      </c>
      <c r="P1165" t="s">
        <v>34</v>
      </c>
      <c r="Q1165" t="s">
        <v>136</v>
      </c>
      <c r="R1165" t="s">
        <v>828</v>
      </c>
      <c r="S1165" t="s">
        <v>829</v>
      </c>
      <c r="T1165" t="s">
        <v>830</v>
      </c>
      <c r="U1165" s="10" t="s">
        <v>1055</v>
      </c>
      <c r="V1165" s="10" t="s">
        <v>1103</v>
      </c>
      <c r="W1165" s="10" t="s">
        <v>1064</v>
      </c>
      <c r="X1165" s="10" t="s">
        <v>1080</v>
      </c>
      <c r="Y1165" t="s">
        <v>39</v>
      </c>
      <c r="Z1165" t="s">
        <v>40</v>
      </c>
      <c r="AA1165" t="s">
        <v>44</v>
      </c>
    </row>
    <row r="1166" spans="1:28" x14ac:dyDescent="0.8">
      <c r="A1166">
        <v>290</v>
      </c>
      <c r="B1166">
        <v>904</v>
      </c>
      <c r="C1166" s="2">
        <v>44386</v>
      </c>
      <c r="D1166" t="s">
        <v>43</v>
      </c>
      <c r="E1166" t="s">
        <v>25</v>
      </c>
      <c r="F1166" t="s">
        <v>26</v>
      </c>
      <c r="G1166" t="s">
        <v>45</v>
      </c>
      <c r="H1166" t="s">
        <v>46</v>
      </c>
      <c r="I1166" t="s">
        <v>47</v>
      </c>
      <c r="J1166" t="s">
        <v>48</v>
      </c>
      <c r="K1166" t="s">
        <v>141</v>
      </c>
      <c r="L1166" t="s">
        <v>293</v>
      </c>
      <c r="M1166" t="s">
        <v>294</v>
      </c>
      <c r="N1166" t="s">
        <v>52</v>
      </c>
      <c r="O1166" t="s">
        <v>827</v>
      </c>
      <c r="P1166" t="s">
        <v>34</v>
      </c>
      <c r="Q1166" t="s">
        <v>136</v>
      </c>
      <c r="R1166" t="s">
        <v>828</v>
      </c>
      <c r="S1166" t="s">
        <v>829</v>
      </c>
      <c r="T1166" t="s">
        <v>830</v>
      </c>
      <c r="U1166" s="10" t="s">
        <v>1055</v>
      </c>
      <c r="V1166" s="10" t="s">
        <v>1103</v>
      </c>
      <c r="W1166" s="10" t="s">
        <v>1064</v>
      </c>
      <c r="X1166" s="10" t="s">
        <v>1080</v>
      </c>
      <c r="Y1166" t="s">
        <v>39</v>
      </c>
      <c r="Z1166" t="s">
        <v>40</v>
      </c>
      <c r="AA1166" t="s">
        <v>53</v>
      </c>
      <c r="AB1166" t="s">
        <v>226</v>
      </c>
    </row>
    <row r="1167" spans="1:28" x14ac:dyDescent="0.8">
      <c r="A1167">
        <v>291</v>
      </c>
      <c r="B1167">
        <v>905</v>
      </c>
      <c r="C1167" s="2">
        <v>44386</v>
      </c>
      <c r="D1167" t="s">
        <v>43</v>
      </c>
      <c r="E1167" t="s">
        <v>25</v>
      </c>
      <c r="F1167" t="s">
        <v>26</v>
      </c>
      <c r="G1167" t="s">
        <v>45</v>
      </c>
      <c r="H1167" t="s">
        <v>46</v>
      </c>
      <c r="I1167" t="s">
        <v>47</v>
      </c>
      <c r="J1167" t="s">
        <v>48</v>
      </c>
      <c r="K1167" t="s">
        <v>141</v>
      </c>
      <c r="L1167" t="s">
        <v>293</v>
      </c>
      <c r="M1167" t="s">
        <v>294</v>
      </c>
      <c r="N1167" t="s">
        <v>52</v>
      </c>
      <c r="O1167" t="s">
        <v>827</v>
      </c>
      <c r="P1167" t="s">
        <v>34</v>
      </c>
      <c r="Q1167" t="s">
        <v>136</v>
      </c>
      <c r="R1167" t="s">
        <v>828</v>
      </c>
      <c r="S1167" t="s">
        <v>829</v>
      </c>
      <c r="T1167" t="s">
        <v>830</v>
      </c>
      <c r="U1167" s="10" t="s">
        <v>1055</v>
      </c>
      <c r="V1167" s="10" t="s">
        <v>1103</v>
      </c>
      <c r="W1167" s="10" t="s">
        <v>1064</v>
      </c>
      <c r="X1167" s="10" t="s">
        <v>1080</v>
      </c>
      <c r="Y1167" t="s">
        <v>39</v>
      </c>
      <c r="Z1167" t="s">
        <v>40</v>
      </c>
      <c r="AA1167" t="s">
        <v>53</v>
      </c>
      <c r="AB1167" t="s">
        <v>832</v>
      </c>
    </row>
    <row r="1168" spans="1:28" x14ac:dyDescent="0.8">
      <c r="A1168">
        <v>257</v>
      </c>
      <c r="B1168">
        <v>1463</v>
      </c>
      <c r="C1168" s="2">
        <v>44384</v>
      </c>
      <c r="D1168" t="s">
        <v>24</v>
      </c>
      <c r="E1168" t="s">
        <v>25</v>
      </c>
      <c r="F1168" t="s">
        <v>26</v>
      </c>
      <c r="G1168" t="s">
        <v>45</v>
      </c>
      <c r="H1168" t="s">
        <v>46</v>
      </c>
      <c r="I1168" t="s">
        <v>47</v>
      </c>
      <c r="J1168" t="s">
        <v>48</v>
      </c>
      <c r="K1168" t="s">
        <v>49</v>
      </c>
      <c r="L1168" t="s">
        <v>91</v>
      </c>
      <c r="M1168" t="s">
        <v>92</v>
      </c>
      <c r="N1168" t="s">
        <v>61</v>
      </c>
      <c r="O1168" t="s">
        <v>701</v>
      </c>
      <c r="P1168" t="s">
        <v>34</v>
      </c>
      <c r="Q1168" t="s">
        <v>35</v>
      </c>
      <c r="R1168" t="s">
        <v>694</v>
      </c>
      <c r="S1168" t="s">
        <v>702</v>
      </c>
      <c r="T1168" t="s">
        <v>703</v>
      </c>
      <c r="U1168" s="10" t="s">
        <v>1061</v>
      </c>
      <c r="V1168" s="10" t="s">
        <v>1099</v>
      </c>
      <c r="W1168" s="10" t="s">
        <v>1066</v>
      </c>
      <c r="X1168" s="10" t="s">
        <v>1059</v>
      </c>
      <c r="Y1168" t="s">
        <v>39</v>
      </c>
      <c r="Z1168" t="s">
        <v>62</v>
      </c>
      <c r="AA1168" t="s">
        <v>53</v>
      </c>
    </row>
    <row r="1169" spans="1:28" x14ac:dyDescent="0.8">
      <c r="A1169">
        <v>781</v>
      </c>
      <c r="B1169">
        <v>1310</v>
      </c>
      <c r="C1169" s="2">
        <v>44387</v>
      </c>
      <c r="D1169" t="s">
        <v>149</v>
      </c>
      <c r="E1169" t="s">
        <v>63</v>
      </c>
      <c r="F1169" t="s">
        <v>26</v>
      </c>
      <c r="G1169" t="s">
        <v>45</v>
      </c>
      <c r="H1169" t="s">
        <v>46</v>
      </c>
      <c r="I1169" t="s">
        <v>47</v>
      </c>
      <c r="J1169" t="s">
        <v>48</v>
      </c>
      <c r="K1169" t="s">
        <v>141</v>
      </c>
      <c r="L1169" t="s">
        <v>31</v>
      </c>
      <c r="M1169" t="s">
        <v>182</v>
      </c>
      <c r="N1169" t="s">
        <v>61</v>
      </c>
      <c r="O1169" t="s">
        <v>701</v>
      </c>
      <c r="P1169" t="s">
        <v>34</v>
      </c>
      <c r="Q1169" t="s">
        <v>35</v>
      </c>
      <c r="R1169" t="s">
        <v>694</v>
      </c>
      <c r="S1169" t="s">
        <v>702</v>
      </c>
      <c r="T1169" t="s">
        <v>703</v>
      </c>
      <c r="U1169" s="10" t="s">
        <v>1061</v>
      </c>
      <c r="V1169" s="10" t="s">
        <v>1099</v>
      </c>
      <c r="W1169" s="10" t="s">
        <v>1066</v>
      </c>
      <c r="X1169" s="10" t="s">
        <v>1059</v>
      </c>
      <c r="Y1169" t="s">
        <v>140</v>
      </c>
      <c r="Z1169" t="s">
        <v>40</v>
      </c>
      <c r="AA1169" t="s">
        <v>63</v>
      </c>
    </row>
    <row r="1170" spans="1:28" x14ac:dyDescent="0.8">
      <c r="A1170">
        <v>606</v>
      </c>
      <c r="B1170">
        <v>705</v>
      </c>
      <c r="C1170" s="2">
        <v>44384</v>
      </c>
      <c r="D1170" t="s">
        <v>24</v>
      </c>
      <c r="E1170" t="s">
        <v>63</v>
      </c>
      <c r="F1170" t="s">
        <v>26</v>
      </c>
      <c r="G1170" t="s">
        <v>27</v>
      </c>
      <c r="H1170" t="s">
        <v>28</v>
      </c>
      <c r="I1170" t="s">
        <v>214</v>
      </c>
      <c r="K1170" t="s">
        <v>215</v>
      </c>
      <c r="L1170" t="s">
        <v>59</v>
      </c>
      <c r="M1170" t="s">
        <v>718</v>
      </c>
      <c r="O1170" t="s">
        <v>735</v>
      </c>
      <c r="P1170" t="s">
        <v>85</v>
      </c>
      <c r="Q1170" t="s">
        <v>35</v>
      </c>
      <c r="R1170" t="s">
        <v>736</v>
      </c>
      <c r="S1170" t="s">
        <v>737</v>
      </c>
      <c r="T1170" t="s">
        <v>738</v>
      </c>
      <c r="U1170" s="10" t="s">
        <v>1061</v>
      </c>
      <c r="V1170" s="10" t="s">
        <v>1099</v>
      </c>
      <c r="W1170" s="10" t="s">
        <v>1066</v>
      </c>
      <c r="X1170" s="10" t="s">
        <v>1059</v>
      </c>
      <c r="Y1170" t="s">
        <v>39</v>
      </c>
      <c r="Z1170" t="s">
        <v>40</v>
      </c>
      <c r="AA1170" t="s">
        <v>63</v>
      </c>
      <c r="AB1170" t="s">
        <v>739</v>
      </c>
    </row>
    <row r="1171" spans="1:28" x14ac:dyDescent="0.8">
      <c r="A1171">
        <v>607</v>
      </c>
      <c r="B1171">
        <v>706</v>
      </c>
      <c r="C1171" s="2">
        <v>44384</v>
      </c>
      <c r="D1171" t="s">
        <v>24</v>
      </c>
      <c r="E1171" t="s">
        <v>63</v>
      </c>
      <c r="F1171" t="s">
        <v>26</v>
      </c>
      <c r="G1171" t="s">
        <v>45</v>
      </c>
      <c r="H1171" t="s">
        <v>46</v>
      </c>
      <c r="I1171" t="s">
        <v>47</v>
      </c>
      <c r="J1171" t="s">
        <v>48</v>
      </c>
      <c r="K1171" t="s">
        <v>49</v>
      </c>
      <c r="L1171" t="s">
        <v>91</v>
      </c>
      <c r="M1171" t="s">
        <v>92</v>
      </c>
      <c r="N1171" t="s">
        <v>61</v>
      </c>
      <c r="O1171" t="s">
        <v>735</v>
      </c>
      <c r="P1171" t="s">
        <v>85</v>
      </c>
      <c r="Q1171" t="s">
        <v>35</v>
      </c>
      <c r="R1171" t="s">
        <v>736</v>
      </c>
      <c r="S1171" t="s">
        <v>737</v>
      </c>
      <c r="T1171" t="s">
        <v>738</v>
      </c>
      <c r="U1171" s="10" t="s">
        <v>1061</v>
      </c>
      <c r="V1171" s="10" t="s">
        <v>1099</v>
      </c>
      <c r="W1171" s="10" t="s">
        <v>1066</v>
      </c>
      <c r="X1171" s="10" t="s">
        <v>1059</v>
      </c>
      <c r="Y1171" t="s">
        <v>39</v>
      </c>
      <c r="Z1171" t="s">
        <v>40</v>
      </c>
      <c r="AA1171" t="s">
        <v>63</v>
      </c>
      <c r="AB1171" t="s">
        <v>739</v>
      </c>
    </row>
    <row r="1172" spans="1:28" x14ac:dyDescent="0.8">
      <c r="A1172">
        <v>158</v>
      </c>
      <c r="B1172">
        <v>1174</v>
      </c>
      <c r="C1172" s="2">
        <v>44388</v>
      </c>
      <c r="D1172" t="s">
        <v>235</v>
      </c>
      <c r="E1172" t="s">
        <v>125</v>
      </c>
      <c r="F1172" t="s">
        <v>26</v>
      </c>
      <c r="G1172" t="s">
        <v>94</v>
      </c>
      <c r="H1172" t="s">
        <v>95</v>
      </c>
      <c r="I1172" t="s">
        <v>96</v>
      </c>
      <c r="J1172" t="s">
        <v>404</v>
      </c>
      <c r="K1172" t="s">
        <v>405</v>
      </c>
      <c r="L1172" t="s">
        <v>406</v>
      </c>
      <c r="M1172" t="s">
        <v>407</v>
      </c>
      <c r="N1172" t="s">
        <v>101</v>
      </c>
      <c r="O1172" t="s">
        <v>735</v>
      </c>
      <c r="P1172" t="s">
        <v>85</v>
      </c>
      <c r="Q1172" t="s">
        <v>35</v>
      </c>
      <c r="R1172" t="s">
        <v>736</v>
      </c>
      <c r="S1172" t="s">
        <v>737</v>
      </c>
      <c r="T1172" t="s">
        <v>738</v>
      </c>
      <c r="U1172" s="10" t="s">
        <v>1061</v>
      </c>
      <c r="V1172" s="10" t="s">
        <v>1099</v>
      </c>
      <c r="W1172" s="10" t="s">
        <v>1066</v>
      </c>
      <c r="X1172" s="10" t="s">
        <v>1059</v>
      </c>
      <c r="Y1172" t="s">
        <v>39</v>
      </c>
      <c r="Z1172" t="s">
        <v>40</v>
      </c>
      <c r="AA1172" t="s">
        <v>53</v>
      </c>
    </row>
    <row r="1173" spans="1:28" x14ac:dyDescent="0.8">
      <c r="A1173">
        <v>814</v>
      </c>
      <c r="B1173">
        <v>1391</v>
      </c>
      <c r="C1173" s="2">
        <v>44387</v>
      </c>
      <c r="D1173" t="s">
        <v>149</v>
      </c>
      <c r="E1173" t="s">
        <v>150</v>
      </c>
      <c r="F1173" t="s">
        <v>26</v>
      </c>
      <c r="G1173" t="s">
        <v>27</v>
      </c>
      <c r="H1173" t="s">
        <v>114</v>
      </c>
      <c r="I1173" t="s">
        <v>115</v>
      </c>
      <c r="J1173" t="s">
        <v>174</v>
      </c>
      <c r="K1173" t="s">
        <v>175</v>
      </c>
      <c r="L1173" t="s">
        <v>176</v>
      </c>
      <c r="M1173" t="s">
        <v>177</v>
      </c>
      <c r="O1173" t="s">
        <v>735</v>
      </c>
      <c r="P1173" t="s">
        <v>85</v>
      </c>
      <c r="Q1173" t="s">
        <v>35</v>
      </c>
      <c r="R1173" t="s">
        <v>736</v>
      </c>
      <c r="S1173" t="s">
        <v>737</v>
      </c>
      <c r="T1173" t="s">
        <v>738</v>
      </c>
      <c r="U1173" s="10" t="s">
        <v>1061</v>
      </c>
      <c r="V1173" s="10" t="s">
        <v>1099</v>
      </c>
      <c r="W1173" s="10" t="s">
        <v>1066</v>
      </c>
      <c r="X1173" s="10" t="s">
        <v>1059</v>
      </c>
      <c r="Y1173" t="s">
        <v>39</v>
      </c>
      <c r="Z1173" t="s">
        <v>40</v>
      </c>
      <c r="AA1173" t="s">
        <v>63</v>
      </c>
    </row>
    <row r="1174" spans="1:28" x14ac:dyDescent="0.8">
      <c r="A1174">
        <v>816</v>
      </c>
      <c r="B1174">
        <v>1393</v>
      </c>
      <c r="C1174" s="2">
        <v>44387</v>
      </c>
      <c r="D1174" t="s">
        <v>149</v>
      </c>
      <c r="E1174" t="s">
        <v>63</v>
      </c>
      <c r="F1174" t="s">
        <v>26</v>
      </c>
      <c r="G1174" t="s">
        <v>27</v>
      </c>
      <c r="H1174" t="s">
        <v>28</v>
      </c>
      <c r="I1174" t="s">
        <v>29</v>
      </c>
      <c r="K1174" t="s">
        <v>30</v>
      </c>
      <c r="L1174" t="s">
        <v>142</v>
      </c>
      <c r="M1174" t="s">
        <v>424</v>
      </c>
      <c r="O1174" t="s">
        <v>735</v>
      </c>
      <c r="P1174" t="s">
        <v>85</v>
      </c>
      <c r="Q1174" t="s">
        <v>35</v>
      </c>
      <c r="R1174" t="s">
        <v>736</v>
      </c>
      <c r="S1174" t="s">
        <v>737</v>
      </c>
      <c r="T1174" t="s">
        <v>738</v>
      </c>
      <c r="U1174" s="10" t="s">
        <v>1061</v>
      </c>
      <c r="V1174" s="10" t="s">
        <v>1099</v>
      </c>
      <c r="W1174" s="10" t="s">
        <v>1066</v>
      </c>
      <c r="X1174" s="10" t="s">
        <v>1059</v>
      </c>
      <c r="Y1174" t="s">
        <v>39</v>
      </c>
      <c r="Z1174" t="s">
        <v>40</v>
      </c>
      <c r="AA1174" t="s">
        <v>63</v>
      </c>
    </row>
    <row r="1175" spans="1:28" x14ac:dyDescent="0.8">
      <c r="A1175">
        <v>791</v>
      </c>
      <c r="B1175">
        <v>1320</v>
      </c>
      <c r="C1175" s="2">
        <v>44387</v>
      </c>
      <c r="D1175" t="s">
        <v>149</v>
      </c>
      <c r="E1175" t="s">
        <v>103</v>
      </c>
      <c r="F1175" t="s">
        <v>26</v>
      </c>
      <c r="G1175" t="s">
        <v>27</v>
      </c>
      <c r="H1175" t="s">
        <v>28</v>
      </c>
      <c r="I1175" t="s">
        <v>29</v>
      </c>
      <c r="K1175" t="s">
        <v>30</v>
      </c>
      <c r="L1175" t="s">
        <v>142</v>
      </c>
      <c r="M1175" t="s">
        <v>424</v>
      </c>
      <c r="O1175" t="s">
        <v>735</v>
      </c>
      <c r="P1175" t="s">
        <v>85</v>
      </c>
      <c r="Q1175" t="s">
        <v>35</v>
      </c>
      <c r="R1175" t="s">
        <v>736</v>
      </c>
      <c r="S1175" t="s">
        <v>737</v>
      </c>
      <c r="T1175" t="s">
        <v>738</v>
      </c>
      <c r="U1175" s="10" t="s">
        <v>1061</v>
      </c>
      <c r="V1175" s="10" t="s">
        <v>1099</v>
      </c>
      <c r="W1175" s="10" t="s">
        <v>1066</v>
      </c>
      <c r="X1175" s="10" t="s">
        <v>1059</v>
      </c>
      <c r="Y1175" t="s">
        <v>39</v>
      </c>
      <c r="Z1175" t="s">
        <v>40</v>
      </c>
      <c r="AA1175" t="s">
        <v>63</v>
      </c>
    </row>
    <row r="1176" spans="1:28" x14ac:dyDescent="0.8">
      <c r="A1176">
        <v>1043</v>
      </c>
      <c r="B1176">
        <v>1447</v>
      </c>
      <c r="C1176" s="2">
        <v>44387</v>
      </c>
      <c r="D1176" t="s">
        <v>54</v>
      </c>
      <c r="E1176" t="s">
        <v>25</v>
      </c>
      <c r="F1176" t="s">
        <v>26</v>
      </c>
      <c r="G1176" t="s">
        <v>45</v>
      </c>
      <c r="H1176" t="s">
        <v>46</v>
      </c>
      <c r="I1176" t="s">
        <v>47</v>
      </c>
      <c r="J1176" t="s">
        <v>48</v>
      </c>
      <c r="K1176" t="s">
        <v>49</v>
      </c>
      <c r="L1176" t="s">
        <v>50</v>
      </c>
      <c r="M1176" t="s">
        <v>51</v>
      </c>
      <c r="N1176" t="s">
        <v>61</v>
      </c>
      <c r="O1176" t="s">
        <v>735</v>
      </c>
      <c r="P1176" t="s">
        <v>85</v>
      </c>
      <c r="Q1176" t="s">
        <v>35</v>
      </c>
      <c r="R1176" t="s">
        <v>736</v>
      </c>
      <c r="S1176" t="s">
        <v>737</v>
      </c>
      <c r="T1176" t="s">
        <v>738</v>
      </c>
      <c r="U1176" s="10" t="s">
        <v>1061</v>
      </c>
      <c r="V1176" s="10" t="s">
        <v>1099</v>
      </c>
      <c r="W1176" s="10" t="s">
        <v>1066</v>
      </c>
      <c r="X1176" s="10" t="s">
        <v>1059</v>
      </c>
      <c r="Y1176" t="s">
        <v>39</v>
      </c>
      <c r="Z1176" t="s">
        <v>62</v>
      </c>
      <c r="AA1176" t="s">
        <v>63</v>
      </c>
    </row>
    <row r="1177" spans="1:28" x14ac:dyDescent="0.8">
      <c r="A1177">
        <v>1014</v>
      </c>
      <c r="B1177">
        <v>1370</v>
      </c>
      <c r="C1177" s="2">
        <v>44385</v>
      </c>
      <c r="D1177" t="s">
        <v>203</v>
      </c>
      <c r="E1177" t="s">
        <v>103</v>
      </c>
      <c r="F1177" t="s">
        <v>26</v>
      </c>
      <c r="G1177" t="s">
        <v>27</v>
      </c>
      <c r="H1177" t="s">
        <v>114</v>
      </c>
      <c r="I1177" t="s">
        <v>115</v>
      </c>
      <c r="J1177" t="s">
        <v>174</v>
      </c>
      <c r="K1177" t="s">
        <v>175</v>
      </c>
      <c r="L1177" t="s">
        <v>176</v>
      </c>
      <c r="M1177" t="s">
        <v>177</v>
      </c>
      <c r="O1177" t="s">
        <v>735</v>
      </c>
      <c r="P1177" t="s">
        <v>85</v>
      </c>
      <c r="Q1177" t="s">
        <v>35</v>
      </c>
      <c r="R1177" t="s">
        <v>736</v>
      </c>
      <c r="S1177" t="s">
        <v>737</v>
      </c>
      <c r="T1177" t="s">
        <v>738</v>
      </c>
      <c r="U1177" s="10" t="s">
        <v>1061</v>
      </c>
      <c r="V1177" s="10" t="s">
        <v>1099</v>
      </c>
      <c r="W1177" s="10" t="s">
        <v>1066</v>
      </c>
      <c r="X1177" s="10" t="s">
        <v>1059</v>
      </c>
      <c r="Y1177" t="s">
        <v>39</v>
      </c>
      <c r="Z1177" t="s">
        <v>40</v>
      </c>
      <c r="AA1177" t="s">
        <v>63</v>
      </c>
    </row>
    <row r="1178" spans="1:28" x14ac:dyDescent="0.8">
      <c r="A1178">
        <v>1152</v>
      </c>
      <c r="B1178">
        <v>1649</v>
      </c>
      <c r="C1178" s="2">
        <v>44384</v>
      </c>
      <c r="D1178" t="s">
        <v>384</v>
      </c>
      <c r="E1178" t="s">
        <v>150</v>
      </c>
      <c r="F1178" t="s">
        <v>26</v>
      </c>
      <c r="G1178" t="s">
        <v>27</v>
      </c>
      <c r="H1178" t="s">
        <v>28</v>
      </c>
      <c r="I1178" t="s">
        <v>214</v>
      </c>
      <c r="K1178" t="s">
        <v>215</v>
      </c>
      <c r="L1178" t="s">
        <v>112</v>
      </c>
      <c r="M1178" t="s">
        <v>216</v>
      </c>
      <c r="O1178" t="s">
        <v>735</v>
      </c>
      <c r="P1178" t="s">
        <v>85</v>
      </c>
      <c r="Q1178" t="s">
        <v>35</v>
      </c>
      <c r="R1178" t="s">
        <v>736</v>
      </c>
      <c r="S1178" t="s">
        <v>737</v>
      </c>
      <c r="T1178" t="s">
        <v>738</v>
      </c>
      <c r="U1178" s="10" t="s">
        <v>1061</v>
      </c>
      <c r="V1178" s="10" t="s">
        <v>1099</v>
      </c>
      <c r="W1178" s="10" t="s">
        <v>1066</v>
      </c>
      <c r="X1178" s="10" t="s">
        <v>1059</v>
      </c>
      <c r="Y1178" t="s">
        <v>39</v>
      </c>
      <c r="Z1178" t="s">
        <v>40</v>
      </c>
      <c r="AA1178" t="s">
        <v>63</v>
      </c>
    </row>
    <row r="1179" spans="1:28" x14ac:dyDescent="0.8">
      <c r="A1179">
        <v>1732</v>
      </c>
      <c r="B1179">
        <v>819</v>
      </c>
      <c r="C1179" s="2">
        <v>44384</v>
      </c>
      <c r="D1179" t="s">
        <v>151</v>
      </c>
      <c r="E1179" t="s">
        <v>125</v>
      </c>
      <c r="F1179" t="s">
        <v>26</v>
      </c>
      <c r="G1179" t="s">
        <v>27</v>
      </c>
      <c r="H1179" t="s">
        <v>28</v>
      </c>
      <c r="I1179" t="s">
        <v>214</v>
      </c>
      <c r="K1179" t="s">
        <v>215</v>
      </c>
      <c r="L1179" t="s">
        <v>59</v>
      </c>
      <c r="M1179" t="s">
        <v>718</v>
      </c>
      <c r="O1179" t="s">
        <v>735</v>
      </c>
      <c r="P1179" t="s">
        <v>85</v>
      </c>
      <c r="Q1179" t="s">
        <v>35</v>
      </c>
      <c r="R1179" t="s">
        <v>736</v>
      </c>
      <c r="S1179" t="s">
        <v>737</v>
      </c>
      <c r="T1179" t="s">
        <v>738</v>
      </c>
      <c r="U1179" s="10" t="s">
        <v>1061</v>
      </c>
      <c r="V1179" s="10" t="s">
        <v>1099</v>
      </c>
      <c r="W1179" s="10" t="s">
        <v>1066</v>
      </c>
      <c r="X1179" s="10" t="s">
        <v>1059</v>
      </c>
      <c r="Y1179" t="s">
        <v>39</v>
      </c>
      <c r="Z1179" t="s">
        <v>40</v>
      </c>
      <c r="AA1179" t="s">
        <v>41</v>
      </c>
    </row>
    <row r="1180" spans="1:28" x14ac:dyDescent="0.8">
      <c r="A1180">
        <v>1731</v>
      </c>
      <c r="B1180">
        <v>818</v>
      </c>
      <c r="C1180" s="2">
        <v>44384</v>
      </c>
      <c r="D1180" t="s">
        <v>151</v>
      </c>
      <c r="E1180" t="s">
        <v>125</v>
      </c>
      <c r="F1180" t="s">
        <v>26</v>
      </c>
      <c r="G1180" t="s">
        <v>27</v>
      </c>
      <c r="H1180" t="s">
        <v>28</v>
      </c>
      <c r="I1180" t="s">
        <v>214</v>
      </c>
      <c r="K1180" t="s">
        <v>215</v>
      </c>
      <c r="L1180" t="s">
        <v>59</v>
      </c>
      <c r="M1180" t="s">
        <v>718</v>
      </c>
      <c r="O1180" t="s">
        <v>735</v>
      </c>
      <c r="P1180" t="s">
        <v>85</v>
      </c>
      <c r="Q1180" t="s">
        <v>35</v>
      </c>
      <c r="R1180" t="s">
        <v>736</v>
      </c>
      <c r="S1180" t="s">
        <v>737</v>
      </c>
      <c r="T1180" t="s">
        <v>738</v>
      </c>
      <c r="U1180" s="10" t="s">
        <v>1061</v>
      </c>
      <c r="V1180" s="10" t="s">
        <v>1099</v>
      </c>
      <c r="W1180" s="10" t="s">
        <v>1066</v>
      </c>
      <c r="X1180" s="10" t="s">
        <v>1059</v>
      </c>
      <c r="Y1180" t="s">
        <v>39</v>
      </c>
      <c r="Z1180" t="s">
        <v>40</v>
      </c>
      <c r="AA1180" t="s">
        <v>41</v>
      </c>
    </row>
    <row r="1181" spans="1:28" x14ac:dyDescent="0.8">
      <c r="A1181">
        <v>1688</v>
      </c>
      <c r="B1181">
        <v>567</v>
      </c>
      <c r="C1181" s="2">
        <v>44388</v>
      </c>
      <c r="D1181" t="s">
        <v>124</v>
      </c>
      <c r="E1181" t="s">
        <v>63</v>
      </c>
      <c r="F1181" t="s">
        <v>26</v>
      </c>
      <c r="G1181" t="s">
        <v>27</v>
      </c>
      <c r="H1181" t="s">
        <v>114</v>
      </c>
      <c r="I1181" t="s">
        <v>115</v>
      </c>
      <c r="J1181" t="s">
        <v>120</v>
      </c>
      <c r="K1181" t="s">
        <v>121</v>
      </c>
      <c r="L1181" t="s">
        <v>122</v>
      </c>
      <c r="M1181" t="s">
        <v>123</v>
      </c>
      <c r="O1181" t="s">
        <v>735</v>
      </c>
      <c r="P1181" t="s">
        <v>85</v>
      </c>
      <c r="Q1181" t="s">
        <v>35</v>
      </c>
      <c r="R1181" t="s">
        <v>736</v>
      </c>
      <c r="S1181" t="s">
        <v>737</v>
      </c>
      <c r="T1181" t="s">
        <v>738</v>
      </c>
      <c r="U1181" s="10" t="s">
        <v>1061</v>
      </c>
      <c r="V1181" s="10" t="s">
        <v>1099</v>
      </c>
      <c r="W1181" s="10" t="s">
        <v>1066</v>
      </c>
      <c r="X1181" s="10" t="s">
        <v>1059</v>
      </c>
      <c r="Y1181" t="s">
        <v>39</v>
      </c>
      <c r="Z1181" t="s">
        <v>40</v>
      </c>
      <c r="AA1181" t="s">
        <v>41</v>
      </c>
    </row>
    <row r="1182" spans="1:28" x14ac:dyDescent="0.8">
      <c r="A1182">
        <v>563</v>
      </c>
      <c r="B1182">
        <v>194</v>
      </c>
      <c r="C1182" s="2">
        <v>44388</v>
      </c>
      <c r="D1182" t="s">
        <v>124</v>
      </c>
      <c r="E1182" t="s">
        <v>25</v>
      </c>
      <c r="F1182" t="s">
        <v>26</v>
      </c>
      <c r="G1182" t="s">
        <v>45</v>
      </c>
      <c r="H1182" t="s">
        <v>46</v>
      </c>
      <c r="I1182" t="s">
        <v>47</v>
      </c>
      <c r="J1182" t="s">
        <v>48</v>
      </c>
      <c r="K1182" t="s">
        <v>141</v>
      </c>
      <c r="L1182" t="s">
        <v>142</v>
      </c>
      <c r="M1182" t="s">
        <v>143</v>
      </c>
      <c r="N1182" t="s">
        <v>61</v>
      </c>
      <c r="O1182" t="s">
        <v>735</v>
      </c>
      <c r="P1182" t="s">
        <v>85</v>
      </c>
      <c r="Q1182" t="s">
        <v>35</v>
      </c>
      <c r="R1182" t="s">
        <v>736</v>
      </c>
      <c r="S1182" t="s">
        <v>737</v>
      </c>
      <c r="T1182" t="s">
        <v>738</v>
      </c>
      <c r="U1182" s="10" t="s">
        <v>1061</v>
      </c>
      <c r="V1182" s="10" t="s">
        <v>1099</v>
      </c>
      <c r="W1182" s="10" t="s">
        <v>1066</v>
      </c>
      <c r="X1182" s="10" t="s">
        <v>1059</v>
      </c>
      <c r="Y1182" t="s">
        <v>39</v>
      </c>
      <c r="Z1182" t="s">
        <v>40</v>
      </c>
      <c r="AA1182" t="s">
        <v>63</v>
      </c>
      <c r="AB1182" t="s">
        <v>740</v>
      </c>
    </row>
    <row r="1183" spans="1:28" x14ac:dyDescent="0.8">
      <c r="A1183">
        <v>1677</v>
      </c>
      <c r="B1183">
        <v>450</v>
      </c>
      <c r="C1183" s="2">
        <v>44388</v>
      </c>
      <c r="D1183" t="s">
        <v>124</v>
      </c>
      <c r="E1183" t="s">
        <v>25</v>
      </c>
      <c r="F1183" t="s">
        <v>26</v>
      </c>
      <c r="G1183" t="s">
        <v>45</v>
      </c>
      <c r="H1183" t="s">
        <v>46</v>
      </c>
      <c r="I1183" t="s">
        <v>47</v>
      </c>
      <c r="J1183" t="s">
        <v>48</v>
      </c>
      <c r="K1183" t="s">
        <v>141</v>
      </c>
      <c r="L1183" t="s">
        <v>142</v>
      </c>
      <c r="M1183" t="s">
        <v>143</v>
      </c>
      <c r="N1183" t="s">
        <v>61</v>
      </c>
      <c r="O1183" t="s">
        <v>735</v>
      </c>
      <c r="P1183" t="s">
        <v>85</v>
      </c>
      <c r="Q1183" t="s">
        <v>35</v>
      </c>
      <c r="R1183" t="s">
        <v>736</v>
      </c>
      <c r="S1183" t="s">
        <v>737</v>
      </c>
      <c r="T1183" t="s">
        <v>738</v>
      </c>
      <c r="U1183" s="10" t="s">
        <v>1061</v>
      </c>
      <c r="V1183" s="10" t="s">
        <v>1099</v>
      </c>
      <c r="W1183" s="10" t="s">
        <v>1066</v>
      </c>
      <c r="X1183" s="10" t="s">
        <v>1059</v>
      </c>
      <c r="Y1183" t="s">
        <v>39</v>
      </c>
      <c r="Z1183" t="s">
        <v>40</v>
      </c>
      <c r="AA1183" t="s">
        <v>41</v>
      </c>
    </row>
    <row r="1184" spans="1:28" x14ac:dyDescent="0.8">
      <c r="A1184">
        <v>1008</v>
      </c>
      <c r="B1184">
        <v>1364</v>
      </c>
      <c r="C1184" s="2">
        <v>44385</v>
      </c>
      <c r="D1184" t="s">
        <v>203</v>
      </c>
      <c r="E1184" t="s">
        <v>25</v>
      </c>
      <c r="F1184" t="s">
        <v>26</v>
      </c>
      <c r="G1184" t="s">
        <v>45</v>
      </c>
      <c r="H1184" t="s">
        <v>155</v>
      </c>
      <c r="I1184" t="s">
        <v>69</v>
      </c>
      <c r="J1184" t="s">
        <v>156</v>
      </c>
      <c r="K1184" t="s">
        <v>157</v>
      </c>
      <c r="L1184" t="s">
        <v>232</v>
      </c>
      <c r="M1184" t="s">
        <v>233</v>
      </c>
      <c r="N1184" t="s">
        <v>61</v>
      </c>
      <c r="O1184" t="s">
        <v>858</v>
      </c>
      <c r="P1184" t="s">
        <v>34</v>
      </c>
      <c r="Q1184" t="s">
        <v>859</v>
      </c>
      <c r="R1184" t="s">
        <v>860</v>
      </c>
      <c r="S1184" t="s">
        <v>220</v>
      </c>
      <c r="T1184" t="s">
        <v>861</v>
      </c>
      <c r="U1184" s="10" t="s">
        <v>1061</v>
      </c>
      <c r="V1184" s="10" t="s">
        <v>1099</v>
      </c>
      <c r="W1184" s="10" t="s">
        <v>1141</v>
      </c>
      <c r="X1184" s="10" t="s">
        <v>1059</v>
      </c>
      <c r="Y1184" t="s">
        <v>39</v>
      </c>
      <c r="Z1184" t="s">
        <v>40</v>
      </c>
      <c r="AA1184" t="s">
        <v>63</v>
      </c>
    </row>
    <row r="1185" spans="1:28" x14ac:dyDescent="0.8">
      <c r="A1185">
        <v>1019</v>
      </c>
      <c r="B1185">
        <v>1375</v>
      </c>
      <c r="C1185" s="2">
        <v>44385</v>
      </c>
      <c r="D1185" t="s">
        <v>203</v>
      </c>
      <c r="E1185" t="s">
        <v>25</v>
      </c>
      <c r="F1185" t="s">
        <v>26</v>
      </c>
      <c r="G1185" t="s">
        <v>45</v>
      </c>
      <c r="H1185" t="s">
        <v>46</v>
      </c>
      <c r="I1185" t="s">
        <v>47</v>
      </c>
      <c r="J1185" t="s">
        <v>48</v>
      </c>
      <c r="K1185" t="s">
        <v>49</v>
      </c>
      <c r="L1185" t="s">
        <v>91</v>
      </c>
      <c r="M1185" t="s">
        <v>92</v>
      </c>
      <c r="N1185" t="s">
        <v>61</v>
      </c>
      <c r="O1185" t="s">
        <v>858</v>
      </c>
      <c r="P1185" t="s">
        <v>34</v>
      </c>
      <c r="Q1185" t="s">
        <v>859</v>
      </c>
      <c r="R1185" t="s">
        <v>860</v>
      </c>
      <c r="S1185" t="s">
        <v>220</v>
      </c>
      <c r="T1185" t="s">
        <v>861</v>
      </c>
      <c r="U1185" s="10" t="s">
        <v>1061</v>
      </c>
      <c r="V1185" s="10" t="s">
        <v>1099</v>
      </c>
      <c r="W1185" s="10" t="s">
        <v>1141</v>
      </c>
      <c r="X1185" s="10" t="s">
        <v>1059</v>
      </c>
      <c r="Y1185" t="s">
        <v>39</v>
      </c>
      <c r="Z1185" t="s">
        <v>40</v>
      </c>
      <c r="AA1185" t="s">
        <v>63</v>
      </c>
    </row>
    <row r="1186" spans="1:28" x14ac:dyDescent="0.8">
      <c r="A1186">
        <v>1009</v>
      </c>
      <c r="B1186">
        <v>1365</v>
      </c>
      <c r="C1186" s="2">
        <v>44385</v>
      </c>
      <c r="D1186" t="s">
        <v>203</v>
      </c>
      <c r="E1186" t="s">
        <v>103</v>
      </c>
      <c r="F1186" t="s">
        <v>26</v>
      </c>
      <c r="G1186" t="s">
        <v>45</v>
      </c>
      <c r="H1186" t="s">
        <v>46</v>
      </c>
      <c r="I1186" t="s">
        <v>47</v>
      </c>
      <c r="J1186" t="s">
        <v>48</v>
      </c>
      <c r="K1186" t="s">
        <v>141</v>
      </c>
      <c r="L1186" t="s">
        <v>59</v>
      </c>
      <c r="M1186" t="s">
        <v>346</v>
      </c>
      <c r="N1186" t="s">
        <v>61</v>
      </c>
      <c r="O1186" t="s">
        <v>858</v>
      </c>
      <c r="P1186" t="s">
        <v>34</v>
      </c>
      <c r="Q1186" t="s">
        <v>859</v>
      </c>
      <c r="R1186" t="s">
        <v>860</v>
      </c>
      <c r="S1186" t="s">
        <v>220</v>
      </c>
      <c r="T1186" t="s">
        <v>861</v>
      </c>
      <c r="U1186" s="10" t="s">
        <v>1061</v>
      </c>
      <c r="V1186" s="10" t="s">
        <v>1099</v>
      </c>
      <c r="W1186" s="10" t="s">
        <v>1141</v>
      </c>
      <c r="X1186" s="10" t="s">
        <v>1059</v>
      </c>
      <c r="Y1186" t="s">
        <v>39</v>
      </c>
      <c r="Z1186" t="s">
        <v>40</v>
      </c>
      <c r="AA1186" t="s">
        <v>63</v>
      </c>
    </row>
    <row r="1187" spans="1:28" x14ac:dyDescent="0.8">
      <c r="A1187">
        <v>592</v>
      </c>
      <c r="B1187">
        <v>691</v>
      </c>
      <c r="C1187" s="2">
        <v>44384</v>
      </c>
      <c r="D1187" t="s">
        <v>151</v>
      </c>
      <c r="E1187" t="s">
        <v>150</v>
      </c>
      <c r="F1187" t="s">
        <v>26</v>
      </c>
      <c r="G1187" t="s">
        <v>27</v>
      </c>
      <c r="H1187" t="s">
        <v>114</v>
      </c>
      <c r="I1187" t="s">
        <v>115</v>
      </c>
      <c r="J1187" t="s">
        <v>116</v>
      </c>
      <c r="K1187" t="s">
        <v>307</v>
      </c>
      <c r="L1187" t="s">
        <v>308</v>
      </c>
      <c r="M1187" t="s">
        <v>309</v>
      </c>
      <c r="O1187" t="s">
        <v>862</v>
      </c>
      <c r="P1187" t="s">
        <v>34</v>
      </c>
      <c r="Q1187" t="s">
        <v>859</v>
      </c>
      <c r="R1187" t="s">
        <v>860</v>
      </c>
      <c r="S1187" t="s">
        <v>220</v>
      </c>
      <c r="T1187" t="s">
        <v>861</v>
      </c>
      <c r="U1187" s="10" t="s">
        <v>1061</v>
      </c>
      <c r="V1187" s="10" t="s">
        <v>1099</v>
      </c>
      <c r="W1187" s="10" t="s">
        <v>1141</v>
      </c>
      <c r="X1187" s="10" t="s">
        <v>1059</v>
      </c>
      <c r="Y1187" t="s">
        <v>39</v>
      </c>
      <c r="Z1187" t="s">
        <v>40</v>
      </c>
      <c r="AA1187" t="s">
        <v>63</v>
      </c>
    </row>
    <row r="1188" spans="1:28" x14ac:dyDescent="0.8">
      <c r="A1188">
        <v>1728</v>
      </c>
      <c r="B1188">
        <v>815</v>
      </c>
      <c r="C1188" s="2">
        <v>44384</v>
      </c>
      <c r="D1188" t="s">
        <v>151</v>
      </c>
      <c r="E1188" t="s">
        <v>150</v>
      </c>
      <c r="F1188" t="s">
        <v>26</v>
      </c>
      <c r="G1188" t="s">
        <v>45</v>
      </c>
      <c r="H1188" t="s">
        <v>68</v>
      </c>
      <c r="I1188" t="s">
        <v>69</v>
      </c>
      <c r="J1188" t="s">
        <v>70</v>
      </c>
      <c r="K1188" t="s">
        <v>71</v>
      </c>
      <c r="L1188" t="s">
        <v>72</v>
      </c>
      <c r="M1188" t="s">
        <v>73</v>
      </c>
      <c r="N1188" t="s">
        <v>61</v>
      </c>
      <c r="O1188" t="s">
        <v>862</v>
      </c>
      <c r="P1188" t="s">
        <v>34</v>
      </c>
      <c r="Q1188" t="s">
        <v>859</v>
      </c>
      <c r="R1188" t="s">
        <v>860</v>
      </c>
      <c r="S1188" t="s">
        <v>220</v>
      </c>
      <c r="T1188" t="s">
        <v>861</v>
      </c>
      <c r="U1188" s="10" t="s">
        <v>1061</v>
      </c>
      <c r="V1188" s="10" t="s">
        <v>1099</v>
      </c>
      <c r="W1188" s="10" t="s">
        <v>1141</v>
      </c>
      <c r="X1188" s="10" t="s">
        <v>1059</v>
      </c>
      <c r="Y1188" t="s">
        <v>39</v>
      </c>
      <c r="Z1188" t="s">
        <v>40</v>
      </c>
      <c r="AA1188" t="s">
        <v>41</v>
      </c>
      <c r="AB1188" t="s">
        <v>154</v>
      </c>
    </row>
    <row r="1189" spans="1:28" x14ac:dyDescent="0.8">
      <c r="A1189">
        <v>1083</v>
      </c>
      <c r="B1189">
        <v>1135</v>
      </c>
      <c r="C1189" s="2">
        <v>44387</v>
      </c>
      <c r="D1189" t="s">
        <v>54</v>
      </c>
      <c r="E1189" t="s">
        <v>25</v>
      </c>
      <c r="F1189" t="s">
        <v>26</v>
      </c>
      <c r="G1189" t="s">
        <v>45</v>
      </c>
      <c r="H1189" t="s">
        <v>155</v>
      </c>
      <c r="I1189" t="s">
        <v>69</v>
      </c>
      <c r="J1189" t="s">
        <v>156</v>
      </c>
      <c r="K1189" t="s">
        <v>157</v>
      </c>
      <c r="L1189" t="s">
        <v>158</v>
      </c>
      <c r="M1189" t="s">
        <v>159</v>
      </c>
      <c r="N1189" t="s">
        <v>61</v>
      </c>
      <c r="O1189" t="s">
        <v>733</v>
      </c>
      <c r="P1189" t="s">
        <v>34</v>
      </c>
      <c r="Q1189" t="s">
        <v>75</v>
      </c>
      <c r="R1189" t="s">
        <v>733</v>
      </c>
      <c r="S1189" t="s">
        <v>131</v>
      </c>
      <c r="T1189" t="s">
        <v>734</v>
      </c>
      <c r="U1189" s="10" t="s">
        <v>1064</v>
      </c>
      <c r="V1189" s="10" t="s">
        <v>1099</v>
      </c>
      <c r="W1189" s="10" t="s">
        <v>1066</v>
      </c>
      <c r="X1189" s="10" t="s">
        <v>1059</v>
      </c>
      <c r="Y1189" t="s">
        <v>39</v>
      </c>
      <c r="Z1189" t="s">
        <v>62</v>
      </c>
      <c r="AA1189" t="s">
        <v>63</v>
      </c>
    </row>
    <row r="1190" spans="1:28" x14ac:dyDescent="0.8">
      <c r="A1190">
        <v>1758</v>
      </c>
      <c r="B1190">
        <v>96</v>
      </c>
      <c r="C1190" s="2">
        <v>44384</v>
      </c>
      <c r="D1190" t="s">
        <v>24</v>
      </c>
      <c r="E1190" t="s">
        <v>63</v>
      </c>
      <c r="F1190" t="s">
        <v>26</v>
      </c>
      <c r="G1190" t="s">
        <v>45</v>
      </c>
      <c r="H1190" t="s">
        <v>68</v>
      </c>
      <c r="I1190" t="s">
        <v>69</v>
      </c>
      <c r="J1190" t="s">
        <v>70</v>
      </c>
      <c r="K1190" t="s">
        <v>71</v>
      </c>
      <c r="L1190" t="s">
        <v>72</v>
      </c>
      <c r="M1190" t="s">
        <v>73</v>
      </c>
      <c r="N1190" t="s">
        <v>61</v>
      </c>
      <c r="O1190" t="s">
        <v>243</v>
      </c>
      <c r="P1190" t="s">
        <v>85</v>
      </c>
      <c r="Q1190" t="s">
        <v>244</v>
      </c>
      <c r="R1190" t="s">
        <v>245</v>
      </c>
      <c r="S1190" t="s">
        <v>246</v>
      </c>
      <c r="T1190" t="s">
        <v>247</v>
      </c>
      <c r="U1190" s="10" t="s">
        <v>1061</v>
      </c>
      <c r="V1190" s="10" t="s">
        <v>1075</v>
      </c>
      <c r="W1190" s="10" t="s">
        <v>1075</v>
      </c>
      <c r="X1190" s="10" t="s">
        <v>1059</v>
      </c>
      <c r="Y1190" t="s">
        <v>39</v>
      </c>
      <c r="Z1190" t="s">
        <v>40</v>
      </c>
      <c r="AA1190" t="s">
        <v>41</v>
      </c>
    </row>
    <row r="1191" spans="1:28" x14ac:dyDescent="0.8">
      <c r="A1191">
        <v>1362</v>
      </c>
      <c r="B1191">
        <v>2426</v>
      </c>
      <c r="C1191" s="2">
        <v>44386</v>
      </c>
      <c r="D1191" t="s">
        <v>67</v>
      </c>
      <c r="E1191" t="s">
        <v>125</v>
      </c>
      <c r="F1191" t="s">
        <v>26</v>
      </c>
      <c r="G1191" t="s">
        <v>45</v>
      </c>
      <c r="H1191" t="s">
        <v>55</v>
      </c>
      <c r="I1191" t="s">
        <v>56</v>
      </c>
      <c r="J1191" t="s">
        <v>57</v>
      </c>
      <c r="K1191" t="s">
        <v>58</v>
      </c>
      <c r="L1191" t="s">
        <v>65</v>
      </c>
      <c r="M1191" t="s">
        <v>66</v>
      </c>
      <c r="N1191" t="s">
        <v>52</v>
      </c>
      <c r="O1191" t="s">
        <v>243</v>
      </c>
      <c r="P1191" t="s">
        <v>85</v>
      </c>
      <c r="Q1191" t="s">
        <v>244</v>
      </c>
      <c r="R1191" t="s">
        <v>245</v>
      </c>
      <c r="S1191" t="s">
        <v>246</v>
      </c>
      <c r="T1191" t="s">
        <v>247</v>
      </c>
      <c r="U1191" s="10" t="s">
        <v>1061</v>
      </c>
      <c r="V1191" s="10" t="s">
        <v>1075</v>
      </c>
      <c r="W1191" s="10" t="s">
        <v>1075</v>
      </c>
      <c r="X1191" s="10" t="s">
        <v>1059</v>
      </c>
      <c r="Y1191" t="s">
        <v>39</v>
      </c>
      <c r="Z1191" t="s">
        <v>40</v>
      </c>
      <c r="AA1191" t="s">
        <v>63</v>
      </c>
      <c r="AB1191" t="s">
        <v>248</v>
      </c>
    </row>
    <row r="1192" spans="1:28" x14ac:dyDescent="0.8">
      <c r="A1192" t="s">
        <v>52</v>
      </c>
      <c r="B1192">
        <v>45</v>
      </c>
      <c r="C1192" s="2">
        <v>44386</v>
      </c>
      <c r="D1192" t="s">
        <v>93</v>
      </c>
      <c r="E1192" t="s">
        <v>63</v>
      </c>
      <c r="F1192" t="s">
        <v>26</v>
      </c>
      <c r="G1192" t="s">
        <v>45</v>
      </c>
      <c r="H1192" t="s">
        <v>55</v>
      </c>
      <c r="I1192" t="s">
        <v>249</v>
      </c>
      <c r="J1192" t="s">
        <v>250</v>
      </c>
      <c r="K1192" t="s">
        <v>251</v>
      </c>
      <c r="L1192" t="s">
        <v>252</v>
      </c>
      <c r="M1192" t="s">
        <v>253</v>
      </c>
      <c r="N1192" t="s">
        <v>61</v>
      </c>
      <c r="O1192" t="s">
        <v>243</v>
      </c>
      <c r="P1192" t="s">
        <v>85</v>
      </c>
      <c r="Q1192" t="s">
        <v>244</v>
      </c>
      <c r="R1192" t="s">
        <v>245</v>
      </c>
      <c r="S1192" t="s">
        <v>246</v>
      </c>
      <c r="T1192" t="s">
        <v>247</v>
      </c>
      <c r="U1192" s="10" t="s">
        <v>1061</v>
      </c>
      <c r="V1192" s="10" t="s">
        <v>1075</v>
      </c>
      <c r="W1192" s="10" t="s">
        <v>1075</v>
      </c>
      <c r="X1192" s="10" t="s">
        <v>1059</v>
      </c>
      <c r="Y1192" t="s">
        <v>39</v>
      </c>
      <c r="Z1192" t="s">
        <v>40</v>
      </c>
      <c r="AA1192" t="s">
        <v>63</v>
      </c>
    </row>
    <row r="1193" spans="1:28" x14ac:dyDescent="0.8">
      <c r="A1193">
        <v>171</v>
      </c>
      <c r="B1193">
        <v>1257</v>
      </c>
      <c r="C1193" s="2">
        <v>44388</v>
      </c>
      <c r="D1193" t="s">
        <v>235</v>
      </c>
      <c r="E1193" t="s">
        <v>63</v>
      </c>
      <c r="F1193" t="s">
        <v>26</v>
      </c>
      <c r="G1193" t="s">
        <v>45</v>
      </c>
      <c r="H1193" t="s">
        <v>68</v>
      </c>
      <c r="I1193" t="s">
        <v>69</v>
      </c>
      <c r="J1193" t="s">
        <v>70</v>
      </c>
      <c r="K1193" t="s">
        <v>71</v>
      </c>
      <c r="L1193" t="s">
        <v>72</v>
      </c>
      <c r="M1193" t="s">
        <v>73</v>
      </c>
      <c r="N1193" t="s">
        <v>61</v>
      </c>
      <c r="O1193" t="s">
        <v>243</v>
      </c>
      <c r="P1193" t="s">
        <v>85</v>
      </c>
      <c r="Q1193" t="s">
        <v>244</v>
      </c>
      <c r="R1193" t="s">
        <v>245</v>
      </c>
      <c r="S1193" t="s">
        <v>246</v>
      </c>
      <c r="T1193" t="s">
        <v>247</v>
      </c>
      <c r="U1193" s="10" t="s">
        <v>1061</v>
      </c>
      <c r="V1193" s="10" t="s">
        <v>1075</v>
      </c>
      <c r="W1193" s="10" t="s">
        <v>1075</v>
      </c>
      <c r="X1193" s="10" t="s">
        <v>1059</v>
      </c>
      <c r="Y1193" t="s">
        <v>39</v>
      </c>
      <c r="Z1193" t="s">
        <v>40</v>
      </c>
      <c r="AA1193" t="s">
        <v>53</v>
      </c>
      <c r="AB1193" t="s">
        <v>226</v>
      </c>
    </row>
    <row r="1194" spans="1:28" x14ac:dyDescent="0.8">
      <c r="A1194">
        <v>1656</v>
      </c>
      <c r="B1194">
        <v>427</v>
      </c>
      <c r="C1194" s="2">
        <v>44388</v>
      </c>
      <c r="D1194" t="s">
        <v>235</v>
      </c>
      <c r="E1194" t="s">
        <v>63</v>
      </c>
      <c r="F1194" t="s">
        <v>26</v>
      </c>
      <c r="G1194" t="s">
        <v>45</v>
      </c>
      <c r="H1194" t="s">
        <v>68</v>
      </c>
      <c r="I1194" t="s">
        <v>69</v>
      </c>
      <c r="J1194" t="s">
        <v>70</v>
      </c>
      <c r="K1194" t="s">
        <v>71</v>
      </c>
      <c r="L1194" t="s">
        <v>72</v>
      </c>
      <c r="M1194" t="s">
        <v>73</v>
      </c>
      <c r="N1194" t="s">
        <v>61</v>
      </c>
      <c r="O1194" t="s">
        <v>243</v>
      </c>
      <c r="P1194" t="s">
        <v>85</v>
      </c>
      <c r="Q1194" t="s">
        <v>244</v>
      </c>
      <c r="R1194" t="s">
        <v>245</v>
      </c>
      <c r="S1194" t="s">
        <v>246</v>
      </c>
      <c r="T1194" t="s">
        <v>247</v>
      </c>
      <c r="U1194" s="10" t="s">
        <v>1061</v>
      </c>
      <c r="V1194" s="10" t="s">
        <v>1075</v>
      </c>
      <c r="W1194" s="10" t="s">
        <v>1075</v>
      </c>
      <c r="X1194" s="10" t="s">
        <v>1059</v>
      </c>
      <c r="Y1194" t="s">
        <v>39</v>
      </c>
      <c r="Z1194" t="s">
        <v>40</v>
      </c>
      <c r="AA1194" t="s">
        <v>41</v>
      </c>
    </row>
    <row r="1195" spans="1:28" x14ac:dyDescent="0.8">
      <c r="A1195">
        <v>522</v>
      </c>
      <c r="B1195">
        <v>62</v>
      </c>
      <c r="C1195" s="2">
        <v>44388</v>
      </c>
      <c r="D1195" t="s">
        <v>235</v>
      </c>
      <c r="E1195" t="s">
        <v>125</v>
      </c>
      <c r="F1195" t="s">
        <v>26</v>
      </c>
      <c r="G1195" t="s">
        <v>45</v>
      </c>
      <c r="H1195" t="s">
        <v>68</v>
      </c>
      <c r="I1195" t="s">
        <v>69</v>
      </c>
      <c r="J1195" t="s">
        <v>70</v>
      </c>
      <c r="K1195" t="s">
        <v>71</v>
      </c>
      <c r="L1195" t="s">
        <v>72</v>
      </c>
      <c r="M1195" t="s">
        <v>73</v>
      </c>
      <c r="N1195" t="s">
        <v>61</v>
      </c>
      <c r="O1195" t="s">
        <v>243</v>
      </c>
      <c r="P1195" t="s">
        <v>85</v>
      </c>
      <c r="Q1195" t="s">
        <v>244</v>
      </c>
      <c r="R1195" t="s">
        <v>245</v>
      </c>
      <c r="S1195" t="s">
        <v>246</v>
      </c>
      <c r="T1195" t="s">
        <v>247</v>
      </c>
      <c r="U1195" s="10" t="s">
        <v>1061</v>
      </c>
      <c r="V1195" s="10" t="s">
        <v>1075</v>
      </c>
      <c r="W1195" s="10" t="s">
        <v>1075</v>
      </c>
      <c r="X1195" s="10" t="s">
        <v>1059</v>
      </c>
      <c r="Y1195" t="s">
        <v>39</v>
      </c>
      <c r="Z1195" t="s">
        <v>40</v>
      </c>
      <c r="AA1195" t="s">
        <v>63</v>
      </c>
    </row>
    <row r="1196" spans="1:28" x14ac:dyDescent="0.8">
      <c r="A1196">
        <v>170</v>
      </c>
      <c r="B1196">
        <v>1256</v>
      </c>
      <c r="C1196" s="2">
        <v>44388</v>
      </c>
      <c r="D1196" t="s">
        <v>235</v>
      </c>
      <c r="E1196" t="s">
        <v>63</v>
      </c>
      <c r="F1196" t="s">
        <v>26</v>
      </c>
      <c r="G1196" t="s">
        <v>45</v>
      </c>
      <c r="H1196" t="s">
        <v>68</v>
      </c>
      <c r="I1196" t="s">
        <v>69</v>
      </c>
      <c r="J1196" t="s">
        <v>70</v>
      </c>
      <c r="K1196" t="s">
        <v>71</v>
      </c>
      <c r="L1196" t="s">
        <v>72</v>
      </c>
      <c r="M1196" t="s">
        <v>73</v>
      </c>
      <c r="N1196" t="s">
        <v>61</v>
      </c>
      <c r="O1196" t="s">
        <v>243</v>
      </c>
      <c r="P1196" t="s">
        <v>85</v>
      </c>
      <c r="Q1196" t="s">
        <v>244</v>
      </c>
      <c r="R1196" t="s">
        <v>245</v>
      </c>
      <c r="S1196" t="s">
        <v>246</v>
      </c>
      <c r="T1196" t="s">
        <v>247</v>
      </c>
      <c r="U1196" s="10" t="s">
        <v>1061</v>
      </c>
      <c r="V1196" s="10" t="s">
        <v>1075</v>
      </c>
      <c r="W1196" s="10" t="s">
        <v>1075</v>
      </c>
      <c r="X1196" s="10" t="s">
        <v>1059</v>
      </c>
      <c r="Y1196" t="s">
        <v>39</v>
      </c>
      <c r="Z1196" t="s">
        <v>40</v>
      </c>
      <c r="AA1196" t="s">
        <v>53</v>
      </c>
    </row>
    <row r="1197" spans="1:28" x14ac:dyDescent="0.8">
      <c r="A1197">
        <v>172</v>
      </c>
      <c r="B1197">
        <v>1258</v>
      </c>
      <c r="C1197" s="2">
        <v>44388</v>
      </c>
      <c r="D1197" t="s">
        <v>235</v>
      </c>
      <c r="E1197" t="s">
        <v>63</v>
      </c>
      <c r="F1197" t="s">
        <v>26</v>
      </c>
      <c r="G1197" t="s">
        <v>45</v>
      </c>
      <c r="H1197" t="s">
        <v>46</v>
      </c>
      <c r="I1197" t="s">
        <v>47</v>
      </c>
      <c r="J1197" t="s">
        <v>48</v>
      </c>
      <c r="K1197" t="s">
        <v>49</v>
      </c>
      <c r="L1197" t="s">
        <v>91</v>
      </c>
      <c r="M1197" t="s">
        <v>92</v>
      </c>
      <c r="N1197" t="s">
        <v>61</v>
      </c>
      <c r="O1197" t="s">
        <v>243</v>
      </c>
      <c r="P1197" t="s">
        <v>85</v>
      </c>
      <c r="Q1197" t="s">
        <v>244</v>
      </c>
      <c r="R1197" t="s">
        <v>245</v>
      </c>
      <c r="S1197" t="s">
        <v>246</v>
      </c>
      <c r="T1197" t="s">
        <v>247</v>
      </c>
      <c r="U1197" s="10" t="s">
        <v>1061</v>
      </c>
      <c r="V1197" s="10" t="s">
        <v>1075</v>
      </c>
      <c r="W1197" s="10" t="s">
        <v>1075</v>
      </c>
      <c r="X1197" s="10" t="s">
        <v>1059</v>
      </c>
      <c r="Y1197" t="s">
        <v>39</v>
      </c>
      <c r="Z1197" t="s">
        <v>40</v>
      </c>
      <c r="AA1197" t="s">
        <v>53</v>
      </c>
      <c r="AB1197" t="s">
        <v>222</v>
      </c>
    </row>
    <row r="1198" spans="1:28" x14ac:dyDescent="0.8">
      <c r="A1198">
        <v>980</v>
      </c>
      <c r="B1198">
        <v>1288</v>
      </c>
      <c r="C1198" s="2">
        <v>44385</v>
      </c>
      <c r="D1198" t="s">
        <v>203</v>
      </c>
      <c r="E1198" t="s">
        <v>63</v>
      </c>
      <c r="F1198" t="s">
        <v>26</v>
      </c>
      <c r="G1198" t="s">
        <v>27</v>
      </c>
      <c r="H1198" t="s">
        <v>114</v>
      </c>
      <c r="I1198" t="s">
        <v>115</v>
      </c>
      <c r="J1198" t="s">
        <v>116</v>
      </c>
      <c r="K1198" t="s">
        <v>117</v>
      </c>
      <c r="L1198" t="s">
        <v>195</v>
      </c>
      <c r="M1198" t="s">
        <v>196</v>
      </c>
      <c r="O1198" t="s">
        <v>243</v>
      </c>
      <c r="P1198" t="s">
        <v>85</v>
      </c>
      <c r="Q1198" t="s">
        <v>244</v>
      </c>
      <c r="R1198" t="s">
        <v>245</v>
      </c>
      <c r="S1198" t="s">
        <v>246</v>
      </c>
      <c r="T1198" t="s">
        <v>247</v>
      </c>
      <c r="U1198" s="10" t="s">
        <v>1061</v>
      </c>
      <c r="V1198" s="10" t="s">
        <v>1075</v>
      </c>
      <c r="W1198" s="10" t="s">
        <v>1075</v>
      </c>
      <c r="X1198" s="10" t="s">
        <v>1059</v>
      </c>
      <c r="Y1198" t="s">
        <v>39</v>
      </c>
      <c r="Z1198" t="s">
        <v>40</v>
      </c>
      <c r="AA1198" t="s">
        <v>63</v>
      </c>
    </row>
    <row r="1199" spans="1:28" x14ac:dyDescent="0.8">
      <c r="A1199">
        <v>1025</v>
      </c>
      <c r="B1199">
        <v>839</v>
      </c>
      <c r="C1199" s="2">
        <v>44385</v>
      </c>
      <c r="D1199" t="s">
        <v>203</v>
      </c>
      <c r="E1199" t="s">
        <v>63</v>
      </c>
      <c r="F1199" t="s">
        <v>26</v>
      </c>
      <c r="G1199" t="s">
        <v>45</v>
      </c>
      <c r="H1199" t="s">
        <v>68</v>
      </c>
      <c r="I1199" t="s">
        <v>69</v>
      </c>
      <c r="J1199" t="s">
        <v>70</v>
      </c>
      <c r="K1199" t="s">
        <v>71</v>
      </c>
      <c r="L1199" t="s">
        <v>72</v>
      </c>
      <c r="M1199" t="s">
        <v>73</v>
      </c>
      <c r="N1199" t="s">
        <v>61</v>
      </c>
      <c r="O1199" t="s">
        <v>243</v>
      </c>
      <c r="P1199" t="s">
        <v>85</v>
      </c>
      <c r="Q1199" t="s">
        <v>244</v>
      </c>
      <c r="R1199" t="s">
        <v>245</v>
      </c>
      <c r="S1199" t="s">
        <v>246</v>
      </c>
      <c r="T1199" t="s">
        <v>247</v>
      </c>
      <c r="U1199" s="10" t="s">
        <v>1061</v>
      </c>
      <c r="V1199" s="10" t="s">
        <v>1075</v>
      </c>
      <c r="W1199" s="10" t="s">
        <v>1075</v>
      </c>
      <c r="X1199" s="10" t="s">
        <v>1059</v>
      </c>
      <c r="Y1199" t="s">
        <v>39</v>
      </c>
      <c r="Z1199" t="s">
        <v>40</v>
      </c>
      <c r="AA1199" t="s">
        <v>63</v>
      </c>
    </row>
    <row r="1200" spans="1:28" x14ac:dyDescent="0.8">
      <c r="A1200">
        <v>1004</v>
      </c>
      <c r="B1200">
        <v>1360</v>
      </c>
      <c r="C1200" s="2">
        <v>44385</v>
      </c>
      <c r="D1200" t="s">
        <v>203</v>
      </c>
      <c r="E1200" t="s">
        <v>44</v>
      </c>
      <c r="F1200" t="s">
        <v>26</v>
      </c>
      <c r="G1200" t="s">
        <v>45</v>
      </c>
      <c r="H1200" t="s">
        <v>68</v>
      </c>
      <c r="I1200" t="s">
        <v>69</v>
      </c>
      <c r="J1200" t="s">
        <v>70</v>
      </c>
      <c r="K1200" t="s">
        <v>71</v>
      </c>
      <c r="L1200" t="s">
        <v>72</v>
      </c>
      <c r="M1200" t="s">
        <v>73</v>
      </c>
      <c r="N1200" t="s">
        <v>61</v>
      </c>
      <c r="O1200" t="s">
        <v>243</v>
      </c>
      <c r="P1200" t="s">
        <v>85</v>
      </c>
      <c r="Q1200" t="s">
        <v>244</v>
      </c>
      <c r="R1200" t="s">
        <v>245</v>
      </c>
      <c r="S1200" t="s">
        <v>246</v>
      </c>
      <c r="T1200" t="s">
        <v>247</v>
      </c>
      <c r="U1200" s="10" t="s">
        <v>1061</v>
      </c>
      <c r="V1200" s="10" t="s">
        <v>1075</v>
      </c>
      <c r="W1200" s="10" t="s">
        <v>1075</v>
      </c>
      <c r="X1200" s="10" t="s">
        <v>1059</v>
      </c>
      <c r="Y1200" t="s">
        <v>39</v>
      </c>
      <c r="Z1200" t="s">
        <v>40</v>
      </c>
      <c r="AA1200" t="s">
        <v>63</v>
      </c>
    </row>
    <row r="1201" spans="1:28" x14ac:dyDescent="0.8">
      <c r="A1201">
        <v>741</v>
      </c>
      <c r="B1201">
        <v>1222</v>
      </c>
      <c r="C1201" s="2">
        <v>44385</v>
      </c>
      <c r="D1201" t="s">
        <v>108</v>
      </c>
      <c r="E1201" t="s">
        <v>63</v>
      </c>
      <c r="F1201" t="s">
        <v>26</v>
      </c>
      <c r="G1201" t="s">
        <v>45</v>
      </c>
      <c r="H1201" t="s">
        <v>68</v>
      </c>
      <c r="I1201" t="s">
        <v>69</v>
      </c>
      <c r="J1201" t="s">
        <v>70</v>
      </c>
      <c r="K1201" t="s">
        <v>71</v>
      </c>
      <c r="L1201" t="s">
        <v>72</v>
      </c>
      <c r="M1201" t="s">
        <v>73</v>
      </c>
      <c r="N1201" t="s">
        <v>61</v>
      </c>
      <c r="O1201" t="s">
        <v>243</v>
      </c>
      <c r="P1201" t="s">
        <v>85</v>
      </c>
      <c r="Q1201" t="s">
        <v>244</v>
      </c>
      <c r="R1201" t="s">
        <v>245</v>
      </c>
      <c r="S1201" t="s">
        <v>246</v>
      </c>
      <c r="T1201" t="s">
        <v>247</v>
      </c>
      <c r="U1201" s="10" t="s">
        <v>1061</v>
      </c>
      <c r="V1201" s="10" t="s">
        <v>1075</v>
      </c>
      <c r="W1201" s="10" t="s">
        <v>1075</v>
      </c>
      <c r="X1201" s="10" t="s">
        <v>1059</v>
      </c>
      <c r="Y1201" t="s">
        <v>39</v>
      </c>
      <c r="Z1201" t="s">
        <v>40</v>
      </c>
      <c r="AA1201" t="s">
        <v>63</v>
      </c>
    </row>
    <row r="1202" spans="1:28" x14ac:dyDescent="0.8">
      <c r="A1202">
        <v>743</v>
      </c>
      <c r="B1202">
        <v>1224</v>
      </c>
      <c r="C1202" s="2">
        <v>44385</v>
      </c>
      <c r="D1202" t="s">
        <v>108</v>
      </c>
      <c r="E1202" t="s">
        <v>63</v>
      </c>
      <c r="F1202" t="s">
        <v>26</v>
      </c>
      <c r="G1202" t="s">
        <v>45</v>
      </c>
      <c r="H1202" t="s">
        <v>155</v>
      </c>
      <c r="I1202" t="s">
        <v>69</v>
      </c>
      <c r="J1202" t="s">
        <v>156</v>
      </c>
      <c r="K1202" t="s">
        <v>157</v>
      </c>
      <c r="L1202" t="s">
        <v>158</v>
      </c>
      <c r="M1202" t="s">
        <v>159</v>
      </c>
      <c r="N1202" t="s">
        <v>52</v>
      </c>
      <c r="O1202" t="s">
        <v>243</v>
      </c>
      <c r="P1202" t="s">
        <v>85</v>
      </c>
      <c r="Q1202" t="s">
        <v>244</v>
      </c>
      <c r="R1202" t="s">
        <v>245</v>
      </c>
      <c r="S1202" t="s">
        <v>246</v>
      </c>
      <c r="T1202" t="s">
        <v>247</v>
      </c>
      <c r="U1202" s="10" t="s">
        <v>1061</v>
      </c>
      <c r="V1202" s="10" t="s">
        <v>1075</v>
      </c>
      <c r="W1202" s="10" t="s">
        <v>1075</v>
      </c>
      <c r="X1202" s="10" t="s">
        <v>1059</v>
      </c>
      <c r="Y1202" t="s">
        <v>39</v>
      </c>
      <c r="Z1202" t="s">
        <v>40</v>
      </c>
      <c r="AA1202" t="s">
        <v>63</v>
      </c>
    </row>
    <row r="1203" spans="1:28" x14ac:dyDescent="0.8">
      <c r="A1203">
        <v>740</v>
      </c>
      <c r="B1203">
        <v>547</v>
      </c>
      <c r="C1203" s="2">
        <v>44385</v>
      </c>
      <c r="D1203" t="s">
        <v>108</v>
      </c>
      <c r="E1203" t="s">
        <v>63</v>
      </c>
      <c r="F1203" t="s">
        <v>26</v>
      </c>
      <c r="G1203" t="s">
        <v>45</v>
      </c>
      <c r="H1203" t="s">
        <v>155</v>
      </c>
      <c r="I1203" t="s">
        <v>69</v>
      </c>
      <c r="J1203" t="s">
        <v>156</v>
      </c>
      <c r="K1203" t="s">
        <v>157</v>
      </c>
      <c r="L1203" t="s">
        <v>158</v>
      </c>
      <c r="M1203" t="s">
        <v>159</v>
      </c>
      <c r="N1203" t="s">
        <v>52</v>
      </c>
      <c r="O1203" t="s">
        <v>243</v>
      </c>
      <c r="P1203" t="s">
        <v>85</v>
      </c>
      <c r="Q1203" t="s">
        <v>244</v>
      </c>
      <c r="R1203" t="s">
        <v>245</v>
      </c>
      <c r="S1203" t="s">
        <v>246</v>
      </c>
      <c r="T1203" t="s">
        <v>247</v>
      </c>
      <c r="U1203" s="10" t="s">
        <v>1061</v>
      </c>
      <c r="V1203" s="10" t="s">
        <v>1075</v>
      </c>
      <c r="W1203" s="10" t="s">
        <v>1075</v>
      </c>
      <c r="X1203" s="10" t="s">
        <v>1059</v>
      </c>
      <c r="Y1203" t="s">
        <v>39</v>
      </c>
      <c r="Z1203" t="s">
        <v>40</v>
      </c>
      <c r="AA1203" t="s">
        <v>63</v>
      </c>
    </row>
    <row r="1204" spans="1:28" x14ac:dyDescent="0.8">
      <c r="A1204">
        <v>692</v>
      </c>
      <c r="B1204">
        <v>1077</v>
      </c>
      <c r="C1204" s="2">
        <v>44385</v>
      </c>
      <c r="D1204" t="s">
        <v>133</v>
      </c>
      <c r="E1204" t="s">
        <v>103</v>
      </c>
      <c r="F1204" t="s">
        <v>26</v>
      </c>
      <c r="G1204" t="s">
        <v>45</v>
      </c>
      <c r="H1204" t="s">
        <v>68</v>
      </c>
      <c r="I1204" t="s">
        <v>69</v>
      </c>
      <c r="J1204" t="s">
        <v>70</v>
      </c>
      <c r="K1204" t="s">
        <v>71</v>
      </c>
      <c r="L1204" t="s">
        <v>72</v>
      </c>
      <c r="M1204" t="s">
        <v>73</v>
      </c>
      <c r="N1204" t="s">
        <v>61</v>
      </c>
      <c r="O1204" t="s">
        <v>243</v>
      </c>
      <c r="P1204" t="s">
        <v>85</v>
      </c>
      <c r="Q1204" t="s">
        <v>244</v>
      </c>
      <c r="R1204" t="s">
        <v>245</v>
      </c>
      <c r="S1204" t="s">
        <v>246</v>
      </c>
      <c r="T1204" t="s">
        <v>247</v>
      </c>
      <c r="U1204" s="10" t="s">
        <v>1061</v>
      </c>
      <c r="V1204" s="10" t="s">
        <v>1075</v>
      </c>
      <c r="W1204" s="10" t="s">
        <v>1075</v>
      </c>
      <c r="X1204" s="10" t="s">
        <v>1059</v>
      </c>
      <c r="Y1204" t="s">
        <v>39</v>
      </c>
      <c r="Z1204" t="s">
        <v>40</v>
      </c>
      <c r="AA1204" t="s">
        <v>63</v>
      </c>
    </row>
    <row r="1205" spans="1:28" x14ac:dyDescent="0.8">
      <c r="A1205">
        <v>710</v>
      </c>
      <c r="B1205">
        <v>1143</v>
      </c>
      <c r="C1205" s="2">
        <v>44385</v>
      </c>
      <c r="D1205" t="s">
        <v>133</v>
      </c>
      <c r="E1205" t="s">
        <v>63</v>
      </c>
      <c r="F1205" t="s">
        <v>26</v>
      </c>
      <c r="G1205" t="s">
        <v>94</v>
      </c>
      <c r="H1205" t="s">
        <v>95</v>
      </c>
      <c r="I1205" t="s">
        <v>236</v>
      </c>
      <c r="J1205" t="s">
        <v>237</v>
      </c>
      <c r="K1205" t="s">
        <v>238</v>
      </c>
      <c r="L1205" t="s">
        <v>239</v>
      </c>
      <c r="M1205" t="s">
        <v>240</v>
      </c>
      <c r="N1205" t="s">
        <v>101</v>
      </c>
      <c r="O1205" t="s">
        <v>243</v>
      </c>
      <c r="P1205" t="s">
        <v>85</v>
      </c>
      <c r="Q1205" t="s">
        <v>244</v>
      </c>
      <c r="R1205" t="s">
        <v>245</v>
      </c>
      <c r="S1205" t="s">
        <v>246</v>
      </c>
      <c r="T1205" t="s">
        <v>247</v>
      </c>
      <c r="U1205" s="10" t="s">
        <v>1061</v>
      </c>
      <c r="V1205" s="10" t="s">
        <v>1075</v>
      </c>
      <c r="W1205" s="10" t="s">
        <v>1075</v>
      </c>
      <c r="X1205" s="10" t="s">
        <v>1059</v>
      </c>
      <c r="Y1205" t="s">
        <v>39</v>
      </c>
      <c r="Z1205" t="s">
        <v>40</v>
      </c>
      <c r="AA1205" t="s">
        <v>63</v>
      </c>
    </row>
    <row r="1206" spans="1:28" x14ac:dyDescent="0.8">
      <c r="A1206">
        <v>209</v>
      </c>
      <c r="B1206">
        <v>960</v>
      </c>
      <c r="C1206" s="2">
        <v>44388</v>
      </c>
      <c r="D1206" t="s">
        <v>124</v>
      </c>
      <c r="E1206" t="s">
        <v>63</v>
      </c>
      <c r="F1206" t="s">
        <v>26</v>
      </c>
      <c r="G1206" t="s">
        <v>94</v>
      </c>
      <c r="H1206" t="s">
        <v>95</v>
      </c>
      <c r="I1206" t="s">
        <v>236</v>
      </c>
      <c r="J1206" t="s">
        <v>237</v>
      </c>
      <c r="K1206" t="s">
        <v>238</v>
      </c>
      <c r="L1206" t="s">
        <v>239</v>
      </c>
      <c r="M1206" t="s">
        <v>240</v>
      </c>
      <c r="N1206" t="s">
        <v>101</v>
      </c>
      <c r="O1206" t="s">
        <v>243</v>
      </c>
      <c r="P1206" t="s">
        <v>85</v>
      </c>
      <c r="Q1206" t="s">
        <v>244</v>
      </c>
      <c r="R1206" t="s">
        <v>245</v>
      </c>
      <c r="S1206" t="s">
        <v>246</v>
      </c>
      <c r="T1206" t="s">
        <v>247</v>
      </c>
      <c r="U1206" s="10" t="s">
        <v>1061</v>
      </c>
      <c r="V1206" s="10" t="s">
        <v>1075</v>
      </c>
      <c r="W1206" s="10" t="s">
        <v>1075</v>
      </c>
      <c r="X1206" s="10" t="s">
        <v>1059</v>
      </c>
      <c r="Y1206" t="s">
        <v>39</v>
      </c>
      <c r="Z1206" t="s">
        <v>40</v>
      </c>
      <c r="AA1206" t="s">
        <v>53</v>
      </c>
    </row>
    <row r="1207" spans="1:28" x14ac:dyDescent="0.8">
      <c r="A1207">
        <v>1485</v>
      </c>
      <c r="B1207">
        <v>2332</v>
      </c>
      <c r="C1207" s="2">
        <v>44388</v>
      </c>
      <c r="D1207" t="s">
        <v>134</v>
      </c>
      <c r="E1207" t="s">
        <v>125</v>
      </c>
      <c r="F1207" t="s">
        <v>26</v>
      </c>
      <c r="G1207" t="s">
        <v>45</v>
      </c>
      <c r="H1207" t="s">
        <v>68</v>
      </c>
      <c r="I1207" t="s">
        <v>69</v>
      </c>
      <c r="J1207" t="s">
        <v>70</v>
      </c>
      <c r="K1207" t="s">
        <v>71</v>
      </c>
      <c r="L1207" t="s">
        <v>72</v>
      </c>
      <c r="M1207" t="s">
        <v>73</v>
      </c>
      <c r="N1207" t="s">
        <v>61</v>
      </c>
      <c r="O1207" t="s">
        <v>254</v>
      </c>
      <c r="P1207" t="s">
        <v>85</v>
      </c>
      <c r="Q1207" t="s">
        <v>244</v>
      </c>
      <c r="R1207" t="s">
        <v>245</v>
      </c>
      <c r="S1207" t="s">
        <v>255</v>
      </c>
      <c r="T1207" t="s">
        <v>256</v>
      </c>
      <c r="U1207" s="10" t="s">
        <v>1061</v>
      </c>
      <c r="V1207" s="10" t="s">
        <v>1075</v>
      </c>
      <c r="W1207" s="10" t="s">
        <v>1075</v>
      </c>
      <c r="X1207" s="10" t="s">
        <v>1059</v>
      </c>
      <c r="Y1207" t="s">
        <v>39</v>
      </c>
      <c r="Z1207" t="s">
        <v>40</v>
      </c>
      <c r="AA1207" t="s">
        <v>63</v>
      </c>
    </row>
    <row r="1208" spans="1:28" x14ac:dyDescent="0.8">
      <c r="A1208">
        <v>1477</v>
      </c>
      <c r="B1208">
        <v>2324</v>
      </c>
      <c r="C1208" s="2">
        <v>44388</v>
      </c>
      <c r="D1208" t="s">
        <v>134</v>
      </c>
      <c r="E1208" t="s">
        <v>125</v>
      </c>
      <c r="F1208" t="s">
        <v>26</v>
      </c>
      <c r="G1208" t="s">
        <v>45</v>
      </c>
      <c r="H1208" t="s">
        <v>68</v>
      </c>
      <c r="I1208" t="s">
        <v>69</v>
      </c>
      <c r="J1208" t="s">
        <v>70</v>
      </c>
      <c r="K1208" t="s">
        <v>71</v>
      </c>
      <c r="L1208" t="s">
        <v>72</v>
      </c>
      <c r="M1208" t="s">
        <v>73</v>
      </c>
      <c r="N1208" t="s">
        <v>61</v>
      </c>
      <c r="O1208" t="s">
        <v>254</v>
      </c>
      <c r="P1208" t="s">
        <v>85</v>
      </c>
      <c r="Q1208" t="s">
        <v>244</v>
      </c>
      <c r="R1208" t="s">
        <v>245</v>
      </c>
      <c r="S1208" t="s">
        <v>255</v>
      </c>
      <c r="T1208" t="s">
        <v>256</v>
      </c>
      <c r="U1208" s="10" t="s">
        <v>1061</v>
      </c>
      <c r="V1208" s="10" t="s">
        <v>1075</v>
      </c>
      <c r="W1208" s="10" t="s">
        <v>1075</v>
      </c>
      <c r="X1208" s="10" t="s">
        <v>1059</v>
      </c>
      <c r="Y1208" t="s">
        <v>39</v>
      </c>
      <c r="Z1208" t="s">
        <v>40</v>
      </c>
      <c r="AA1208" t="s">
        <v>63</v>
      </c>
    </row>
    <row r="1209" spans="1:28" x14ac:dyDescent="0.8">
      <c r="A1209">
        <v>1443</v>
      </c>
      <c r="B1209">
        <v>2240</v>
      </c>
      <c r="C1209" s="2">
        <v>44388</v>
      </c>
      <c r="D1209" t="s">
        <v>134</v>
      </c>
      <c r="E1209" t="s">
        <v>125</v>
      </c>
      <c r="F1209" t="s">
        <v>26</v>
      </c>
      <c r="G1209" t="s">
        <v>45</v>
      </c>
      <c r="H1209" t="s">
        <v>68</v>
      </c>
      <c r="I1209" t="s">
        <v>69</v>
      </c>
      <c r="J1209" t="s">
        <v>70</v>
      </c>
      <c r="K1209" t="s">
        <v>71</v>
      </c>
      <c r="L1209" t="s">
        <v>72</v>
      </c>
      <c r="M1209" t="s">
        <v>73</v>
      </c>
      <c r="N1209" t="s">
        <v>61</v>
      </c>
      <c r="O1209" t="s">
        <v>254</v>
      </c>
      <c r="P1209" t="s">
        <v>85</v>
      </c>
      <c r="Q1209" t="s">
        <v>244</v>
      </c>
      <c r="R1209" t="s">
        <v>245</v>
      </c>
      <c r="S1209" t="s">
        <v>255</v>
      </c>
      <c r="T1209" t="s">
        <v>256</v>
      </c>
      <c r="U1209" s="10" t="s">
        <v>1061</v>
      </c>
      <c r="V1209" s="10" t="s">
        <v>1075</v>
      </c>
      <c r="W1209" s="10" t="s">
        <v>1075</v>
      </c>
      <c r="X1209" s="10" t="s">
        <v>1059</v>
      </c>
      <c r="Y1209" t="s">
        <v>140</v>
      </c>
      <c r="Z1209" t="s">
        <v>40</v>
      </c>
      <c r="AA1209" t="s">
        <v>63</v>
      </c>
    </row>
    <row r="1210" spans="1:28" x14ac:dyDescent="0.8">
      <c r="A1210">
        <v>605</v>
      </c>
      <c r="B1210">
        <v>704</v>
      </c>
      <c r="C1210" s="2">
        <v>44384</v>
      </c>
      <c r="D1210" t="s">
        <v>24</v>
      </c>
      <c r="E1210" t="s">
        <v>63</v>
      </c>
      <c r="F1210" t="s">
        <v>26</v>
      </c>
      <c r="G1210" t="s">
        <v>27</v>
      </c>
      <c r="H1210" t="s">
        <v>114</v>
      </c>
      <c r="I1210" t="s">
        <v>115</v>
      </c>
      <c r="J1210" t="s">
        <v>116</v>
      </c>
      <c r="K1210" t="s">
        <v>257</v>
      </c>
      <c r="L1210" t="s">
        <v>258</v>
      </c>
      <c r="M1210" t="s">
        <v>259</v>
      </c>
      <c r="O1210" t="s">
        <v>260</v>
      </c>
      <c r="P1210" t="s">
        <v>85</v>
      </c>
      <c r="Q1210" t="s">
        <v>244</v>
      </c>
      <c r="R1210" t="s">
        <v>245</v>
      </c>
      <c r="S1210" t="s">
        <v>261</v>
      </c>
      <c r="T1210" t="s">
        <v>262</v>
      </c>
      <c r="U1210" s="10" t="s">
        <v>1061</v>
      </c>
      <c r="V1210" s="10" t="s">
        <v>1075</v>
      </c>
      <c r="W1210" s="10" t="s">
        <v>1075</v>
      </c>
      <c r="X1210" s="10" t="s">
        <v>1059</v>
      </c>
      <c r="Y1210" t="s">
        <v>39</v>
      </c>
      <c r="Z1210" t="s">
        <v>40</v>
      </c>
      <c r="AA1210" t="s">
        <v>63</v>
      </c>
    </row>
    <row r="1211" spans="1:28" x14ac:dyDescent="0.8">
      <c r="A1211">
        <v>250</v>
      </c>
      <c r="B1211">
        <v>1301</v>
      </c>
      <c r="C1211" s="2">
        <v>44384</v>
      </c>
      <c r="D1211" t="s">
        <v>24</v>
      </c>
      <c r="E1211" t="s">
        <v>150</v>
      </c>
      <c r="F1211" t="s">
        <v>26</v>
      </c>
      <c r="G1211" t="s">
        <v>45</v>
      </c>
      <c r="H1211" t="s">
        <v>68</v>
      </c>
      <c r="I1211" t="s">
        <v>69</v>
      </c>
      <c r="J1211" t="s">
        <v>70</v>
      </c>
      <c r="K1211" t="s">
        <v>71</v>
      </c>
      <c r="L1211" t="s">
        <v>72</v>
      </c>
      <c r="M1211" t="s">
        <v>73</v>
      </c>
      <c r="N1211" t="s">
        <v>61</v>
      </c>
      <c r="O1211" t="s">
        <v>260</v>
      </c>
      <c r="P1211" t="s">
        <v>85</v>
      </c>
      <c r="Q1211" t="s">
        <v>244</v>
      </c>
      <c r="R1211" t="s">
        <v>245</v>
      </c>
      <c r="S1211" t="s">
        <v>261</v>
      </c>
      <c r="T1211" t="s">
        <v>262</v>
      </c>
      <c r="U1211" s="10" t="s">
        <v>1061</v>
      </c>
      <c r="V1211" s="10" t="s">
        <v>1075</v>
      </c>
      <c r="W1211" s="10" t="s">
        <v>1075</v>
      </c>
      <c r="X1211" s="10" t="s">
        <v>1059</v>
      </c>
      <c r="Y1211" t="s">
        <v>39</v>
      </c>
      <c r="Z1211" t="s">
        <v>40</v>
      </c>
      <c r="AA1211" t="s">
        <v>53</v>
      </c>
      <c r="AB1211" t="s">
        <v>241</v>
      </c>
    </row>
    <row r="1212" spans="1:28" x14ac:dyDescent="0.8">
      <c r="A1212">
        <v>1748</v>
      </c>
      <c r="B1212">
        <v>835</v>
      </c>
      <c r="C1212" s="2">
        <v>44384</v>
      </c>
      <c r="D1212" t="s">
        <v>24</v>
      </c>
      <c r="E1212" t="s">
        <v>125</v>
      </c>
      <c r="F1212" t="s">
        <v>26</v>
      </c>
      <c r="G1212" t="s">
        <v>45</v>
      </c>
      <c r="H1212" t="s">
        <v>68</v>
      </c>
      <c r="I1212" t="s">
        <v>69</v>
      </c>
      <c r="J1212" t="s">
        <v>70</v>
      </c>
      <c r="K1212" t="s">
        <v>71</v>
      </c>
      <c r="L1212" t="s">
        <v>72</v>
      </c>
      <c r="M1212" t="s">
        <v>73</v>
      </c>
      <c r="N1212" t="s">
        <v>61</v>
      </c>
      <c r="O1212" t="s">
        <v>260</v>
      </c>
      <c r="P1212" t="s">
        <v>85</v>
      </c>
      <c r="Q1212" t="s">
        <v>244</v>
      </c>
      <c r="R1212" t="s">
        <v>245</v>
      </c>
      <c r="S1212" t="s">
        <v>261</v>
      </c>
      <c r="T1212" t="s">
        <v>262</v>
      </c>
      <c r="U1212" s="10" t="s">
        <v>1061</v>
      </c>
      <c r="V1212" s="10" t="s">
        <v>1075</v>
      </c>
      <c r="W1212" s="10" t="s">
        <v>1075</v>
      </c>
      <c r="X1212" s="10" t="s">
        <v>1059</v>
      </c>
      <c r="Y1212" t="s">
        <v>39</v>
      </c>
      <c r="Z1212" t="s">
        <v>40</v>
      </c>
      <c r="AA1212" t="s">
        <v>41</v>
      </c>
    </row>
    <row r="1213" spans="1:28" x14ac:dyDescent="0.8">
      <c r="A1213">
        <v>1747</v>
      </c>
      <c r="B1213">
        <v>834</v>
      </c>
      <c r="C1213" s="2">
        <v>44384</v>
      </c>
      <c r="D1213" t="s">
        <v>24</v>
      </c>
      <c r="E1213" t="s">
        <v>125</v>
      </c>
      <c r="F1213" t="s">
        <v>26</v>
      </c>
      <c r="G1213" t="s">
        <v>45</v>
      </c>
      <c r="H1213" t="s">
        <v>46</v>
      </c>
      <c r="I1213" t="s">
        <v>47</v>
      </c>
      <c r="J1213" t="s">
        <v>48</v>
      </c>
      <c r="K1213" t="s">
        <v>49</v>
      </c>
      <c r="L1213" t="s">
        <v>91</v>
      </c>
      <c r="M1213" t="s">
        <v>92</v>
      </c>
      <c r="N1213" t="s">
        <v>61</v>
      </c>
      <c r="O1213" t="s">
        <v>260</v>
      </c>
      <c r="P1213" t="s">
        <v>85</v>
      </c>
      <c r="Q1213" t="s">
        <v>244</v>
      </c>
      <c r="R1213" t="s">
        <v>245</v>
      </c>
      <c r="S1213" t="s">
        <v>261</v>
      </c>
      <c r="T1213" t="s">
        <v>262</v>
      </c>
      <c r="U1213" s="10" t="s">
        <v>1061</v>
      </c>
      <c r="V1213" s="10" t="s">
        <v>1075</v>
      </c>
      <c r="W1213" s="10" t="s">
        <v>1075</v>
      </c>
      <c r="X1213" s="10" t="s">
        <v>1059</v>
      </c>
      <c r="Y1213" t="s">
        <v>39</v>
      </c>
      <c r="Z1213" t="s">
        <v>40</v>
      </c>
      <c r="AA1213" t="s">
        <v>41</v>
      </c>
    </row>
    <row r="1214" spans="1:28" x14ac:dyDescent="0.8">
      <c r="A1214">
        <v>603</v>
      </c>
      <c r="B1214">
        <v>702</v>
      </c>
      <c r="C1214" s="2">
        <v>44384</v>
      </c>
      <c r="D1214" t="s">
        <v>24</v>
      </c>
      <c r="E1214" t="s">
        <v>63</v>
      </c>
      <c r="F1214" t="s">
        <v>26</v>
      </c>
      <c r="G1214" t="s">
        <v>94</v>
      </c>
      <c r="H1214" t="s">
        <v>95</v>
      </c>
      <c r="I1214" t="s">
        <v>236</v>
      </c>
      <c r="J1214" t="s">
        <v>237</v>
      </c>
      <c r="K1214" t="s">
        <v>238</v>
      </c>
      <c r="L1214" t="s">
        <v>239</v>
      </c>
      <c r="M1214" t="s">
        <v>240</v>
      </c>
      <c r="N1214" t="s">
        <v>263</v>
      </c>
      <c r="O1214" t="s">
        <v>264</v>
      </c>
      <c r="P1214" t="s">
        <v>85</v>
      </c>
      <c r="Q1214" t="s">
        <v>244</v>
      </c>
      <c r="R1214" t="s">
        <v>245</v>
      </c>
      <c r="S1214" t="s">
        <v>261</v>
      </c>
      <c r="T1214" t="s">
        <v>262</v>
      </c>
      <c r="U1214" s="10" t="s">
        <v>1061</v>
      </c>
      <c r="V1214" s="10" t="s">
        <v>1075</v>
      </c>
      <c r="W1214" s="10" t="s">
        <v>1075</v>
      </c>
      <c r="X1214" s="10" t="s">
        <v>1059</v>
      </c>
      <c r="Y1214" t="s">
        <v>39</v>
      </c>
      <c r="Z1214" t="s">
        <v>40</v>
      </c>
      <c r="AA1214" t="s">
        <v>63</v>
      </c>
    </row>
    <row r="1215" spans="1:28" x14ac:dyDescent="0.8">
      <c r="A1215">
        <v>153</v>
      </c>
      <c r="B1215">
        <v>1169</v>
      </c>
      <c r="C1215" s="2">
        <v>44388</v>
      </c>
      <c r="D1215" t="s">
        <v>235</v>
      </c>
      <c r="E1215" t="s">
        <v>63</v>
      </c>
      <c r="F1215" t="s">
        <v>26</v>
      </c>
      <c r="G1215" t="s">
        <v>45</v>
      </c>
      <c r="H1215" t="s">
        <v>68</v>
      </c>
      <c r="I1215" t="s">
        <v>69</v>
      </c>
      <c r="J1215" t="s">
        <v>70</v>
      </c>
      <c r="K1215" t="s">
        <v>71</v>
      </c>
      <c r="L1215" t="s">
        <v>72</v>
      </c>
      <c r="M1215" t="s">
        <v>73</v>
      </c>
      <c r="N1215" t="s">
        <v>61</v>
      </c>
      <c r="O1215" t="s">
        <v>260</v>
      </c>
      <c r="P1215" t="s">
        <v>85</v>
      </c>
      <c r="Q1215" t="s">
        <v>244</v>
      </c>
      <c r="R1215" t="s">
        <v>245</v>
      </c>
      <c r="S1215" t="s">
        <v>261</v>
      </c>
      <c r="T1215" t="s">
        <v>262</v>
      </c>
      <c r="U1215" s="10" t="s">
        <v>1061</v>
      </c>
      <c r="V1215" s="10" t="s">
        <v>1075</v>
      </c>
      <c r="W1215" s="10" t="s">
        <v>1075</v>
      </c>
      <c r="X1215" s="10" t="s">
        <v>1059</v>
      </c>
      <c r="Y1215" t="s">
        <v>140</v>
      </c>
      <c r="Z1215" t="s">
        <v>40</v>
      </c>
      <c r="AA1215" t="s">
        <v>53</v>
      </c>
    </row>
    <row r="1216" spans="1:28" x14ac:dyDescent="0.8">
      <c r="A1216">
        <v>151</v>
      </c>
      <c r="B1216">
        <v>1167</v>
      </c>
      <c r="C1216" s="2">
        <v>44388</v>
      </c>
      <c r="D1216" t="s">
        <v>235</v>
      </c>
      <c r="E1216" t="s">
        <v>63</v>
      </c>
      <c r="F1216" t="s">
        <v>26</v>
      </c>
      <c r="G1216" t="s">
        <v>45</v>
      </c>
      <c r="H1216" t="s">
        <v>68</v>
      </c>
      <c r="I1216" t="s">
        <v>69</v>
      </c>
      <c r="J1216" t="s">
        <v>70</v>
      </c>
      <c r="K1216" t="s">
        <v>71</v>
      </c>
      <c r="L1216" t="s">
        <v>72</v>
      </c>
      <c r="M1216" t="s">
        <v>73</v>
      </c>
      <c r="N1216" t="s">
        <v>61</v>
      </c>
      <c r="O1216" t="s">
        <v>260</v>
      </c>
      <c r="P1216" t="s">
        <v>85</v>
      </c>
      <c r="Q1216" t="s">
        <v>244</v>
      </c>
      <c r="R1216" t="s">
        <v>245</v>
      </c>
      <c r="S1216" t="s">
        <v>261</v>
      </c>
      <c r="T1216" t="s">
        <v>262</v>
      </c>
      <c r="U1216" s="10" t="s">
        <v>1061</v>
      </c>
      <c r="V1216" s="10" t="s">
        <v>1075</v>
      </c>
      <c r="W1216" s="10" t="s">
        <v>1075</v>
      </c>
      <c r="X1216" s="10" t="s">
        <v>1059</v>
      </c>
      <c r="Y1216" t="s">
        <v>140</v>
      </c>
      <c r="Z1216" t="s">
        <v>40</v>
      </c>
      <c r="AA1216" t="s">
        <v>53</v>
      </c>
    </row>
    <row r="1217" spans="1:28" x14ac:dyDescent="0.8">
      <c r="A1217">
        <v>1572</v>
      </c>
      <c r="B1217">
        <v>317</v>
      </c>
      <c r="C1217" s="2">
        <v>44388</v>
      </c>
      <c r="D1217" t="s">
        <v>235</v>
      </c>
      <c r="E1217" t="s">
        <v>53</v>
      </c>
      <c r="F1217" t="s">
        <v>26</v>
      </c>
      <c r="G1217" t="s">
        <v>45</v>
      </c>
      <c r="H1217" t="s">
        <v>68</v>
      </c>
      <c r="I1217" t="s">
        <v>69</v>
      </c>
      <c r="J1217" t="s">
        <v>70</v>
      </c>
      <c r="K1217" t="s">
        <v>71</v>
      </c>
      <c r="L1217" t="s">
        <v>72</v>
      </c>
      <c r="M1217" t="s">
        <v>73</v>
      </c>
      <c r="N1217" t="s">
        <v>61</v>
      </c>
      <c r="O1217" t="s">
        <v>265</v>
      </c>
      <c r="P1217" t="s">
        <v>85</v>
      </c>
      <c r="Q1217" t="s">
        <v>244</v>
      </c>
      <c r="R1217" t="s">
        <v>245</v>
      </c>
      <c r="S1217" t="s">
        <v>261</v>
      </c>
      <c r="T1217" t="s">
        <v>262</v>
      </c>
      <c r="U1217" s="10" t="s">
        <v>1061</v>
      </c>
      <c r="V1217" s="10" t="s">
        <v>1075</v>
      </c>
      <c r="W1217" s="10" t="s">
        <v>1075</v>
      </c>
      <c r="X1217" s="10" t="s">
        <v>1059</v>
      </c>
      <c r="Y1217" t="s">
        <v>140</v>
      </c>
      <c r="Z1217" t="s">
        <v>40</v>
      </c>
      <c r="AA1217" t="s">
        <v>125</v>
      </c>
    </row>
    <row r="1218" spans="1:28" x14ac:dyDescent="0.8">
      <c r="A1218">
        <v>1296</v>
      </c>
      <c r="B1218">
        <v>1993</v>
      </c>
      <c r="C1218" s="2">
        <v>44385</v>
      </c>
      <c r="D1218" t="s">
        <v>104</v>
      </c>
      <c r="E1218" t="s">
        <v>103</v>
      </c>
      <c r="F1218" t="s">
        <v>26</v>
      </c>
      <c r="G1218" t="s">
        <v>45</v>
      </c>
      <c r="H1218" t="s">
        <v>46</v>
      </c>
      <c r="I1218" t="s">
        <v>47</v>
      </c>
      <c r="J1218" t="s">
        <v>48</v>
      </c>
      <c r="K1218" t="s">
        <v>141</v>
      </c>
      <c r="L1218" t="s">
        <v>142</v>
      </c>
      <c r="M1218" t="s">
        <v>143</v>
      </c>
      <c r="N1218" t="s">
        <v>61</v>
      </c>
      <c r="O1218" t="s">
        <v>266</v>
      </c>
      <c r="P1218" t="s">
        <v>85</v>
      </c>
      <c r="Q1218" t="s">
        <v>244</v>
      </c>
      <c r="R1218" t="s">
        <v>245</v>
      </c>
      <c r="S1218" t="s">
        <v>261</v>
      </c>
      <c r="T1218" t="s">
        <v>262</v>
      </c>
      <c r="U1218" s="10" t="s">
        <v>1061</v>
      </c>
      <c r="V1218" s="10" t="s">
        <v>1075</v>
      </c>
      <c r="W1218" s="10" t="s">
        <v>1075</v>
      </c>
      <c r="X1218" s="10" t="s">
        <v>1059</v>
      </c>
      <c r="Y1218" t="s">
        <v>39</v>
      </c>
      <c r="Z1218" t="s">
        <v>40</v>
      </c>
      <c r="AA1218" t="s">
        <v>63</v>
      </c>
    </row>
    <row r="1219" spans="1:28" x14ac:dyDescent="0.8">
      <c r="A1219">
        <v>720</v>
      </c>
      <c r="B1219">
        <v>1153</v>
      </c>
      <c r="C1219" s="2">
        <v>44385</v>
      </c>
      <c r="D1219" t="s">
        <v>133</v>
      </c>
      <c r="E1219" t="s">
        <v>25</v>
      </c>
      <c r="F1219" t="s">
        <v>26</v>
      </c>
      <c r="G1219" t="s">
        <v>45</v>
      </c>
      <c r="H1219" t="s">
        <v>68</v>
      </c>
      <c r="I1219" t="s">
        <v>69</v>
      </c>
      <c r="J1219" t="s">
        <v>70</v>
      </c>
      <c r="K1219" t="s">
        <v>71</v>
      </c>
      <c r="L1219" t="s">
        <v>72</v>
      </c>
      <c r="M1219" t="s">
        <v>73</v>
      </c>
      <c r="N1219" t="s">
        <v>61</v>
      </c>
      <c r="O1219" t="s">
        <v>260</v>
      </c>
      <c r="P1219" t="s">
        <v>85</v>
      </c>
      <c r="Q1219" t="s">
        <v>244</v>
      </c>
      <c r="R1219" t="s">
        <v>245</v>
      </c>
      <c r="S1219" t="s">
        <v>261</v>
      </c>
      <c r="T1219" t="s">
        <v>262</v>
      </c>
      <c r="U1219" s="10" t="s">
        <v>1061</v>
      </c>
      <c r="V1219" s="10" t="s">
        <v>1075</v>
      </c>
      <c r="W1219" s="10" t="s">
        <v>1075</v>
      </c>
      <c r="X1219" s="10" t="s">
        <v>1059</v>
      </c>
      <c r="Y1219" t="s">
        <v>39</v>
      </c>
      <c r="Z1219" t="s">
        <v>62</v>
      </c>
      <c r="AA1219" t="s">
        <v>63</v>
      </c>
    </row>
    <row r="1220" spans="1:28" x14ac:dyDescent="0.8">
      <c r="A1220">
        <v>686</v>
      </c>
      <c r="B1220">
        <v>1071</v>
      </c>
      <c r="C1220" s="2">
        <v>44385</v>
      </c>
      <c r="D1220" t="s">
        <v>133</v>
      </c>
      <c r="E1220" t="s">
        <v>103</v>
      </c>
      <c r="F1220" t="s">
        <v>26</v>
      </c>
      <c r="G1220" t="s">
        <v>45</v>
      </c>
      <c r="H1220" t="s">
        <v>68</v>
      </c>
      <c r="I1220" t="s">
        <v>69</v>
      </c>
      <c r="J1220" t="s">
        <v>70</v>
      </c>
      <c r="K1220" t="s">
        <v>71</v>
      </c>
      <c r="L1220" t="s">
        <v>72</v>
      </c>
      <c r="M1220" t="s">
        <v>73</v>
      </c>
      <c r="N1220" t="s">
        <v>61</v>
      </c>
      <c r="O1220" t="s">
        <v>260</v>
      </c>
      <c r="P1220" t="s">
        <v>85</v>
      </c>
      <c r="Q1220" t="s">
        <v>244</v>
      </c>
      <c r="R1220" t="s">
        <v>245</v>
      </c>
      <c r="S1220" t="s">
        <v>261</v>
      </c>
      <c r="T1220" t="s">
        <v>262</v>
      </c>
      <c r="U1220" s="10" t="s">
        <v>1061</v>
      </c>
      <c r="V1220" s="10" t="s">
        <v>1075</v>
      </c>
      <c r="W1220" s="10" t="s">
        <v>1075</v>
      </c>
      <c r="X1220" s="10" t="s">
        <v>1059</v>
      </c>
      <c r="Y1220" t="s">
        <v>39</v>
      </c>
      <c r="Z1220" t="s">
        <v>40</v>
      </c>
      <c r="AA1220" t="s">
        <v>63</v>
      </c>
    </row>
    <row r="1221" spans="1:28" x14ac:dyDescent="0.8">
      <c r="A1221">
        <v>185</v>
      </c>
      <c r="B1221">
        <v>1341</v>
      </c>
      <c r="C1221" s="2">
        <v>44388</v>
      </c>
      <c r="D1221" t="s">
        <v>124</v>
      </c>
      <c r="E1221" t="s">
        <v>125</v>
      </c>
      <c r="F1221" t="s">
        <v>26</v>
      </c>
      <c r="G1221" t="s">
        <v>45</v>
      </c>
      <c r="H1221" t="s">
        <v>68</v>
      </c>
      <c r="I1221" t="s">
        <v>69</v>
      </c>
      <c r="J1221" t="s">
        <v>70</v>
      </c>
      <c r="K1221" t="s">
        <v>71</v>
      </c>
      <c r="L1221" t="s">
        <v>72</v>
      </c>
      <c r="M1221" t="s">
        <v>73</v>
      </c>
      <c r="N1221" t="s">
        <v>61</v>
      </c>
      <c r="O1221" t="s">
        <v>260</v>
      </c>
      <c r="P1221" t="s">
        <v>85</v>
      </c>
      <c r="Q1221" t="s">
        <v>244</v>
      </c>
      <c r="R1221" t="s">
        <v>245</v>
      </c>
      <c r="S1221" t="s">
        <v>261</v>
      </c>
      <c r="T1221" t="s">
        <v>262</v>
      </c>
      <c r="U1221" s="10" t="s">
        <v>1061</v>
      </c>
      <c r="V1221" s="10" t="s">
        <v>1075</v>
      </c>
      <c r="W1221" s="10" t="s">
        <v>1075</v>
      </c>
      <c r="X1221" s="10" t="s">
        <v>1059</v>
      </c>
      <c r="Y1221" t="s">
        <v>140</v>
      </c>
      <c r="Z1221" t="s">
        <v>40</v>
      </c>
      <c r="AA1221" t="s">
        <v>53</v>
      </c>
      <c r="AB1221" t="s">
        <v>241</v>
      </c>
    </row>
    <row r="1222" spans="1:28" x14ac:dyDescent="0.8">
      <c r="A1222">
        <v>218</v>
      </c>
      <c r="B1222">
        <v>1044</v>
      </c>
      <c r="C1222" s="2">
        <v>44388</v>
      </c>
      <c r="D1222" t="s">
        <v>328</v>
      </c>
      <c r="E1222" t="s">
        <v>125</v>
      </c>
      <c r="F1222" t="s">
        <v>26</v>
      </c>
      <c r="G1222" t="s">
        <v>27</v>
      </c>
      <c r="H1222" t="s">
        <v>28</v>
      </c>
      <c r="I1222" t="s">
        <v>109</v>
      </c>
      <c r="J1222" t="s">
        <v>110</v>
      </c>
      <c r="K1222" t="s">
        <v>111</v>
      </c>
      <c r="L1222" t="s">
        <v>112</v>
      </c>
      <c r="M1222" t="s">
        <v>113</v>
      </c>
      <c r="N1222" t="s">
        <v>52</v>
      </c>
      <c r="O1222" t="s">
        <v>465</v>
      </c>
      <c r="P1222" t="s">
        <v>85</v>
      </c>
      <c r="Q1222" t="s">
        <v>348</v>
      </c>
      <c r="R1222" t="s">
        <v>466</v>
      </c>
      <c r="S1222" t="s">
        <v>467</v>
      </c>
      <c r="T1222" t="s">
        <v>468</v>
      </c>
      <c r="U1222" s="10" t="s">
        <v>1061</v>
      </c>
      <c r="V1222" s="10" t="s">
        <v>1075</v>
      </c>
      <c r="W1222" s="10" t="s">
        <v>1075</v>
      </c>
      <c r="X1222" s="10" t="s">
        <v>1059</v>
      </c>
      <c r="Y1222" t="s">
        <v>39</v>
      </c>
      <c r="Z1222" t="s">
        <v>40</v>
      </c>
      <c r="AA1222" t="s">
        <v>53</v>
      </c>
    </row>
    <row r="1223" spans="1:28" x14ac:dyDescent="0.8">
      <c r="A1223">
        <v>224</v>
      </c>
      <c r="B1223">
        <v>1050</v>
      </c>
      <c r="C1223" s="2">
        <v>44388</v>
      </c>
      <c r="D1223" t="s">
        <v>328</v>
      </c>
      <c r="E1223" t="s">
        <v>125</v>
      </c>
      <c r="F1223" t="s">
        <v>26</v>
      </c>
      <c r="G1223" t="s">
        <v>45</v>
      </c>
      <c r="H1223" t="s">
        <v>68</v>
      </c>
      <c r="I1223" t="s">
        <v>69</v>
      </c>
      <c r="J1223" t="s">
        <v>70</v>
      </c>
      <c r="K1223" t="s">
        <v>71</v>
      </c>
      <c r="L1223" t="s">
        <v>72</v>
      </c>
      <c r="M1223" t="s">
        <v>73</v>
      </c>
      <c r="N1223" t="s">
        <v>61</v>
      </c>
      <c r="O1223" t="s">
        <v>465</v>
      </c>
      <c r="P1223" t="s">
        <v>85</v>
      </c>
      <c r="Q1223" t="s">
        <v>348</v>
      </c>
      <c r="R1223" t="s">
        <v>466</v>
      </c>
      <c r="S1223" t="s">
        <v>467</v>
      </c>
      <c r="T1223" t="s">
        <v>468</v>
      </c>
      <c r="U1223" s="10" t="s">
        <v>1061</v>
      </c>
      <c r="V1223" s="10" t="s">
        <v>1075</v>
      </c>
      <c r="W1223" s="10" t="s">
        <v>1075</v>
      </c>
      <c r="X1223" s="10" t="s">
        <v>1059</v>
      </c>
      <c r="Y1223" t="s">
        <v>39</v>
      </c>
      <c r="Z1223" t="s">
        <v>40</v>
      </c>
      <c r="AA1223" t="s">
        <v>53</v>
      </c>
    </row>
    <row r="1224" spans="1:28" x14ac:dyDescent="0.8">
      <c r="A1224">
        <v>1394</v>
      </c>
      <c r="B1224">
        <v>2431</v>
      </c>
      <c r="C1224" s="2">
        <v>44386</v>
      </c>
      <c r="D1224" t="s">
        <v>67</v>
      </c>
      <c r="E1224" t="s">
        <v>53</v>
      </c>
      <c r="F1224" t="s">
        <v>26</v>
      </c>
      <c r="G1224" t="s">
        <v>45</v>
      </c>
      <c r="H1224" t="s">
        <v>68</v>
      </c>
      <c r="I1224" t="s">
        <v>69</v>
      </c>
      <c r="J1224" t="s">
        <v>70</v>
      </c>
      <c r="K1224" t="s">
        <v>71</v>
      </c>
      <c r="L1224" t="s">
        <v>72</v>
      </c>
      <c r="M1224" t="s">
        <v>73</v>
      </c>
      <c r="N1224" t="s">
        <v>61</v>
      </c>
      <c r="O1224" t="s">
        <v>465</v>
      </c>
      <c r="P1224" t="s">
        <v>85</v>
      </c>
      <c r="Q1224" t="s">
        <v>348</v>
      </c>
      <c r="R1224" t="s">
        <v>466</v>
      </c>
      <c r="S1224" t="s">
        <v>467</v>
      </c>
      <c r="T1224" t="s">
        <v>468</v>
      </c>
      <c r="U1224" s="10" t="s">
        <v>1061</v>
      </c>
      <c r="V1224" s="10" t="s">
        <v>1075</v>
      </c>
      <c r="W1224" s="10" t="s">
        <v>1075</v>
      </c>
      <c r="X1224" s="10" t="s">
        <v>1059</v>
      </c>
      <c r="Y1224" t="s">
        <v>39</v>
      </c>
      <c r="Z1224" t="s">
        <v>40</v>
      </c>
      <c r="AA1224" t="s">
        <v>63</v>
      </c>
    </row>
    <row r="1225" spans="1:28" x14ac:dyDescent="0.8">
      <c r="A1225">
        <v>1475</v>
      </c>
      <c r="B1225">
        <v>2322</v>
      </c>
      <c r="C1225" s="2">
        <v>44388</v>
      </c>
      <c r="D1225" t="s">
        <v>134</v>
      </c>
      <c r="E1225" t="s">
        <v>63</v>
      </c>
      <c r="F1225" t="s">
        <v>26</v>
      </c>
      <c r="G1225" t="s">
        <v>45</v>
      </c>
      <c r="H1225" t="s">
        <v>46</v>
      </c>
      <c r="I1225" t="s">
        <v>47</v>
      </c>
      <c r="J1225" t="s">
        <v>48</v>
      </c>
      <c r="K1225" t="s">
        <v>49</v>
      </c>
      <c r="L1225" t="s">
        <v>91</v>
      </c>
      <c r="M1225" t="s">
        <v>92</v>
      </c>
      <c r="N1225" t="s">
        <v>61</v>
      </c>
      <c r="O1225" t="s">
        <v>465</v>
      </c>
      <c r="P1225" t="s">
        <v>85</v>
      </c>
      <c r="Q1225" t="s">
        <v>348</v>
      </c>
      <c r="R1225" t="s">
        <v>466</v>
      </c>
      <c r="S1225" t="s">
        <v>467</v>
      </c>
      <c r="T1225" t="s">
        <v>468</v>
      </c>
      <c r="U1225" s="10" t="s">
        <v>1061</v>
      </c>
      <c r="V1225" s="10" t="s">
        <v>1075</v>
      </c>
      <c r="W1225" s="10" t="s">
        <v>1075</v>
      </c>
      <c r="X1225" s="10" t="s">
        <v>1059</v>
      </c>
      <c r="Y1225" t="s">
        <v>39</v>
      </c>
      <c r="Z1225" t="s">
        <v>40</v>
      </c>
      <c r="AA1225" t="s">
        <v>63</v>
      </c>
    </row>
    <row r="1226" spans="1:28" x14ac:dyDescent="0.8">
      <c r="A1226">
        <v>1506</v>
      </c>
      <c r="B1226">
        <v>2403</v>
      </c>
      <c r="C1226" s="2">
        <v>44388</v>
      </c>
      <c r="D1226" t="s">
        <v>134</v>
      </c>
      <c r="E1226" t="s">
        <v>53</v>
      </c>
      <c r="F1226" t="s">
        <v>26</v>
      </c>
      <c r="G1226" t="s">
        <v>45</v>
      </c>
      <c r="H1226" t="s">
        <v>46</v>
      </c>
      <c r="I1226" t="s">
        <v>47</v>
      </c>
      <c r="J1226" t="s">
        <v>48</v>
      </c>
      <c r="K1226" t="s">
        <v>141</v>
      </c>
      <c r="L1226" t="s">
        <v>142</v>
      </c>
      <c r="M1226" t="s">
        <v>143</v>
      </c>
      <c r="N1226" t="s">
        <v>61</v>
      </c>
      <c r="O1226" t="s">
        <v>465</v>
      </c>
      <c r="P1226" t="s">
        <v>85</v>
      </c>
      <c r="Q1226" t="s">
        <v>348</v>
      </c>
      <c r="R1226" t="s">
        <v>466</v>
      </c>
      <c r="S1226" t="s">
        <v>467</v>
      </c>
      <c r="T1226" t="s">
        <v>468</v>
      </c>
      <c r="U1226" s="10" t="s">
        <v>1061</v>
      </c>
      <c r="V1226" s="10" t="s">
        <v>1075</v>
      </c>
      <c r="W1226" s="10" t="s">
        <v>1075</v>
      </c>
      <c r="X1226" s="10" t="s">
        <v>1059</v>
      </c>
      <c r="Y1226" t="s">
        <v>39</v>
      </c>
      <c r="Z1226" t="s">
        <v>40</v>
      </c>
      <c r="AA1226" t="s">
        <v>63</v>
      </c>
    </row>
    <row r="1227" spans="1:28" x14ac:dyDescent="0.8">
      <c r="A1227">
        <v>282</v>
      </c>
      <c r="B1227">
        <v>896</v>
      </c>
      <c r="C1227" s="2">
        <v>44386</v>
      </c>
      <c r="D1227" t="s">
        <v>43</v>
      </c>
      <c r="E1227" t="s">
        <v>53</v>
      </c>
      <c r="F1227" t="s">
        <v>26</v>
      </c>
      <c r="G1227" t="s">
        <v>45</v>
      </c>
      <c r="H1227" t="s">
        <v>68</v>
      </c>
      <c r="I1227" t="s">
        <v>69</v>
      </c>
      <c r="J1227" t="s">
        <v>70</v>
      </c>
      <c r="K1227" t="s">
        <v>71</v>
      </c>
      <c r="L1227" t="s">
        <v>72</v>
      </c>
      <c r="M1227" t="s">
        <v>73</v>
      </c>
      <c r="N1227" t="s">
        <v>61</v>
      </c>
      <c r="O1227" t="s">
        <v>465</v>
      </c>
      <c r="P1227" t="s">
        <v>85</v>
      </c>
      <c r="Q1227" t="s">
        <v>348</v>
      </c>
      <c r="R1227" t="s">
        <v>466</v>
      </c>
      <c r="S1227" t="s">
        <v>467</v>
      </c>
      <c r="T1227" t="s">
        <v>468</v>
      </c>
      <c r="U1227" s="10" t="s">
        <v>1061</v>
      </c>
      <c r="V1227" s="10" t="s">
        <v>1075</v>
      </c>
      <c r="W1227" s="10" t="s">
        <v>1075</v>
      </c>
      <c r="X1227" s="10" t="s">
        <v>1059</v>
      </c>
      <c r="Y1227" t="s">
        <v>39</v>
      </c>
      <c r="Z1227" t="s">
        <v>40</v>
      </c>
      <c r="AA1227" t="s">
        <v>53</v>
      </c>
    </row>
    <row r="1228" spans="1:28" x14ac:dyDescent="0.8">
      <c r="A1228">
        <v>293</v>
      </c>
      <c r="B1228">
        <v>907</v>
      </c>
      <c r="C1228" s="2">
        <v>44386</v>
      </c>
      <c r="D1228" t="s">
        <v>43</v>
      </c>
      <c r="E1228" t="s">
        <v>53</v>
      </c>
      <c r="F1228" t="s">
        <v>26</v>
      </c>
      <c r="G1228" t="s">
        <v>94</v>
      </c>
      <c r="H1228" t="s">
        <v>95</v>
      </c>
      <c r="I1228" t="s">
        <v>236</v>
      </c>
      <c r="J1228" t="s">
        <v>237</v>
      </c>
      <c r="K1228" t="s">
        <v>238</v>
      </c>
      <c r="L1228" t="s">
        <v>239</v>
      </c>
      <c r="M1228" t="s">
        <v>240</v>
      </c>
      <c r="N1228" t="s">
        <v>263</v>
      </c>
      <c r="O1228" t="s">
        <v>465</v>
      </c>
      <c r="P1228" t="s">
        <v>85</v>
      </c>
      <c r="Q1228" t="s">
        <v>348</v>
      </c>
      <c r="R1228" t="s">
        <v>466</v>
      </c>
      <c r="S1228" t="s">
        <v>467</v>
      </c>
      <c r="T1228" t="s">
        <v>468</v>
      </c>
      <c r="U1228" s="10" t="s">
        <v>1061</v>
      </c>
      <c r="V1228" s="10" t="s">
        <v>1075</v>
      </c>
      <c r="W1228" s="10" t="s">
        <v>1075</v>
      </c>
      <c r="X1228" s="10" t="s">
        <v>1059</v>
      </c>
      <c r="Y1228" t="s">
        <v>39</v>
      </c>
      <c r="Z1228" t="s">
        <v>40</v>
      </c>
      <c r="AA1228" t="s">
        <v>53</v>
      </c>
    </row>
    <row r="1229" spans="1:28" x14ac:dyDescent="0.8">
      <c r="A1229">
        <v>1221</v>
      </c>
      <c r="B1229">
        <v>1818</v>
      </c>
      <c r="C1229" s="2">
        <v>44387</v>
      </c>
      <c r="D1229" t="s">
        <v>102</v>
      </c>
      <c r="E1229" t="s">
        <v>25</v>
      </c>
      <c r="F1229" t="s">
        <v>26</v>
      </c>
      <c r="G1229" t="s">
        <v>45</v>
      </c>
      <c r="H1229" t="s">
        <v>68</v>
      </c>
      <c r="I1229" t="s">
        <v>69</v>
      </c>
      <c r="J1229" t="s">
        <v>70</v>
      </c>
      <c r="K1229" t="s">
        <v>71</v>
      </c>
      <c r="L1229" t="s">
        <v>72</v>
      </c>
      <c r="M1229" t="s">
        <v>73</v>
      </c>
      <c r="N1229" t="s">
        <v>61</v>
      </c>
      <c r="O1229" t="s">
        <v>465</v>
      </c>
      <c r="P1229" t="s">
        <v>85</v>
      </c>
      <c r="Q1229" t="s">
        <v>348</v>
      </c>
      <c r="R1229" t="s">
        <v>466</v>
      </c>
      <c r="S1229" t="s">
        <v>467</v>
      </c>
      <c r="T1229" t="s">
        <v>468</v>
      </c>
      <c r="U1229" s="10" t="s">
        <v>1061</v>
      </c>
      <c r="V1229" s="10" t="s">
        <v>1075</v>
      </c>
      <c r="W1229" s="10" t="s">
        <v>1075</v>
      </c>
      <c r="X1229" s="10" t="s">
        <v>1059</v>
      </c>
      <c r="Y1229" t="s">
        <v>39</v>
      </c>
      <c r="Z1229" t="s">
        <v>40</v>
      </c>
      <c r="AA1229" t="s">
        <v>63</v>
      </c>
    </row>
    <row r="1230" spans="1:28" x14ac:dyDescent="0.8">
      <c r="A1230">
        <v>1241</v>
      </c>
      <c r="B1230">
        <v>1838</v>
      </c>
      <c r="C1230" s="2">
        <v>44387</v>
      </c>
      <c r="D1230" t="s">
        <v>102</v>
      </c>
      <c r="E1230" t="s">
        <v>103</v>
      </c>
      <c r="F1230" t="s">
        <v>26</v>
      </c>
      <c r="G1230" t="s">
        <v>45</v>
      </c>
      <c r="H1230" t="s">
        <v>155</v>
      </c>
      <c r="I1230" t="s">
        <v>69</v>
      </c>
      <c r="J1230" t="s">
        <v>156</v>
      </c>
      <c r="K1230" t="s">
        <v>157</v>
      </c>
      <c r="L1230" t="s">
        <v>158</v>
      </c>
      <c r="M1230" t="s">
        <v>159</v>
      </c>
      <c r="N1230" t="s">
        <v>61</v>
      </c>
      <c r="O1230" t="s">
        <v>465</v>
      </c>
      <c r="P1230" t="s">
        <v>85</v>
      </c>
      <c r="Q1230" t="s">
        <v>348</v>
      </c>
      <c r="R1230" t="s">
        <v>466</v>
      </c>
      <c r="S1230" t="s">
        <v>467</v>
      </c>
      <c r="T1230" t="s">
        <v>468</v>
      </c>
      <c r="U1230" s="10" t="s">
        <v>1061</v>
      </c>
      <c r="V1230" s="10" t="s">
        <v>1075</v>
      </c>
      <c r="W1230" s="10" t="s">
        <v>1075</v>
      </c>
      <c r="X1230" s="10" t="s">
        <v>1059</v>
      </c>
      <c r="Y1230" t="s">
        <v>39</v>
      </c>
      <c r="Z1230" t="s">
        <v>40</v>
      </c>
      <c r="AA1230" t="s">
        <v>63</v>
      </c>
    </row>
    <row r="1231" spans="1:28" x14ac:dyDescent="0.8">
      <c r="A1231">
        <v>1681</v>
      </c>
      <c r="B1231">
        <v>454</v>
      </c>
      <c r="C1231" s="2">
        <v>44388</v>
      </c>
      <c r="D1231" t="s">
        <v>124</v>
      </c>
      <c r="E1231" t="s">
        <v>53</v>
      </c>
      <c r="F1231" t="s">
        <v>26</v>
      </c>
      <c r="G1231" t="s">
        <v>45</v>
      </c>
      <c r="H1231" t="s">
        <v>68</v>
      </c>
      <c r="I1231" t="s">
        <v>69</v>
      </c>
      <c r="J1231" t="s">
        <v>70</v>
      </c>
      <c r="K1231" t="s">
        <v>71</v>
      </c>
      <c r="L1231" t="s">
        <v>72</v>
      </c>
      <c r="M1231" t="s">
        <v>73</v>
      </c>
      <c r="N1231" t="s">
        <v>61</v>
      </c>
      <c r="O1231" t="s">
        <v>465</v>
      </c>
      <c r="P1231" t="s">
        <v>85</v>
      </c>
      <c r="Q1231" t="s">
        <v>348</v>
      </c>
      <c r="R1231" t="s">
        <v>466</v>
      </c>
      <c r="S1231" t="s">
        <v>467</v>
      </c>
      <c r="T1231" t="s">
        <v>468</v>
      </c>
      <c r="U1231" s="10" t="s">
        <v>1061</v>
      </c>
      <c r="V1231" s="10" t="s">
        <v>1075</v>
      </c>
      <c r="W1231" s="10" t="s">
        <v>1075</v>
      </c>
      <c r="X1231" s="10" t="s">
        <v>1059</v>
      </c>
      <c r="Y1231" t="s">
        <v>39</v>
      </c>
      <c r="Z1231" t="s">
        <v>40</v>
      </c>
      <c r="AA1231" t="s">
        <v>41</v>
      </c>
    </row>
    <row r="1232" spans="1:28" x14ac:dyDescent="0.8">
      <c r="A1232">
        <v>387</v>
      </c>
      <c r="B1232">
        <v>483</v>
      </c>
      <c r="C1232" s="2">
        <v>44384</v>
      </c>
      <c r="D1232" t="s">
        <v>306</v>
      </c>
      <c r="E1232" t="s">
        <v>125</v>
      </c>
      <c r="F1232" t="s">
        <v>26</v>
      </c>
      <c r="G1232" t="s">
        <v>45</v>
      </c>
      <c r="H1232" t="s">
        <v>68</v>
      </c>
      <c r="I1232" t="s">
        <v>69</v>
      </c>
      <c r="J1232" t="s">
        <v>70</v>
      </c>
      <c r="K1232" t="s">
        <v>71</v>
      </c>
      <c r="L1232" t="s">
        <v>72</v>
      </c>
      <c r="M1232" t="s">
        <v>73</v>
      </c>
      <c r="N1232" t="s">
        <v>61</v>
      </c>
      <c r="O1232" t="s">
        <v>465</v>
      </c>
      <c r="P1232" t="s">
        <v>85</v>
      </c>
      <c r="Q1232" t="s">
        <v>348</v>
      </c>
      <c r="R1232" t="s">
        <v>466</v>
      </c>
      <c r="S1232" t="s">
        <v>467</v>
      </c>
      <c r="T1232" t="s">
        <v>468</v>
      </c>
      <c r="U1232" s="10" t="s">
        <v>1061</v>
      </c>
      <c r="V1232" s="10" t="s">
        <v>1075</v>
      </c>
      <c r="W1232" s="10" t="s">
        <v>1075</v>
      </c>
      <c r="X1232" s="10" t="s">
        <v>1059</v>
      </c>
      <c r="Y1232" t="s">
        <v>39</v>
      </c>
      <c r="Z1232" t="s">
        <v>40</v>
      </c>
      <c r="AA1232" t="s">
        <v>53</v>
      </c>
    </row>
    <row r="1233" spans="1:28" x14ac:dyDescent="0.8">
      <c r="A1233">
        <v>855</v>
      </c>
      <c r="B1233">
        <v>935</v>
      </c>
      <c r="C1233" s="2">
        <v>44388</v>
      </c>
      <c r="D1233" t="s">
        <v>189</v>
      </c>
      <c r="E1233" t="s">
        <v>53</v>
      </c>
      <c r="F1233" t="s">
        <v>26</v>
      </c>
      <c r="G1233" t="s">
        <v>45</v>
      </c>
      <c r="H1233" t="s">
        <v>68</v>
      </c>
      <c r="I1233" t="s">
        <v>69</v>
      </c>
      <c r="J1233" t="s">
        <v>70</v>
      </c>
      <c r="K1233" t="s">
        <v>71</v>
      </c>
      <c r="L1233" t="s">
        <v>72</v>
      </c>
      <c r="M1233" t="s">
        <v>73</v>
      </c>
      <c r="N1233" t="s">
        <v>61</v>
      </c>
      <c r="O1233" t="s">
        <v>469</v>
      </c>
      <c r="P1233" t="s">
        <v>85</v>
      </c>
      <c r="Q1233" t="s">
        <v>348</v>
      </c>
      <c r="R1233" t="s">
        <v>470</v>
      </c>
      <c r="S1233" t="s">
        <v>471</v>
      </c>
      <c r="T1233" t="s">
        <v>472</v>
      </c>
      <c r="U1233" s="10" t="s">
        <v>1061</v>
      </c>
      <c r="V1233" s="10" t="s">
        <v>1075</v>
      </c>
      <c r="W1233" s="10" t="s">
        <v>1075</v>
      </c>
      <c r="X1233" s="10" t="s">
        <v>1059</v>
      </c>
      <c r="Y1233" t="s">
        <v>39</v>
      </c>
      <c r="Z1233" t="s">
        <v>40</v>
      </c>
      <c r="AA1233" t="s">
        <v>63</v>
      </c>
    </row>
    <row r="1234" spans="1:28" x14ac:dyDescent="0.8">
      <c r="A1234">
        <v>1358</v>
      </c>
      <c r="B1234">
        <v>2105</v>
      </c>
      <c r="C1234" s="2">
        <v>44386</v>
      </c>
      <c r="D1234" t="s">
        <v>67</v>
      </c>
      <c r="E1234" t="s">
        <v>25</v>
      </c>
      <c r="F1234" t="s">
        <v>26</v>
      </c>
      <c r="G1234" t="s">
        <v>45</v>
      </c>
      <c r="H1234" t="s">
        <v>55</v>
      </c>
      <c r="I1234" t="s">
        <v>56</v>
      </c>
      <c r="J1234" t="s">
        <v>57</v>
      </c>
      <c r="K1234" t="s">
        <v>58</v>
      </c>
      <c r="L1234" t="s">
        <v>65</v>
      </c>
      <c r="M1234" t="s">
        <v>66</v>
      </c>
      <c r="N1234" t="s">
        <v>52</v>
      </c>
      <c r="O1234" t="s">
        <v>552</v>
      </c>
      <c r="P1234" t="s">
        <v>85</v>
      </c>
      <c r="Q1234" t="s">
        <v>167</v>
      </c>
      <c r="R1234" t="s">
        <v>553</v>
      </c>
      <c r="S1234" t="s">
        <v>337</v>
      </c>
      <c r="T1234" t="s">
        <v>554</v>
      </c>
      <c r="U1234" s="10" t="s">
        <v>1061</v>
      </c>
      <c r="V1234" s="10" t="s">
        <v>1075</v>
      </c>
      <c r="W1234" s="10" t="s">
        <v>1075</v>
      </c>
      <c r="X1234" s="10" t="s">
        <v>1059</v>
      </c>
      <c r="Y1234" t="s">
        <v>39</v>
      </c>
      <c r="Z1234" t="s">
        <v>40</v>
      </c>
      <c r="AA1234" t="s">
        <v>63</v>
      </c>
      <c r="AB1234" t="s">
        <v>555</v>
      </c>
    </row>
    <row r="1235" spans="1:28" x14ac:dyDescent="0.8">
      <c r="A1235">
        <v>1356</v>
      </c>
      <c r="B1235">
        <v>2103</v>
      </c>
      <c r="C1235" s="2">
        <v>44386</v>
      </c>
      <c r="D1235" t="s">
        <v>67</v>
      </c>
      <c r="E1235" t="s">
        <v>25</v>
      </c>
      <c r="F1235" t="s">
        <v>26</v>
      </c>
      <c r="G1235" t="s">
        <v>45</v>
      </c>
      <c r="H1235" t="s">
        <v>55</v>
      </c>
      <c r="I1235" t="s">
        <v>56</v>
      </c>
      <c r="J1235" t="s">
        <v>57</v>
      </c>
      <c r="K1235" t="s">
        <v>58</v>
      </c>
      <c r="L1235" t="s">
        <v>65</v>
      </c>
      <c r="M1235" t="s">
        <v>66</v>
      </c>
      <c r="N1235" t="s">
        <v>52</v>
      </c>
      <c r="O1235" t="s">
        <v>552</v>
      </c>
      <c r="P1235" t="s">
        <v>85</v>
      </c>
      <c r="Q1235" t="s">
        <v>167</v>
      </c>
      <c r="R1235" t="s">
        <v>553</v>
      </c>
      <c r="S1235" t="s">
        <v>337</v>
      </c>
      <c r="T1235" t="s">
        <v>554</v>
      </c>
      <c r="U1235" s="10" t="s">
        <v>1061</v>
      </c>
      <c r="V1235" s="10" t="s">
        <v>1075</v>
      </c>
      <c r="W1235" s="10" t="s">
        <v>1075</v>
      </c>
      <c r="X1235" s="10" t="s">
        <v>1059</v>
      </c>
      <c r="Y1235" t="s">
        <v>39</v>
      </c>
      <c r="Z1235" t="s">
        <v>40</v>
      </c>
      <c r="AA1235" t="s">
        <v>63</v>
      </c>
      <c r="AB1235" t="s">
        <v>555</v>
      </c>
    </row>
    <row r="1236" spans="1:28" x14ac:dyDescent="0.8">
      <c r="A1236">
        <v>1349</v>
      </c>
      <c r="B1236">
        <v>2096</v>
      </c>
      <c r="C1236" s="2">
        <v>44386</v>
      </c>
      <c r="D1236" t="s">
        <v>67</v>
      </c>
      <c r="E1236" t="s">
        <v>25</v>
      </c>
      <c r="F1236" t="s">
        <v>26</v>
      </c>
      <c r="G1236" t="s">
        <v>45</v>
      </c>
      <c r="H1236" t="s">
        <v>55</v>
      </c>
      <c r="I1236" t="s">
        <v>56</v>
      </c>
      <c r="J1236" t="s">
        <v>57</v>
      </c>
      <c r="K1236" t="s">
        <v>58</v>
      </c>
      <c r="L1236" t="s">
        <v>171</v>
      </c>
      <c r="M1236" t="s">
        <v>172</v>
      </c>
      <c r="N1236" t="s">
        <v>52</v>
      </c>
      <c r="O1236" t="s">
        <v>552</v>
      </c>
      <c r="P1236" t="s">
        <v>85</v>
      </c>
      <c r="Q1236" t="s">
        <v>167</v>
      </c>
      <c r="R1236" t="s">
        <v>553</v>
      </c>
      <c r="S1236" t="s">
        <v>337</v>
      </c>
      <c r="T1236" t="s">
        <v>554</v>
      </c>
      <c r="U1236" s="10" t="s">
        <v>1061</v>
      </c>
      <c r="V1236" s="10" t="s">
        <v>1075</v>
      </c>
      <c r="W1236" s="10" t="s">
        <v>1075</v>
      </c>
      <c r="X1236" s="10" t="s">
        <v>1059</v>
      </c>
      <c r="Y1236" t="s">
        <v>39</v>
      </c>
      <c r="Z1236" t="s">
        <v>40</v>
      </c>
      <c r="AA1236" t="s">
        <v>63</v>
      </c>
    </row>
    <row r="1237" spans="1:28" x14ac:dyDescent="0.8">
      <c r="A1237">
        <v>1359</v>
      </c>
      <c r="B1237">
        <v>2106</v>
      </c>
      <c r="C1237" s="2">
        <v>44386</v>
      </c>
      <c r="D1237" t="s">
        <v>67</v>
      </c>
      <c r="E1237" t="s">
        <v>25</v>
      </c>
      <c r="F1237" t="s">
        <v>26</v>
      </c>
      <c r="G1237" t="s">
        <v>45</v>
      </c>
      <c r="H1237" t="s">
        <v>55</v>
      </c>
      <c r="I1237" t="s">
        <v>56</v>
      </c>
      <c r="J1237" t="s">
        <v>57</v>
      </c>
      <c r="K1237" t="s">
        <v>58</v>
      </c>
      <c r="L1237" t="s">
        <v>31</v>
      </c>
      <c r="M1237" t="s">
        <v>556</v>
      </c>
      <c r="N1237" t="s">
        <v>52</v>
      </c>
      <c r="O1237" t="s">
        <v>552</v>
      </c>
      <c r="P1237" t="s">
        <v>85</v>
      </c>
      <c r="Q1237" t="s">
        <v>167</v>
      </c>
      <c r="R1237" t="s">
        <v>553</v>
      </c>
      <c r="S1237" t="s">
        <v>337</v>
      </c>
      <c r="T1237" t="s">
        <v>554</v>
      </c>
      <c r="U1237" s="10" t="s">
        <v>1061</v>
      </c>
      <c r="V1237" s="10" t="s">
        <v>1075</v>
      </c>
      <c r="W1237" s="10" t="s">
        <v>1075</v>
      </c>
      <c r="X1237" s="10" t="s">
        <v>1059</v>
      </c>
      <c r="Y1237" t="s">
        <v>39</v>
      </c>
      <c r="Z1237" t="s">
        <v>40</v>
      </c>
      <c r="AA1237" t="s">
        <v>63</v>
      </c>
      <c r="AB1237" t="s">
        <v>555</v>
      </c>
    </row>
    <row r="1238" spans="1:28" x14ac:dyDescent="0.8">
      <c r="A1238">
        <v>1357</v>
      </c>
      <c r="B1238">
        <v>2104</v>
      </c>
      <c r="C1238" s="2">
        <v>44386</v>
      </c>
      <c r="D1238" t="s">
        <v>67</v>
      </c>
      <c r="E1238" t="s">
        <v>25</v>
      </c>
      <c r="F1238" t="s">
        <v>26</v>
      </c>
      <c r="G1238" t="s">
        <v>45</v>
      </c>
      <c r="H1238" t="s">
        <v>46</v>
      </c>
      <c r="I1238" t="s">
        <v>47</v>
      </c>
      <c r="J1238" t="s">
        <v>48</v>
      </c>
      <c r="K1238" t="s">
        <v>141</v>
      </c>
      <c r="L1238" t="s">
        <v>293</v>
      </c>
      <c r="M1238" t="s">
        <v>294</v>
      </c>
      <c r="N1238" t="s">
        <v>52</v>
      </c>
      <c r="O1238" t="s">
        <v>552</v>
      </c>
      <c r="P1238" t="s">
        <v>85</v>
      </c>
      <c r="Q1238" t="s">
        <v>167</v>
      </c>
      <c r="R1238" t="s">
        <v>553</v>
      </c>
      <c r="S1238" t="s">
        <v>337</v>
      </c>
      <c r="T1238" t="s">
        <v>554</v>
      </c>
      <c r="U1238" s="10" t="s">
        <v>1061</v>
      </c>
      <c r="V1238" s="10" t="s">
        <v>1075</v>
      </c>
      <c r="W1238" s="10" t="s">
        <v>1075</v>
      </c>
      <c r="X1238" s="10" t="s">
        <v>1059</v>
      </c>
      <c r="Y1238" t="s">
        <v>39</v>
      </c>
      <c r="Z1238" t="s">
        <v>40</v>
      </c>
      <c r="AA1238" t="s">
        <v>63</v>
      </c>
      <c r="AB1238" t="s">
        <v>555</v>
      </c>
    </row>
    <row r="1239" spans="1:28" x14ac:dyDescent="0.8">
      <c r="A1239">
        <v>1558</v>
      </c>
      <c r="B1239">
        <v>302</v>
      </c>
      <c r="C1239" s="2">
        <v>44386</v>
      </c>
      <c r="D1239" t="s">
        <v>93</v>
      </c>
      <c r="E1239" t="s">
        <v>25</v>
      </c>
      <c r="F1239" t="s">
        <v>26</v>
      </c>
      <c r="G1239" t="s">
        <v>45</v>
      </c>
      <c r="H1239" t="s">
        <v>68</v>
      </c>
      <c r="I1239" t="s">
        <v>69</v>
      </c>
      <c r="J1239" t="s">
        <v>70</v>
      </c>
      <c r="K1239" t="s">
        <v>71</v>
      </c>
      <c r="L1239" t="s">
        <v>72</v>
      </c>
      <c r="M1239" t="s">
        <v>73</v>
      </c>
      <c r="N1239" t="s">
        <v>61</v>
      </c>
      <c r="O1239" t="s">
        <v>552</v>
      </c>
      <c r="P1239" t="s">
        <v>85</v>
      </c>
      <c r="Q1239" t="s">
        <v>167</v>
      </c>
      <c r="R1239" t="s">
        <v>553</v>
      </c>
      <c r="S1239" t="s">
        <v>337</v>
      </c>
      <c r="T1239" t="s">
        <v>554</v>
      </c>
      <c r="U1239" s="10" t="s">
        <v>1061</v>
      </c>
      <c r="V1239" s="10" t="s">
        <v>1075</v>
      </c>
      <c r="W1239" s="10" t="s">
        <v>1075</v>
      </c>
      <c r="X1239" s="10" t="s">
        <v>1059</v>
      </c>
      <c r="Y1239" t="s">
        <v>140</v>
      </c>
      <c r="Z1239" t="s">
        <v>62</v>
      </c>
      <c r="AA1239" t="s">
        <v>125</v>
      </c>
    </row>
    <row r="1240" spans="1:28" x14ac:dyDescent="0.8">
      <c r="A1240">
        <v>137</v>
      </c>
      <c r="B1240">
        <v>1083</v>
      </c>
      <c r="C1240" s="2">
        <v>44386</v>
      </c>
      <c r="D1240" t="s">
        <v>93</v>
      </c>
      <c r="E1240" t="s">
        <v>53</v>
      </c>
      <c r="F1240" t="s">
        <v>26</v>
      </c>
      <c r="G1240" t="s">
        <v>45</v>
      </c>
      <c r="H1240" t="s">
        <v>68</v>
      </c>
      <c r="I1240" t="s">
        <v>69</v>
      </c>
      <c r="J1240" t="s">
        <v>70</v>
      </c>
      <c r="K1240" t="s">
        <v>71</v>
      </c>
      <c r="L1240" t="s">
        <v>72</v>
      </c>
      <c r="M1240" t="s">
        <v>73</v>
      </c>
      <c r="N1240" t="s">
        <v>61</v>
      </c>
      <c r="O1240" t="s">
        <v>552</v>
      </c>
      <c r="P1240" t="s">
        <v>85</v>
      </c>
      <c r="Q1240" t="s">
        <v>167</v>
      </c>
      <c r="R1240" t="s">
        <v>553</v>
      </c>
      <c r="S1240" t="s">
        <v>337</v>
      </c>
      <c r="T1240" t="s">
        <v>554</v>
      </c>
      <c r="U1240" s="10" t="s">
        <v>1061</v>
      </c>
      <c r="V1240" s="10" t="s">
        <v>1075</v>
      </c>
      <c r="W1240" s="10" t="s">
        <v>1075</v>
      </c>
      <c r="X1240" s="10" t="s">
        <v>1059</v>
      </c>
      <c r="Y1240" t="s">
        <v>39</v>
      </c>
      <c r="Z1240" t="s">
        <v>40</v>
      </c>
      <c r="AA1240" t="s">
        <v>53</v>
      </c>
    </row>
    <row r="1241" spans="1:28" x14ac:dyDescent="0.8">
      <c r="A1241">
        <v>1562</v>
      </c>
      <c r="B1241">
        <v>307</v>
      </c>
      <c r="C1241" s="2">
        <v>44386</v>
      </c>
      <c r="D1241" t="s">
        <v>93</v>
      </c>
      <c r="E1241" t="s">
        <v>25</v>
      </c>
      <c r="F1241" t="s">
        <v>26</v>
      </c>
      <c r="G1241" t="s">
        <v>45</v>
      </c>
      <c r="H1241" t="s">
        <v>55</v>
      </c>
      <c r="I1241" t="s">
        <v>56</v>
      </c>
      <c r="J1241" t="s">
        <v>57</v>
      </c>
      <c r="K1241" t="s">
        <v>58</v>
      </c>
      <c r="L1241" t="s">
        <v>112</v>
      </c>
      <c r="M1241" t="s">
        <v>488</v>
      </c>
      <c r="N1241" t="s">
        <v>61</v>
      </c>
      <c r="O1241" t="s">
        <v>552</v>
      </c>
      <c r="P1241" t="s">
        <v>85</v>
      </c>
      <c r="Q1241" t="s">
        <v>167</v>
      </c>
      <c r="R1241" t="s">
        <v>553</v>
      </c>
      <c r="S1241" t="s">
        <v>337</v>
      </c>
      <c r="T1241" t="s">
        <v>554</v>
      </c>
      <c r="U1241" s="10" t="s">
        <v>1061</v>
      </c>
      <c r="V1241" s="10" t="s">
        <v>1075</v>
      </c>
      <c r="W1241" s="10" t="s">
        <v>1075</v>
      </c>
      <c r="X1241" s="10" t="s">
        <v>1059</v>
      </c>
      <c r="Y1241" t="s">
        <v>140</v>
      </c>
      <c r="Z1241" t="s">
        <v>62</v>
      </c>
      <c r="AA1241" t="s">
        <v>125</v>
      </c>
    </row>
    <row r="1242" spans="1:28" x14ac:dyDescent="0.8">
      <c r="A1242">
        <v>1564</v>
      </c>
      <c r="B1242">
        <v>309</v>
      </c>
      <c r="C1242" s="2">
        <v>44386</v>
      </c>
      <c r="D1242" t="s">
        <v>93</v>
      </c>
      <c r="E1242" t="s">
        <v>25</v>
      </c>
      <c r="F1242" t="s">
        <v>26</v>
      </c>
      <c r="G1242" t="s">
        <v>45</v>
      </c>
      <c r="H1242" t="s">
        <v>55</v>
      </c>
      <c r="I1242" t="s">
        <v>56</v>
      </c>
      <c r="J1242" t="s">
        <v>57</v>
      </c>
      <c r="K1242" t="s">
        <v>58</v>
      </c>
      <c r="L1242" t="s">
        <v>65</v>
      </c>
      <c r="M1242" t="s">
        <v>66</v>
      </c>
      <c r="N1242" t="s">
        <v>52</v>
      </c>
      <c r="O1242" t="s">
        <v>552</v>
      </c>
      <c r="P1242" t="s">
        <v>85</v>
      </c>
      <c r="Q1242" t="s">
        <v>167</v>
      </c>
      <c r="R1242" t="s">
        <v>553</v>
      </c>
      <c r="S1242" t="s">
        <v>337</v>
      </c>
      <c r="T1242" t="s">
        <v>554</v>
      </c>
      <c r="U1242" s="10" t="s">
        <v>1061</v>
      </c>
      <c r="V1242" s="10" t="s">
        <v>1075</v>
      </c>
      <c r="W1242" s="10" t="s">
        <v>1075</v>
      </c>
      <c r="X1242" s="10" t="s">
        <v>1059</v>
      </c>
      <c r="Y1242" t="s">
        <v>39</v>
      </c>
      <c r="Z1242" t="s">
        <v>40</v>
      </c>
      <c r="AA1242" t="s">
        <v>125</v>
      </c>
      <c r="AB1242" t="s">
        <v>557</v>
      </c>
    </row>
    <row r="1243" spans="1:28" x14ac:dyDescent="0.8">
      <c r="A1243">
        <v>1563</v>
      </c>
      <c r="B1243">
        <v>308</v>
      </c>
      <c r="C1243" s="2">
        <v>44386</v>
      </c>
      <c r="D1243" t="s">
        <v>93</v>
      </c>
      <c r="E1243" t="s">
        <v>25</v>
      </c>
      <c r="F1243" t="s">
        <v>26</v>
      </c>
      <c r="G1243" t="s">
        <v>45</v>
      </c>
      <c r="H1243" t="s">
        <v>55</v>
      </c>
      <c r="I1243" t="s">
        <v>56</v>
      </c>
      <c r="J1243" t="s">
        <v>57</v>
      </c>
      <c r="K1243" t="s">
        <v>58</v>
      </c>
      <c r="L1243" t="s">
        <v>426</v>
      </c>
      <c r="M1243" t="s">
        <v>519</v>
      </c>
      <c r="N1243" t="s">
        <v>52</v>
      </c>
      <c r="O1243" t="s">
        <v>552</v>
      </c>
      <c r="P1243" t="s">
        <v>85</v>
      </c>
      <c r="Q1243" t="s">
        <v>167</v>
      </c>
      <c r="R1243" t="s">
        <v>553</v>
      </c>
      <c r="S1243" t="s">
        <v>337</v>
      </c>
      <c r="T1243" t="s">
        <v>554</v>
      </c>
      <c r="U1243" s="10" t="s">
        <v>1061</v>
      </c>
      <c r="V1243" s="10" t="s">
        <v>1075</v>
      </c>
      <c r="W1243" s="10" t="s">
        <v>1075</v>
      </c>
      <c r="X1243" s="10" t="s">
        <v>1059</v>
      </c>
      <c r="Y1243" t="s">
        <v>39</v>
      </c>
      <c r="Z1243" t="s">
        <v>40</v>
      </c>
      <c r="AA1243" t="s">
        <v>125</v>
      </c>
      <c r="AB1243" t="s">
        <v>557</v>
      </c>
    </row>
    <row r="1244" spans="1:28" x14ac:dyDescent="0.8">
      <c r="A1244">
        <v>178</v>
      </c>
      <c r="B1244">
        <v>1264</v>
      </c>
      <c r="C1244" s="2">
        <v>44388</v>
      </c>
      <c r="D1244" t="s">
        <v>235</v>
      </c>
      <c r="E1244" t="s">
        <v>53</v>
      </c>
      <c r="F1244" t="s">
        <v>26</v>
      </c>
      <c r="G1244" t="s">
        <v>27</v>
      </c>
      <c r="H1244" t="s">
        <v>28</v>
      </c>
      <c r="I1244" t="s">
        <v>214</v>
      </c>
      <c r="K1244" t="s">
        <v>215</v>
      </c>
      <c r="L1244" t="s">
        <v>112</v>
      </c>
      <c r="M1244" t="s">
        <v>216</v>
      </c>
      <c r="O1244" t="s">
        <v>552</v>
      </c>
      <c r="P1244" t="s">
        <v>85</v>
      </c>
      <c r="Q1244" t="s">
        <v>167</v>
      </c>
      <c r="R1244" t="s">
        <v>553</v>
      </c>
      <c r="S1244" t="s">
        <v>337</v>
      </c>
      <c r="T1244" t="s">
        <v>554</v>
      </c>
      <c r="U1244" s="10" t="s">
        <v>1061</v>
      </c>
      <c r="V1244" s="10" t="s">
        <v>1075</v>
      </c>
      <c r="W1244" s="10" t="s">
        <v>1075</v>
      </c>
      <c r="X1244" s="10" t="s">
        <v>1059</v>
      </c>
      <c r="Y1244" t="s">
        <v>39</v>
      </c>
      <c r="Z1244" t="s">
        <v>40</v>
      </c>
      <c r="AA1244" t="s">
        <v>53</v>
      </c>
    </row>
    <row r="1245" spans="1:28" x14ac:dyDescent="0.8">
      <c r="A1245">
        <v>530</v>
      </c>
      <c r="B1245">
        <v>70</v>
      </c>
      <c r="C1245" s="2">
        <v>44388</v>
      </c>
      <c r="D1245" t="s">
        <v>235</v>
      </c>
      <c r="E1245" t="s">
        <v>125</v>
      </c>
      <c r="F1245" t="s">
        <v>26</v>
      </c>
      <c r="G1245" t="s">
        <v>27</v>
      </c>
      <c r="H1245" t="s">
        <v>28</v>
      </c>
      <c r="I1245" t="s">
        <v>109</v>
      </c>
      <c r="J1245" t="s">
        <v>110</v>
      </c>
      <c r="K1245" t="s">
        <v>111</v>
      </c>
      <c r="L1245" t="s">
        <v>112</v>
      </c>
      <c r="M1245" t="s">
        <v>113</v>
      </c>
      <c r="N1245" t="s">
        <v>52</v>
      </c>
      <c r="O1245" t="s">
        <v>552</v>
      </c>
      <c r="P1245" t="s">
        <v>85</v>
      </c>
      <c r="Q1245" t="s">
        <v>167</v>
      </c>
      <c r="R1245" t="s">
        <v>553</v>
      </c>
      <c r="S1245" t="s">
        <v>337</v>
      </c>
      <c r="T1245" t="s">
        <v>554</v>
      </c>
      <c r="U1245" s="10" t="s">
        <v>1061</v>
      </c>
      <c r="V1245" s="10" t="s">
        <v>1075</v>
      </c>
      <c r="W1245" s="10" t="s">
        <v>1075</v>
      </c>
      <c r="X1245" s="10" t="s">
        <v>1059</v>
      </c>
      <c r="Y1245" t="s">
        <v>39</v>
      </c>
      <c r="Z1245" t="s">
        <v>40</v>
      </c>
      <c r="AA1245" t="s">
        <v>63</v>
      </c>
    </row>
    <row r="1246" spans="1:28" x14ac:dyDescent="0.8">
      <c r="A1246">
        <v>1579</v>
      </c>
      <c r="B1246">
        <v>438</v>
      </c>
      <c r="C1246" s="2">
        <v>44388</v>
      </c>
      <c r="D1246" t="s">
        <v>235</v>
      </c>
      <c r="E1246" t="s">
        <v>53</v>
      </c>
      <c r="F1246" t="s">
        <v>26</v>
      </c>
      <c r="G1246" t="s">
        <v>27</v>
      </c>
      <c r="H1246" t="s">
        <v>114</v>
      </c>
      <c r="I1246" t="s">
        <v>115</v>
      </c>
      <c r="J1246" t="s">
        <v>116</v>
      </c>
      <c r="K1246" t="s">
        <v>117</v>
      </c>
      <c r="L1246" t="s">
        <v>195</v>
      </c>
      <c r="M1246" t="s">
        <v>196</v>
      </c>
      <c r="O1246" t="s">
        <v>552</v>
      </c>
      <c r="P1246" t="s">
        <v>85</v>
      </c>
      <c r="Q1246" t="s">
        <v>167</v>
      </c>
      <c r="R1246" t="s">
        <v>553</v>
      </c>
      <c r="S1246" t="s">
        <v>337</v>
      </c>
      <c r="T1246" t="s">
        <v>554</v>
      </c>
      <c r="U1246" s="10" t="s">
        <v>1061</v>
      </c>
      <c r="V1246" s="10" t="s">
        <v>1075</v>
      </c>
      <c r="W1246" s="10" t="s">
        <v>1075</v>
      </c>
      <c r="X1246" s="10" t="s">
        <v>1059</v>
      </c>
      <c r="Y1246" t="s">
        <v>39</v>
      </c>
      <c r="Z1246" t="s">
        <v>40</v>
      </c>
      <c r="AA1246" t="s">
        <v>125</v>
      </c>
    </row>
    <row r="1247" spans="1:28" x14ac:dyDescent="0.8">
      <c r="A1247">
        <v>619</v>
      </c>
      <c r="B1247">
        <v>216</v>
      </c>
      <c r="C1247" s="2">
        <v>44386</v>
      </c>
      <c r="D1247" t="s">
        <v>43</v>
      </c>
      <c r="E1247" t="s">
        <v>53</v>
      </c>
      <c r="F1247" t="s">
        <v>26</v>
      </c>
      <c r="G1247" t="s">
        <v>45</v>
      </c>
      <c r="H1247" t="s">
        <v>46</v>
      </c>
      <c r="I1247" t="s">
        <v>47</v>
      </c>
      <c r="J1247" t="s">
        <v>48</v>
      </c>
      <c r="K1247" t="s">
        <v>49</v>
      </c>
      <c r="L1247" t="s">
        <v>50</v>
      </c>
      <c r="M1247" t="s">
        <v>51</v>
      </c>
      <c r="N1247" t="s">
        <v>52</v>
      </c>
      <c r="O1247" t="s">
        <v>552</v>
      </c>
      <c r="P1247" t="s">
        <v>85</v>
      </c>
      <c r="Q1247" t="s">
        <v>167</v>
      </c>
      <c r="R1247" t="s">
        <v>553</v>
      </c>
      <c r="S1247" t="s">
        <v>337</v>
      </c>
      <c r="T1247" t="s">
        <v>554</v>
      </c>
      <c r="U1247" s="10" t="s">
        <v>1061</v>
      </c>
      <c r="V1247" s="10" t="s">
        <v>1075</v>
      </c>
      <c r="W1247" s="10" t="s">
        <v>1075</v>
      </c>
      <c r="X1247" s="10" t="s">
        <v>1059</v>
      </c>
      <c r="Y1247" t="s">
        <v>140</v>
      </c>
      <c r="Z1247" t="s">
        <v>40</v>
      </c>
      <c r="AA1247" t="s">
        <v>63</v>
      </c>
    </row>
    <row r="1248" spans="1:28" x14ac:dyDescent="0.8">
      <c r="A1248">
        <v>1247</v>
      </c>
      <c r="B1248">
        <v>1844</v>
      </c>
      <c r="C1248" s="2">
        <v>44387</v>
      </c>
      <c r="D1248" t="s">
        <v>102</v>
      </c>
      <c r="E1248" t="s">
        <v>25</v>
      </c>
      <c r="F1248" t="s">
        <v>26</v>
      </c>
      <c r="G1248" t="s">
        <v>45</v>
      </c>
      <c r="H1248" t="s">
        <v>55</v>
      </c>
      <c r="I1248" t="s">
        <v>56</v>
      </c>
      <c r="J1248" t="s">
        <v>57</v>
      </c>
      <c r="K1248" t="s">
        <v>58</v>
      </c>
      <c r="L1248" t="s">
        <v>112</v>
      </c>
      <c r="M1248" t="s">
        <v>488</v>
      </c>
      <c r="N1248" t="s">
        <v>61</v>
      </c>
      <c r="O1248" t="s">
        <v>552</v>
      </c>
      <c r="P1248" t="s">
        <v>85</v>
      </c>
      <c r="Q1248" t="s">
        <v>167</v>
      </c>
      <c r="R1248" t="s">
        <v>553</v>
      </c>
      <c r="S1248" t="s">
        <v>337</v>
      </c>
      <c r="T1248" t="s">
        <v>554</v>
      </c>
      <c r="U1248" s="10" t="s">
        <v>1061</v>
      </c>
      <c r="V1248" s="10" t="s">
        <v>1075</v>
      </c>
      <c r="W1248" s="10" t="s">
        <v>1075</v>
      </c>
      <c r="X1248" s="10" t="s">
        <v>1059</v>
      </c>
      <c r="Y1248" t="s">
        <v>39</v>
      </c>
      <c r="Z1248" t="s">
        <v>40</v>
      </c>
      <c r="AA1248" t="s">
        <v>63</v>
      </c>
      <c r="AB1248" t="s">
        <v>558</v>
      </c>
    </row>
    <row r="1249" spans="1:28" x14ac:dyDescent="0.8">
      <c r="A1249">
        <v>1246</v>
      </c>
      <c r="B1249">
        <v>1843</v>
      </c>
      <c r="C1249" s="2">
        <v>44387</v>
      </c>
      <c r="D1249" t="s">
        <v>102</v>
      </c>
      <c r="E1249" t="s">
        <v>25</v>
      </c>
      <c r="F1249" t="s">
        <v>26</v>
      </c>
      <c r="G1249" t="s">
        <v>45</v>
      </c>
      <c r="H1249" t="s">
        <v>46</v>
      </c>
      <c r="I1249" t="s">
        <v>47</v>
      </c>
      <c r="J1249" t="s">
        <v>48</v>
      </c>
      <c r="K1249" t="s">
        <v>49</v>
      </c>
      <c r="L1249" t="s">
        <v>91</v>
      </c>
      <c r="M1249" t="s">
        <v>92</v>
      </c>
      <c r="N1249" t="s">
        <v>61</v>
      </c>
      <c r="O1249" t="s">
        <v>552</v>
      </c>
      <c r="P1249" t="s">
        <v>85</v>
      </c>
      <c r="Q1249" t="s">
        <v>167</v>
      </c>
      <c r="R1249" t="s">
        <v>553</v>
      </c>
      <c r="S1249" t="s">
        <v>337</v>
      </c>
      <c r="T1249" t="s">
        <v>554</v>
      </c>
      <c r="U1249" s="10" t="s">
        <v>1061</v>
      </c>
      <c r="V1249" s="10" t="s">
        <v>1075</v>
      </c>
      <c r="W1249" s="10" t="s">
        <v>1075</v>
      </c>
      <c r="X1249" s="10" t="s">
        <v>1059</v>
      </c>
      <c r="Y1249" t="s">
        <v>39</v>
      </c>
      <c r="Z1249" t="s">
        <v>40</v>
      </c>
      <c r="AA1249" t="s">
        <v>63</v>
      </c>
      <c r="AB1249" t="s">
        <v>558</v>
      </c>
    </row>
    <row r="1250" spans="1:28" x14ac:dyDescent="0.8">
      <c r="A1250">
        <v>759</v>
      </c>
      <c r="B1250">
        <v>1240</v>
      </c>
      <c r="C1250" s="2">
        <v>44385</v>
      </c>
      <c r="D1250" t="s">
        <v>108</v>
      </c>
      <c r="E1250" t="s">
        <v>103</v>
      </c>
      <c r="F1250" t="s">
        <v>26</v>
      </c>
      <c r="G1250" t="s">
        <v>27</v>
      </c>
      <c r="H1250" t="s">
        <v>28</v>
      </c>
      <c r="I1250" t="s">
        <v>109</v>
      </c>
      <c r="J1250" t="s">
        <v>110</v>
      </c>
      <c r="K1250" t="s">
        <v>111</v>
      </c>
      <c r="L1250" t="s">
        <v>112</v>
      </c>
      <c r="M1250" t="s">
        <v>113</v>
      </c>
      <c r="N1250" t="s">
        <v>52</v>
      </c>
      <c r="O1250" t="s">
        <v>552</v>
      </c>
      <c r="P1250" t="s">
        <v>85</v>
      </c>
      <c r="Q1250" t="s">
        <v>167</v>
      </c>
      <c r="R1250" t="s">
        <v>553</v>
      </c>
      <c r="S1250" t="s">
        <v>337</v>
      </c>
      <c r="T1250" t="s">
        <v>554</v>
      </c>
      <c r="U1250" s="10" t="s">
        <v>1061</v>
      </c>
      <c r="V1250" s="10" t="s">
        <v>1075</v>
      </c>
      <c r="W1250" s="10" t="s">
        <v>1075</v>
      </c>
      <c r="X1250" s="10" t="s">
        <v>1059</v>
      </c>
      <c r="Y1250" t="s">
        <v>39</v>
      </c>
      <c r="Z1250" t="s">
        <v>40</v>
      </c>
      <c r="AA1250" t="s">
        <v>63</v>
      </c>
    </row>
    <row r="1251" spans="1:28" x14ac:dyDescent="0.8">
      <c r="A1251">
        <v>737</v>
      </c>
      <c r="B1251">
        <v>544</v>
      </c>
      <c r="C1251" s="2">
        <v>44385</v>
      </c>
      <c r="D1251" t="s">
        <v>108</v>
      </c>
      <c r="E1251" t="s">
        <v>63</v>
      </c>
      <c r="F1251" t="s">
        <v>26</v>
      </c>
      <c r="G1251" t="s">
        <v>27</v>
      </c>
      <c r="H1251" t="s">
        <v>28</v>
      </c>
      <c r="I1251" t="s">
        <v>109</v>
      </c>
      <c r="J1251" t="s">
        <v>110</v>
      </c>
      <c r="K1251" t="s">
        <v>111</v>
      </c>
      <c r="L1251" t="s">
        <v>112</v>
      </c>
      <c r="M1251" t="s">
        <v>113</v>
      </c>
      <c r="N1251" t="s">
        <v>52</v>
      </c>
      <c r="O1251" t="s">
        <v>552</v>
      </c>
      <c r="P1251" t="s">
        <v>85</v>
      </c>
      <c r="Q1251" t="s">
        <v>167</v>
      </c>
      <c r="R1251" t="s">
        <v>553</v>
      </c>
      <c r="S1251" t="s">
        <v>337</v>
      </c>
      <c r="T1251" t="s">
        <v>554</v>
      </c>
      <c r="U1251" s="10" t="s">
        <v>1061</v>
      </c>
      <c r="V1251" s="10" t="s">
        <v>1075</v>
      </c>
      <c r="W1251" s="10" t="s">
        <v>1075</v>
      </c>
      <c r="X1251" s="10" t="s">
        <v>1059</v>
      </c>
      <c r="Y1251" t="s">
        <v>39</v>
      </c>
      <c r="Z1251" t="s">
        <v>40</v>
      </c>
      <c r="AA1251" t="s">
        <v>63</v>
      </c>
    </row>
    <row r="1252" spans="1:28" x14ac:dyDescent="0.8">
      <c r="A1252">
        <v>775</v>
      </c>
      <c r="B1252">
        <v>672</v>
      </c>
      <c r="C1252" s="2">
        <v>44385</v>
      </c>
      <c r="D1252" t="s">
        <v>108</v>
      </c>
      <c r="E1252" t="s">
        <v>103</v>
      </c>
      <c r="F1252" t="s">
        <v>26</v>
      </c>
      <c r="G1252" t="s">
        <v>27</v>
      </c>
      <c r="H1252" t="s">
        <v>114</v>
      </c>
      <c r="I1252" t="s">
        <v>115</v>
      </c>
      <c r="J1252" t="s">
        <v>185</v>
      </c>
      <c r="K1252" t="s">
        <v>186</v>
      </c>
      <c r="L1252" t="s">
        <v>421</v>
      </c>
      <c r="M1252" t="s">
        <v>422</v>
      </c>
      <c r="O1252" t="s">
        <v>552</v>
      </c>
      <c r="P1252" t="s">
        <v>85</v>
      </c>
      <c r="Q1252" t="s">
        <v>167</v>
      </c>
      <c r="R1252" t="s">
        <v>553</v>
      </c>
      <c r="S1252" t="s">
        <v>337</v>
      </c>
      <c r="T1252" t="s">
        <v>554</v>
      </c>
      <c r="U1252" s="10" t="s">
        <v>1061</v>
      </c>
      <c r="V1252" s="10" t="s">
        <v>1075</v>
      </c>
      <c r="W1252" s="10" t="s">
        <v>1075</v>
      </c>
      <c r="X1252" s="10" t="s">
        <v>1059</v>
      </c>
      <c r="Y1252" t="s">
        <v>39</v>
      </c>
      <c r="Z1252" t="s">
        <v>40</v>
      </c>
      <c r="AA1252" t="s">
        <v>63</v>
      </c>
    </row>
    <row r="1253" spans="1:28" x14ac:dyDescent="0.8">
      <c r="A1253">
        <v>772</v>
      </c>
      <c r="B1253">
        <v>669</v>
      </c>
      <c r="C1253" s="2">
        <v>44385</v>
      </c>
      <c r="D1253" t="s">
        <v>108</v>
      </c>
      <c r="E1253" t="s">
        <v>103</v>
      </c>
      <c r="F1253" t="s">
        <v>26</v>
      </c>
      <c r="G1253" t="s">
        <v>27</v>
      </c>
      <c r="H1253" t="s">
        <v>114</v>
      </c>
      <c r="I1253" t="s">
        <v>115</v>
      </c>
      <c r="J1253" t="s">
        <v>174</v>
      </c>
      <c r="K1253" t="s">
        <v>175</v>
      </c>
      <c r="L1253" t="s">
        <v>176</v>
      </c>
      <c r="M1253" t="s">
        <v>177</v>
      </c>
      <c r="O1253" t="s">
        <v>552</v>
      </c>
      <c r="P1253" t="s">
        <v>85</v>
      </c>
      <c r="Q1253" t="s">
        <v>167</v>
      </c>
      <c r="R1253" t="s">
        <v>553</v>
      </c>
      <c r="S1253" t="s">
        <v>337</v>
      </c>
      <c r="T1253" t="s">
        <v>554</v>
      </c>
      <c r="U1253" s="10" t="s">
        <v>1061</v>
      </c>
      <c r="V1253" s="10" t="s">
        <v>1075</v>
      </c>
      <c r="W1253" s="10" t="s">
        <v>1075</v>
      </c>
      <c r="X1253" s="10" t="s">
        <v>1059</v>
      </c>
      <c r="Y1253" t="s">
        <v>39</v>
      </c>
      <c r="Z1253" t="s">
        <v>40</v>
      </c>
      <c r="AA1253" t="s">
        <v>63</v>
      </c>
    </row>
    <row r="1254" spans="1:28" x14ac:dyDescent="0.8">
      <c r="A1254">
        <v>678</v>
      </c>
      <c r="B1254">
        <v>1063</v>
      </c>
      <c r="C1254" s="2">
        <v>44385</v>
      </c>
      <c r="D1254" t="s">
        <v>133</v>
      </c>
      <c r="E1254" t="s">
        <v>25</v>
      </c>
      <c r="F1254" t="s">
        <v>26</v>
      </c>
      <c r="G1254" t="s">
        <v>27</v>
      </c>
      <c r="H1254" t="s">
        <v>114</v>
      </c>
      <c r="I1254" t="s">
        <v>115</v>
      </c>
      <c r="J1254" t="s">
        <v>116</v>
      </c>
      <c r="K1254" t="s">
        <v>257</v>
      </c>
      <c r="L1254" t="s">
        <v>258</v>
      </c>
      <c r="M1254" t="s">
        <v>259</v>
      </c>
      <c r="O1254" t="s">
        <v>552</v>
      </c>
      <c r="P1254" t="s">
        <v>85</v>
      </c>
      <c r="Q1254" t="s">
        <v>167</v>
      </c>
      <c r="R1254" t="s">
        <v>553</v>
      </c>
      <c r="S1254" t="s">
        <v>337</v>
      </c>
      <c r="T1254" t="s">
        <v>554</v>
      </c>
      <c r="U1254" s="10" t="s">
        <v>1061</v>
      </c>
      <c r="V1254" s="10" t="s">
        <v>1075</v>
      </c>
      <c r="W1254" s="10" t="s">
        <v>1075</v>
      </c>
      <c r="X1254" s="10" t="s">
        <v>1059</v>
      </c>
      <c r="Y1254" t="s">
        <v>39</v>
      </c>
      <c r="Z1254" t="s">
        <v>62</v>
      </c>
      <c r="AA1254" t="s">
        <v>63</v>
      </c>
    </row>
    <row r="1255" spans="1:28" x14ac:dyDescent="0.8">
      <c r="A1255">
        <v>705</v>
      </c>
      <c r="B1255">
        <v>1138</v>
      </c>
      <c r="C1255" s="2">
        <v>44385</v>
      </c>
      <c r="D1255" t="s">
        <v>133</v>
      </c>
      <c r="E1255" t="s">
        <v>25</v>
      </c>
      <c r="F1255" t="s">
        <v>26</v>
      </c>
      <c r="G1255" t="s">
        <v>27</v>
      </c>
      <c r="H1255" t="s">
        <v>28</v>
      </c>
      <c r="I1255" t="s">
        <v>29</v>
      </c>
      <c r="K1255" t="s">
        <v>30</v>
      </c>
      <c r="L1255" t="s">
        <v>59</v>
      </c>
      <c r="M1255" t="s">
        <v>181</v>
      </c>
      <c r="O1255" t="s">
        <v>552</v>
      </c>
      <c r="P1255" t="s">
        <v>85</v>
      </c>
      <c r="Q1255" t="s">
        <v>167</v>
      </c>
      <c r="R1255" t="s">
        <v>553</v>
      </c>
      <c r="S1255" t="s">
        <v>337</v>
      </c>
      <c r="T1255" t="s">
        <v>554</v>
      </c>
      <c r="U1255" s="10" t="s">
        <v>1061</v>
      </c>
      <c r="V1255" s="10" t="s">
        <v>1075</v>
      </c>
      <c r="W1255" s="10" t="s">
        <v>1075</v>
      </c>
      <c r="X1255" s="10" t="s">
        <v>1059</v>
      </c>
      <c r="Y1255" t="s">
        <v>39</v>
      </c>
      <c r="Z1255" t="s">
        <v>202</v>
      </c>
      <c r="AA1255" t="s">
        <v>63</v>
      </c>
    </row>
    <row r="1256" spans="1:28" x14ac:dyDescent="0.8">
      <c r="A1256">
        <v>1192</v>
      </c>
      <c r="B1256">
        <v>1739</v>
      </c>
      <c r="C1256" s="2">
        <v>44386</v>
      </c>
      <c r="D1256" t="s">
        <v>129</v>
      </c>
      <c r="E1256" t="s">
        <v>25</v>
      </c>
      <c r="F1256" t="s">
        <v>26</v>
      </c>
      <c r="G1256" t="s">
        <v>45</v>
      </c>
      <c r="H1256" t="s">
        <v>68</v>
      </c>
      <c r="I1256" t="s">
        <v>69</v>
      </c>
      <c r="J1256" t="s">
        <v>70</v>
      </c>
      <c r="K1256" t="s">
        <v>71</v>
      </c>
      <c r="L1256" t="s">
        <v>72</v>
      </c>
      <c r="M1256" t="s">
        <v>73</v>
      </c>
      <c r="N1256" t="s">
        <v>61</v>
      </c>
      <c r="O1256" t="s">
        <v>552</v>
      </c>
      <c r="P1256" t="s">
        <v>85</v>
      </c>
      <c r="Q1256" t="s">
        <v>167</v>
      </c>
      <c r="R1256" t="s">
        <v>553</v>
      </c>
      <c r="S1256" t="s">
        <v>337</v>
      </c>
      <c r="T1256" t="s">
        <v>554</v>
      </c>
      <c r="U1256" s="10" t="s">
        <v>1061</v>
      </c>
      <c r="V1256" s="10" t="s">
        <v>1075</v>
      </c>
      <c r="W1256" s="10" t="s">
        <v>1075</v>
      </c>
      <c r="X1256" s="10" t="s">
        <v>1059</v>
      </c>
      <c r="Y1256" t="s">
        <v>39</v>
      </c>
      <c r="Z1256" t="s">
        <v>40</v>
      </c>
      <c r="AA1256" t="s">
        <v>63</v>
      </c>
    </row>
    <row r="1257" spans="1:28" x14ac:dyDescent="0.8">
      <c r="A1257">
        <v>1181</v>
      </c>
      <c r="B1257">
        <v>1678</v>
      </c>
      <c r="C1257" s="2">
        <v>44386</v>
      </c>
      <c r="D1257" t="s">
        <v>129</v>
      </c>
      <c r="E1257" t="s">
        <v>25</v>
      </c>
      <c r="F1257" t="s">
        <v>26</v>
      </c>
      <c r="G1257" t="s">
        <v>45</v>
      </c>
      <c r="H1257" t="s">
        <v>55</v>
      </c>
      <c r="I1257" t="s">
        <v>56</v>
      </c>
      <c r="J1257" t="s">
        <v>57</v>
      </c>
      <c r="K1257" t="s">
        <v>58</v>
      </c>
      <c r="L1257" t="s">
        <v>112</v>
      </c>
      <c r="M1257" t="s">
        <v>488</v>
      </c>
      <c r="N1257" t="s">
        <v>61</v>
      </c>
      <c r="O1257" t="s">
        <v>552</v>
      </c>
      <c r="P1257" t="s">
        <v>85</v>
      </c>
      <c r="Q1257" t="s">
        <v>167</v>
      </c>
      <c r="R1257" t="s">
        <v>553</v>
      </c>
      <c r="S1257" t="s">
        <v>337</v>
      </c>
      <c r="T1257" t="s">
        <v>554</v>
      </c>
      <c r="U1257" s="10" t="s">
        <v>1061</v>
      </c>
      <c r="V1257" s="10" t="s">
        <v>1075</v>
      </c>
      <c r="W1257" s="10" t="s">
        <v>1075</v>
      </c>
      <c r="X1257" s="10" t="s">
        <v>1059</v>
      </c>
      <c r="Y1257" t="s">
        <v>39</v>
      </c>
      <c r="Z1257" t="s">
        <v>40</v>
      </c>
      <c r="AA1257" t="s">
        <v>63</v>
      </c>
      <c r="AB1257" t="s">
        <v>559</v>
      </c>
    </row>
    <row r="1258" spans="1:28" x14ac:dyDescent="0.8">
      <c r="A1258">
        <v>1182</v>
      </c>
      <c r="B1258">
        <v>1729</v>
      </c>
      <c r="C1258" s="2">
        <v>44386</v>
      </c>
      <c r="D1258" t="s">
        <v>129</v>
      </c>
      <c r="E1258" t="s">
        <v>25</v>
      </c>
      <c r="F1258" t="s">
        <v>26</v>
      </c>
      <c r="G1258" t="s">
        <v>45</v>
      </c>
      <c r="H1258" t="s">
        <v>55</v>
      </c>
      <c r="I1258" t="s">
        <v>56</v>
      </c>
      <c r="J1258" t="s">
        <v>57</v>
      </c>
      <c r="K1258" t="s">
        <v>58</v>
      </c>
      <c r="L1258" t="s">
        <v>426</v>
      </c>
      <c r="M1258" t="s">
        <v>519</v>
      </c>
      <c r="N1258" t="s">
        <v>52</v>
      </c>
      <c r="O1258" t="s">
        <v>552</v>
      </c>
      <c r="P1258" t="s">
        <v>85</v>
      </c>
      <c r="Q1258" t="s">
        <v>167</v>
      </c>
      <c r="R1258" t="s">
        <v>553</v>
      </c>
      <c r="S1258" t="s">
        <v>337</v>
      </c>
      <c r="T1258" t="s">
        <v>554</v>
      </c>
      <c r="U1258" s="10" t="s">
        <v>1061</v>
      </c>
      <c r="V1258" s="10" t="s">
        <v>1075</v>
      </c>
      <c r="W1258" s="10" t="s">
        <v>1075</v>
      </c>
      <c r="X1258" s="10" t="s">
        <v>1059</v>
      </c>
      <c r="Y1258" t="s">
        <v>39</v>
      </c>
      <c r="Z1258" t="s">
        <v>40</v>
      </c>
      <c r="AA1258" t="s">
        <v>63</v>
      </c>
      <c r="AB1258" t="s">
        <v>559</v>
      </c>
    </row>
    <row r="1259" spans="1:28" x14ac:dyDescent="0.8">
      <c r="A1259">
        <v>207</v>
      </c>
      <c r="B1259">
        <v>958</v>
      </c>
      <c r="C1259" s="2">
        <v>44388</v>
      </c>
      <c r="D1259" t="s">
        <v>124</v>
      </c>
      <c r="E1259" t="s">
        <v>53</v>
      </c>
      <c r="F1259" t="s">
        <v>26</v>
      </c>
      <c r="G1259" t="s">
        <v>27</v>
      </c>
      <c r="H1259" t="s">
        <v>114</v>
      </c>
      <c r="I1259" t="s">
        <v>115</v>
      </c>
      <c r="J1259" t="s">
        <v>120</v>
      </c>
      <c r="K1259" t="s">
        <v>121</v>
      </c>
      <c r="L1259" t="s">
        <v>122</v>
      </c>
      <c r="M1259" t="s">
        <v>123</v>
      </c>
      <c r="O1259" t="s">
        <v>552</v>
      </c>
      <c r="P1259" t="s">
        <v>85</v>
      </c>
      <c r="Q1259" t="s">
        <v>167</v>
      </c>
      <c r="R1259" t="s">
        <v>553</v>
      </c>
      <c r="S1259" t="s">
        <v>337</v>
      </c>
      <c r="T1259" t="s">
        <v>554</v>
      </c>
      <c r="U1259" s="10" t="s">
        <v>1061</v>
      </c>
      <c r="V1259" s="10" t="s">
        <v>1075</v>
      </c>
      <c r="W1259" s="10" t="s">
        <v>1075</v>
      </c>
      <c r="X1259" s="10" t="s">
        <v>1059</v>
      </c>
      <c r="Y1259" t="s">
        <v>39</v>
      </c>
      <c r="Z1259" t="s">
        <v>40</v>
      </c>
      <c r="AA1259" t="s">
        <v>53</v>
      </c>
    </row>
    <row r="1260" spans="1:28" x14ac:dyDescent="0.8">
      <c r="A1260">
        <v>1028</v>
      </c>
      <c r="B1260">
        <v>842</v>
      </c>
      <c r="C1260" s="2">
        <v>44385</v>
      </c>
      <c r="D1260" t="s">
        <v>203</v>
      </c>
      <c r="E1260" t="s">
        <v>103</v>
      </c>
      <c r="F1260" t="s">
        <v>26</v>
      </c>
      <c r="G1260" t="s">
        <v>45</v>
      </c>
      <c r="H1260" t="s">
        <v>46</v>
      </c>
      <c r="I1260" t="s">
        <v>47</v>
      </c>
      <c r="J1260" t="s">
        <v>48</v>
      </c>
      <c r="K1260" t="s">
        <v>141</v>
      </c>
      <c r="L1260" t="s">
        <v>112</v>
      </c>
      <c r="M1260" t="s">
        <v>382</v>
      </c>
      <c r="N1260" t="s">
        <v>61</v>
      </c>
      <c r="O1260" t="s">
        <v>601</v>
      </c>
      <c r="P1260" t="s">
        <v>326</v>
      </c>
      <c r="Q1260" t="s">
        <v>35</v>
      </c>
      <c r="R1260" t="s">
        <v>602</v>
      </c>
      <c r="S1260" t="s">
        <v>603</v>
      </c>
      <c r="T1260" t="s">
        <v>604</v>
      </c>
      <c r="U1260" s="10" t="s">
        <v>1061</v>
      </c>
      <c r="V1260" s="10" t="s">
        <v>1075</v>
      </c>
      <c r="W1260" s="10" t="s">
        <v>1075</v>
      </c>
      <c r="X1260" s="10" t="s">
        <v>1059</v>
      </c>
      <c r="Y1260" t="s">
        <v>39</v>
      </c>
      <c r="Z1260" t="s">
        <v>40</v>
      </c>
      <c r="AA1260" t="s">
        <v>63</v>
      </c>
    </row>
    <row r="1261" spans="1:28" x14ac:dyDescent="0.8">
      <c r="A1261">
        <v>1348</v>
      </c>
      <c r="B1261">
        <v>2095</v>
      </c>
      <c r="C1261" s="2">
        <v>44386</v>
      </c>
      <c r="D1261" t="s">
        <v>67</v>
      </c>
      <c r="E1261" t="s">
        <v>25</v>
      </c>
      <c r="F1261" t="s">
        <v>26</v>
      </c>
      <c r="G1261" t="s">
        <v>27</v>
      </c>
      <c r="H1261" t="s">
        <v>114</v>
      </c>
      <c r="I1261" t="s">
        <v>115</v>
      </c>
      <c r="J1261" t="s">
        <v>185</v>
      </c>
      <c r="K1261" t="s">
        <v>186</v>
      </c>
      <c r="L1261" t="s">
        <v>187</v>
      </c>
      <c r="M1261" t="s">
        <v>188</v>
      </c>
      <c r="O1261" t="s">
        <v>605</v>
      </c>
      <c r="P1261" t="s">
        <v>326</v>
      </c>
      <c r="Q1261" t="s">
        <v>244</v>
      </c>
      <c r="R1261" t="s">
        <v>606</v>
      </c>
      <c r="S1261" t="s">
        <v>607</v>
      </c>
      <c r="T1261" t="s">
        <v>608</v>
      </c>
      <c r="U1261" s="10" t="s">
        <v>1061</v>
      </c>
      <c r="V1261" s="10" t="s">
        <v>1075</v>
      </c>
      <c r="W1261" s="10" t="s">
        <v>1075</v>
      </c>
      <c r="X1261" s="10" t="s">
        <v>1059</v>
      </c>
      <c r="Y1261" t="s">
        <v>39</v>
      </c>
      <c r="Z1261" t="s">
        <v>40</v>
      </c>
      <c r="AA1261" t="s">
        <v>63</v>
      </c>
    </row>
    <row r="1262" spans="1:28" x14ac:dyDescent="0.8">
      <c r="A1262">
        <v>1351</v>
      </c>
      <c r="B1262">
        <v>2098</v>
      </c>
      <c r="C1262" s="2">
        <v>44386</v>
      </c>
      <c r="D1262" t="s">
        <v>67</v>
      </c>
      <c r="E1262" t="s">
        <v>25</v>
      </c>
      <c r="F1262" t="s">
        <v>26</v>
      </c>
      <c r="G1262" t="s">
        <v>27</v>
      </c>
      <c r="H1262" t="s">
        <v>114</v>
      </c>
      <c r="I1262" t="s">
        <v>115</v>
      </c>
      <c r="J1262" t="s">
        <v>120</v>
      </c>
      <c r="K1262" t="s">
        <v>121</v>
      </c>
      <c r="L1262" t="s">
        <v>122</v>
      </c>
      <c r="M1262" t="s">
        <v>123</v>
      </c>
      <c r="O1262" t="s">
        <v>605</v>
      </c>
      <c r="P1262" t="s">
        <v>326</v>
      </c>
      <c r="Q1262" t="s">
        <v>244</v>
      </c>
      <c r="R1262" t="s">
        <v>606</v>
      </c>
      <c r="S1262" t="s">
        <v>607</v>
      </c>
      <c r="T1262" t="s">
        <v>608</v>
      </c>
      <c r="U1262" s="10" t="s">
        <v>1061</v>
      </c>
      <c r="V1262" s="10" t="s">
        <v>1075</v>
      </c>
      <c r="W1262" s="10" t="s">
        <v>1075</v>
      </c>
      <c r="X1262" s="10" t="s">
        <v>1059</v>
      </c>
      <c r="Y1262" t="s">
        <v>39</v>
      </c>
      <c r="Z1262" t="s">
        <v>40</v>
      </c>
      <c r="AA1262" t="s">
        <v>63</v>
      </c>
    </row>
    <row r="1263" spans="1:28" x14ac:dyDescent="0.8">
      <c r="A1263">
        <v>1360</v>
      </c>
      <c r="B1263">
        <v>2107</v>
      </c>
      <c r="C1263" s="2">
        <v>44386</v>
      </c>
      <c r="D1263" t="s">
        <v>67</v>
      </c>
      <c r="E1263" t="s">
        <v>25</v>
      </c>
      <c r="F1263" t="s">
        <v>26</v>
      </c>
      <c r="G1263" t="s">
        <v>45</v>
      </c>
      <c r="H1263" t="s">
        <v>46</v>
      </c>
      <c r="I1263" t="s">
        <v>47</v>
      </c>
      <c r="J1263" t="s">
        <v>48</v>
      </c>
      <c r="K1263" t="s">
        <v>141</v>
      </c>
      <c r="L1263" t="s">
        <v>142</v>
      </c>
      <c r="M1263" t="s">
        <v>143</v>
      </c>
      <c r="N1263" t="s">
        <v>61</v>
      </c>
      <c r="O1263" t="s">
        <v>605</v>
      </c>
      <c r="P1263" t="s">
        <v>326</v>
      </c>
      <c r="Q1263" t="s">
        <v>244</v>
      </c>
      <c r="R1263" t="s">
        <v>606</v>
      </c>
      <c r="S1263" t="s">
        <v>607</v>
      </c>
      <c r="T1263" t="s">
        <v>608</v>
      </c>
      <c r="U1263" s="10" t="s">
        <v>1061</v>
      </c>
      <c r="V1263" s="10" t="s">
        <v>1075</v>
      </c>
      <c r="W1263" s="10" t="s">
        <v>1075</v>
      </c>
      <c r="X1263" s="10" t="s">
        <v>1059</v>
      </c>
      <c r="Y1263" t="s">
        <v>39</v>
      </c>
      <c r="Z1263" t="s">
        <v>40</v>
      </c>
      <c r="AA1263" t="s">
        <v>63</v>
      </c>
    </row>
    <row r="1264" spans="1:28" x14ac:dyDescent="0.8">
      <c r="A1264">
        <v>1387</v>
      </c>
      <c r="B1264">
        <v>2084</v>
      </c>
      <c r="C1264" s="2">
        <v>44386</v>
      </c>
      <c r="D1264" t="s">
        <v>67</v>
      </c>
      <c r="E1264" t="s">
        <v>25</v>
      </c>
      <c r="F1264" t="s">
        <v>26</v>
      </c>
      <c r="G1264" t="s">
        <v>45</v>
      </c>
      <c r="H1264" t="s">
        <v>55</v>
      </c>
      <c r="I1264" t="s">
        <v>249</v>
      </c>
      <c r="J1264" t="s">
        <v>250</v>
      </c>
      <c r="K1264" t="s">
        <v>251</v>
      </c>
      <c r="L1264" t="s">
        <v>609</v>
      </c>
      <c r="M1264" t="s">
        <v>610</v>
      </c>
      <c r="N1264" t="s">
        <v>61</v>
      </c>
      <c r="O1264" t="s">
        <v>605</v>
      </c>
      <c r="P1264" t="s">
        <v>326</v>
      </c>
      <c r="Q1264" t="s">
        <v>244</v>
      </c>
      <c r="R1264" t="s">
        <v>606</v>
      </c>
      <c r="S1264" t="s">
        <v>607</v>
      </c>
      <c r="T1264" t="s">
        <v>608</v>
      </c>
      <c r="U1264" s="10" t="s">
        <v>1061</v>
      </c>
      <c r="V1264" s="10" t="s">
        <v>1075</v>
      </c>
      <c r="W1264" s="10" t="s">
        <v>1075</v>
      </c>
      <c r="X1264" s="10" t="s">
        <v>1059</v>
      </c>
      <c r="Y1264" t="s">
        <v>39</v>
      </c>
      <c r="Z1264" t="s">
        <v>40</v>
      </c>
      <c r="AA1264" t="s">
        <v>63</v>
      </c>
    </row>
    <row r="1265" spans="1:28" x14ac:dyDescent="0.8">
      <c r="A1265">
        <v>1482</v>
      </c>
      <c r="B1265">
        <v>2329</v>
      </c>
      <c r="C1265" s="2">
        <v>44388</v>
      </c>
      <c r="D1265" t="s">
        <v>134</v>
      </c>
      <c r="E1265" t="s">
        <v>25</v>
      </c>
      <c r="F1265" t="s">
        <v>26</v>
      </c>
      <c r="G1265" t="s">
        <v>27</v>
      </c>
      <c r="H1265" t="s">
        <v>114</v>
      </c>
      <c r="I1265" t="s">
        <v>115</v>
      </c>
      <c r="J1265" t="s">
        <v>116</v>
      </c>
      <c r="K1265" t="s">
        <v>117</v>
      </c>
      <c r="L1265" t="s">
        <v>195</v>
      </c>
      <c r="M1265" t="s">
        <v>196</v>
      </c>
      <c r="O1265" t="s">
        <v>605</v>
      </c>
      <c r="P1265" t="s">
        <v>326</v>
      </c>
      <c r="Q1265" t="s">
        <v>244</v>
      </c>
      <c r="R1265" t="s">
        <v>606</v>
      </c>
      <c r="S1265" t="s">
        <v>607</v>
      </c>
      <c r="T1265" t="s">
        <v>608</v>
      </c>
      <c r="U1265" s="10" t="s">
        <v>1061</v>
      </c>
      <c r="V1265" s="10" t="s">
        <v>1075</v>
      </c>
      <c r="W1265" s="10" t="s">
        <v>1075</v>
      </c>
      <c r="X1265" s="10" t="s">
        <v>1059</v>
      </c>
      <c r="Y1265" t="s">
        <v>39</v>
      </c>
      <c r="Z1265" t="s">
        <v>40</v>
      </c>
      <c r="AA1265" t="s">
        <v>63</v>
      </c>
    </row>
    <row r="1266" spans="1:28" x14ac:dyDescent="0.8">
      <c r="A1266">
        <v>1454</v>
      </c>
      <c r="B1266">
        <v>2251</v>
      </c>
      <c r="C1266" s="2">
        <v>44388</v>
      </c>
      <c r="D1266" t="s">
        <v>134</v>
      </c>
      <c r="E1266" t="s">
        <v>63</v>
      </c>
      <c r="F1266" t="s">
        <v>26</v>
      </c>
      <c r="G1266" t="s">
        <v>45</v>
      </c>
      <c r="H1266" t="s">
        <v>68</v>
      </c>
      <c r="I1266" t="s">
        <v>69</v>
      </c>
      <c r="J1266" t="s">
        <v>70</v>
      </c>
      <c r="K1266" t="s">
        <v>71</v>
      </c>
      <c r="L1266" t="s">
        <v>72</v>
      </c>
      <c r="M1266" t="s">
        <v>73</v>
      </c>
      <c r="N1266" t="s">
        <v>61</v>
      </c>
      <c r="O1266" t="s">
        <v>605</v>
      </c>
      <c r="P1266" t="s">
        <v>326</v>
      </c>
      <c r="Q1266" t="s">
        <v>244</v>
      </c>
      <c r="R1266" t="s">
        <v>606</v>
      </c>
      <c r="S1266" t="s">
        <v>607</v>
      </c>
      <c r="T1266" t="s">
        <v>608</v>
      </c>
      <c r="U1266" s="10" t="s">
        <v>1061</v>
      </c>
      <c r="V1266" s="10" t="s">
        <v>1075</v>
      </c>
      <c r="W1266" s="10" t="s">
        <v>1075</v>
      </c>
      <c r="X1266" s="10" t="s">
        <v>1059</v>
      </c>
      <c r="Y1266" t="s">
        <v>140</v>
      </c>
      <c r="Z1266" t="s">
        <v>40</v>
      </c>
      <c r="AA1266" t="s">
        <v>63</v>
      </c>
      <c r="AB1266" t="s">
        <v>611</v>
      </c>
    </row>
    <row r="1267" spans="1:28" x14ac:dyDescent="0.8">
      <c r="A1267">
        <v>1453</v>
      </c>
      <c r="B1267">
        <v>2250</v>
      </c>
      <c r="C1267" s="2">
        <v>44388</v>
      </c>
      <c r="D1267" t="s">
        <v>134</v>
      </c>
      <c r="E1267" t="s">
        <v>63</v>
      </c>
      <c r="F1267" t="s">
        <v>26</v>
      </c>
      <c r="G1267" t="s">
        <v>45</v>
      </c>
      <c r="H1267" t="s">
        <v>68</v>
      </c>
      <c r="I1267" t="s">
        <v>69</v>
      </c>
      <c r="J1267" t="s">
        <v>70</v>
      </c>
      <c r="K1267" t="s">
        <v>71</v>
      </c>
      <c r="L1267" t="s">
        <v>72</v>
      </c>
      <c r="M1267" t="s">
        <v>73</v>
      </c>
      <c r="N1267" t="s">
        <v>61</v>
      </c>
      <c r="O1267" t="s">
        <v>605</v>
      </c>
      <c r="P1267" t="s">
        <v>326</v>
      </c>
      <c r="Q1267" t="s">
        <v>244</v>
      </c>
      <c r="R1267" t="s">
        <v>606</v>
      </c>
      <c r="S1267" t="s">
        <v>607</v>
      </c>
      <c r="T1267" t="s">
        <v>608</v>
      </c>
      <c r="U1267" s="10" t="s">
        <v>1061</v>
      </c>
      <c r="V1267" s="10" t="s">
        <v>1075</v>
      </c>
      <c r="W1267" s="10" t="s">
        <v>1075</v>
      </c>
      <c r="X1267" s="10" t="s">
        <v>1059</v>
      </c>
      <c r="Y1267" t="s">
        <v>140</v>
      </c>
      <c r="Z1267" t="s">
        <v>40</v>
      </c>
      <c r="AA1267" t="s">
        <v>63</v>
      </c>
      <c r="AB1267" t="s">
        <v>611</v>
      </c>
    </row>
    <row r="1268" spans="1:28" x14ac:dyDescent="0.8">
      <c r="A1268">
        <v>1450</v>
      </c>
      <c r="B1268">
        <v>2247</v>
      </c>
      <c r="C1268" s="2">
        <v>44388</v>
      </c>
      <c r="D1268" t="s">
        <v>134</v>
      </c>
      <c r="E1268" t="s">
        <v>25</v>
      </c>
      <c r="F1268" t="s">
        <v>26</v>
      </c>
      <c r="G1268" t="s">
        <v>45</v>
      </c>
      <c r="H1268" t="s">
        <v>68</v>
      </c>
      <c r="I1268" t="s">
        <v>69</v>
      </c>
      <c r="J1268" t="s">
        <v>70</v>
      </c>
      <c r="K1268" t="s">
        <v>71</v>
      </c>
      <c r="L1268" t="s">
        <v>72</v>
      </c>
      <c r="M1268" t="s">
        <v>73</v>
      </c>
      <c r="N1268" t="s">
        <v>61</v>
      </c>
      <c r="O1268" t="s">
        <v>605</v>
      </c>
      <c r="P1268" t="s">
        <v>326</v>
      </c>
      <c r="Q1268" t="s">
        <v>244</v>
      </c>
      <c r="R1268" t="s">
        <v>606</v>
      </c>
      <c r="S1268" t="s">
        <v>607</v>
      </c>
      <c r="T1268" t="s">
        <v>608</v>
      </c>
      <c r="U1268" s="10" t="s">
        <v>1061</v>
      </c>
      <c r="V1268" s="10" t="s">
        <v>1075</v>
      </c>
      <c r="W1268" s="10" t="s">
        <v>1075</v>
      </c>
      <c r="X1268" s="10" t="s">
        <v>1059</v>
      </c>
      <c r="Y1268" t="s">
        <v>140</v>
      </c>
      <c r="Z1268" t="s">
        <v>40</v>
      </c>
      <c r="AA1268" t="s">
        <v>63</v>
      </c>
      <c r="AB1268" t="s">
        <v>612</v>
      </c>
    </row>
    <row r="1269" spans="1:28" x14ac:dyDescent="0.8">
      <c r="A1269">
        <v>1449</v>
      </c>
      <c r="B1269">
        <v>2246</v>
      </c>
      <c r="C1269" s="2">
        <v>44388</v>
      </c>
      <c r="D1269" t="s">
        <v>134</v>
      </c>
      <c r="E1269" t="s">
        <v>25</v>
      </c>
      <c r="F1269" t="s">
        <v>26</v>
      </c>
      <c r="G1269" t="s">
        <v>45</v>
      </c>
      <c r="H1269" t="s">
        <v>68</v>
      </c>
      <c r="I1269" t="s">
        <v>69</v>
      </c>
      <c r="J1269" t="s">
        <v>70</v>
      </c>
      <c r="K1269" t="s">
        <v>71</v>
      </c>
      <c r="L1269" t="s">
        <v>72</v>
      </c>
      <c r="M1269" t="s">
        <v>73</v>
      </c>
      <c r="N1269" t="s">
        <v>61</v>
      </c>
      <c r="O1269" t="s">
        <v>605</v>
      </c>
      <c r="P1269" t="s">
        <v>326</v>
      </c>
      <c r="Q1269" t="s">
        <v>244</v>
      </c>
      <c r="R1269" t="s">
        <v>606</v>
      </c>
      <c r="S1269" t="s">
        <v>607</v>
      </c>
      <c r="T1269" t="s">
        <v>608</v>
      </c>
      <c r="U1269" s="10" t="s">
        <v>1061</v>
      </c>
      <c r="V1269" s="10" t="s">
        <v>1075</v>
      </c>
      <c r="W1269" s="10" t="s">
        <v>1075</v>
      </c>
      <c r="X1269" s="10" t="s">
        <v>1059</v>
      </c>
      <c r="Y1269" t="s">
        <v>140</v>
      </c>
      <c r="Z1269" t="s">
        <v>40</v>
      </c>
      <c r="AA1269" t="s">
        <v>63</v>
      </c>
      <c r="AB1269" t="s">
        <v>612</v>
      </c>
    </row>
    <row r="1270" spans="1:28" x14ac:dyDescent="0.8">
      <c r="A1270">
        <v>1448</v>
      </c>
      <c r="B1270">
        <v>2245</v>
      </c>
      <c r="C1270" s="2">
        <v>44388</v>
      </c>
      <c r="D1270" t="s">
        <v>134</v>
      </c>
      <c r="E1270" t="s">
        <v>25</v>
      </c>
      <c r="F1270" t="s">
        <v>26</v>
      </c>
      <c r="G1270" t="s">
        <v>45</v>
      </c>
      <c r="H1270" t="s">
        <v>68</v>
      </c>
      <c r="I1270" t="s">
        <v>69</v>
      </c>
      <c r="J1270" t="s">
        <v>70</v>
      </c>
      <c r="K1270" t="s">
        <v>71</v>
      </c>
      <c r="L1270" t="s">
        <v>72</v>
      </c>
      <c r="M1270" t="s">
        <v>73</v>
      </c>
      <c r="N1270" t="s">
        <v>61</v>
      </c>
      <c r="O1270" t="s">
        <v>605</v>
      </c>
      <c r="P1270" t="s">
        <v>326</v>
      </c>
      <c r="Q1270" t="s">
        <v>244</v>
      </c>
      <c r="R1270" t="s">
        <v>606</v>
      </c>
      <c r="S1270" t="s">
        <v>607</v>
      </c>
      <c r="T1270" t="s">
        <v>608</v>
      </c>
      <c r="U1270" s="10" t="s">
        <v>1061</v>
      </c>
      <c r="V1270" s="10" t="s">
        <v>1075</v>
      </c>
      <c r="W1270" s="10" t="s">
        <v>1075</v>
      </c>
      <c r="X1270" s="10" t="s">
        <v>1059</v>
      </c>
      <c r="Y1270" t="s">
        <v>140</v>
      </c>
      <c r="Z1270" t="s">
        <v>40</v>
      </c>
      <c r="AA1270" t="s">
        <v>63</v>
      </c>
      <c r="AB1270" t="s">
        <v>612</v>
      </c>
    </row>
    <row r="1271" spans="1:28" x14ac:dyDescent="0.8">
      <c r="A1271">
        <v>1451</v>
      </c>
      <c r="B1271">
        <v>2248</v>
      </c>
      <c r="C1271" s="2">
        <v>44388</v>
      </c>
      <c r="D1271" t="s">
        <v>134</v>
      </c>
      <c r="E1271" t="s">
        <v>63</v>
      </c>
      <c r="F1271" t="s">
        <v>26</v>
      </c>
      <c r="G1271" t="s">
        <v>45</v>
      </c>
      <c r="H1271" t="s">
        <v>68</v>
      </c>
      <c r="I1271" t="s">
        <v>69</v>
      </c>
      <c r="J1271" t="s">
        <v>70</v>
      </c>
      <c r="K1271" t="s">
        <v>71</v>
      </c>
      <c r="L1271" t="s">
        <v>72</v>
      </c>
      <c r="M1271" t="s">
        <v>73</v>
      </c>
      <c r="N1271" t="s">
        <v>61</v>
      </c>
      <c r="O1271" t="s">
        <v>605</v>
      </c>
      <c r="P1271" t="s">
        <v>326</v>
      </c>
      <c r="Q1271" t="s">
        <v>244</v>
      </c>
      <c r="R1271" t="s">
        <v>606</v>
      </c>
      <c r="S1271" t="s">
        <v>607</v>
      </c>
      <c r="T1271" t="s">
        <v>608</v>
      </c>
      <c r="U1271" s="10" t="s">
        <v>1061</v>
      </c>
      <c r="V1271" s="10" t="s">
        <v>1075</v>
      </c>
      <c r="W1271" s="10" t="s">
        <v>1075</v>
      </c>
      <c r="X1271" s="10" t="s">
        <v>1059</v>
      </c>
      <c r="Y1271" t="s">
        <v>140</v>
      </c>
      <c r="Z1271" t="s">
        <v>40</v>
      </c>
      <c r="AA1271" t="s">
        <v>63</v>
      </c>
    </row>
    <row r="1272" spans="1:28" x14ac:dyDescent="0.8">
      <c r="A1272">
        <v>1444</v>
      </c>
      <c r="B1272">
        <v>2241</v>
      </c>
      <c r="C1272" s="2">
        <v>44388</v>
      </c>
      <c r="D1272" t="s">
        <v>134</v>
      </c>
      <c r="E1272" t="s">
        <v>25</v>
      </c>
      <c r="F1272" t="s">
        <v>26</v>
      </c>
      <c r="G1272" t="s">
        <v>45</v>
      </c>
      <c r="H1272" t="s">
        <v>68</v>
      </c>
      <c r="I1272" t="s">
        <v>69</v>
      </c>
      <c r="J1272" t="s">
        <v>70</v>
      </c>
      <c r="K1272" t="s">
        <v>71</v>
      </c>
      <c r="L1272" t="s">
        <v>72</v>
      </c>
      <c r="M1272" t="s">
        <v>73</v>
      </c>
      <c r="N1272" t="s">
        <v>61</v>
      </c>
      <c r="O1272" t="s">
        <v>605</v>
      </c>
      <c r="P1272" t="s">
        <v>326</v>
      </c>
      <c r="Q1272" t="s">
        <v>244</v>
      </c>
      <c r="R1272" t="s">
        <v>606</v>
      </c>
      <c r="S1272" t="s">
        <v>607</v>
      </c>
      <c r="T1272" t="s">
        <v>608</v>
      </c>
      <c r="U1272" s="10" t="s">
        <v>1061</v>
      </c>
      <c r="V1272" s="10" t="s">
        <v>1075</v>
      </c>
      <c r="W1272" s="10" t="s">
        <v>1075</v>
      </c>
      <c r="X1272" s="10" t="s">
        <v>1059</v>
      </c>
      <c r="Y1272" t="s">
        <v>140</v>
      </c>
      <c r="Z1272" t="s">
        <v>40</v>
      </c>
      <c r="AA1272" t="s">
        <v>63</v>
      </c>
    </row>
    <row r="1273" spans="1:28" x14ac:dyDescent="0.8">
      <c r="A1273">
        <v>1442</v>
      </c>
      <c r="B1273">
        <v>2239</v>
      </c>
      <c r="C1273" s="2">
        <v>44388</v>
      </c>
      <c r="D1273" t="s">
        <v>134</v>
      </c>
      <c r="E1273" t="s">
        <v>63</v>
      </c>
      <c r="F1273" t="s">
        <v>26</v>
      </c>
      <c r="G1273" t="s">
        <v>45</v>
      </c>
      <c r="H1273" t="s">
        <v>68</v>
      </c>
      <c r="I1273" t="s">
        <v>69</v>
      </c>
      <c r="J1273" t="s">
        <v>70</v>
      </c>
      <c r="K1273" t="s">
        <v>71</v>
      </c>
      <c r="L1273" t="s">
        <v>72</v>
      </c>
      <c r="M1273" t="s">
        <v>73</v>
      </c>
      <c r="N1273" t="s">
        <v>61</v>
      </c>
      <c r="O1273" t="s">
        <v>605</v>
      </c>
      <c r="P1273" t="s">
        <v>326</v>
      </c>
      <c r="Q1273" t="s">
        <v>244</v>
      </c>
      <c r="R1273" t="s">
        <v>606</v>
      </c>
      <c r="S1273" t="s">
        <v>607</v>
      </c>
      <c r="T1273" t="s">
        <v>608</v>
      </c>
      <c r="U1273" s="10" t="s">
        <v>1061</v>
      </c>
      <c r="V1273" s="10" t="s">
        <v>1075</v>
      </c>
      <c r="W1273" s="10" t="s">
        <v>1075</v>
      </c>
      <c r="X1273" s="10" t="s">
        <v>1059</v>
      </c>
      <c r="Y1273" t="s">
        <v>140</v>
      </c>
      <c r="Z1273" t="s">
        <v>40</v>
      </c>
      <c r="AA1273" t="s">
        <v>63</v>
      </c>
    </row>
    <row r="1274" spans="1:28" x14ac:dyDescent="0.8">
      <c r="A1274">
        <v>525</v>
      </c>
      <c r="B1274">
        <v>65</v>
      </c>
      <c r="C1274" s="2">
        <v>44388</v>
      </c>
      <c r="D1274" t="s">
        <v>235</v>
      </c>
      <c r="E1274" t="s">
        <v>25</v>
      </c>
      <c r="F1274" t="s">
        <v>26</v>
      </c>
      <c r="G1274" t="s">
        <v>45</v>
      </c>
      <c r="H1274" t="s">
        <v>68</v>
      </c>
      <c r="I1274" t="s">
        <v>69</v>
      </c>
      <c r="J1274" t="s">
        <v>70</v>
      </c>
      <c r="K1274" t="s">
        <v>71</v>
      </c>
      <c r="L1274" t="s">
        <v>72</v>
      </c>
      <c r="M1274" t="s">
        <v>73</v>
      </c>
      <c r="N1274" t="s">
        <v>61</v>
      </c>
      <c r="O1274" t="s">
        <v>605</v>
      </c>
      <c r="P1274" t="s">
        <v>326</v>
      </c>
      <c r="Q1274" t="s">
        <v>244</v>
      </c>
      <c r="R1274" t="s">
        <v>606</v>
      </c>
      <c r="S1274" t="s">
        <v>607</v>
      </c>
      <c r="T1274" t="s">
        <v>608</v>
      </c>
      <c r="U1274" s="10" t="s">
        <v>1061</v>
      </c>
      <c r="V1274" s="10" t="s">
        <v>1075</v>
      </c>
      <c r="W1274" s="10" t="s">
        <v>1075</v>
      </c>
      <c r="X1274" s="10" t="s">
        <v>1059</v>
      </c>
      <c r="Y1274" t="s">
        <v>39</v>
      </c>
      <c r="Z1274" t="s">
        <v>62</v>
      </c>
      <c r="AA1274" t="s">
        <v>63</v>
      </c>
      <c r="AB1274" t="s">
        <v>613</v>
      </c>
    </row>
    <row r="1275" spans="1:28" x14ac:dyDescent="0.8">
      <c r="A1275">
        <v>1664</v>
      </c>
      <c r="B1275">
        <v>435</v>
      </c>
      <c r="C1275" s="2">
        <v>44388</v>
      </c>
      <c r="D1275" t="s">
        <v>235</v>
      </c>
      <c r="E1275" t="s">
        <v>25</v>
      </c>
      <c r="F1275" t="s">
        <v>26</v>
      </c>
      <c r="G1275" t="s">
        <v>45</v>
      </c>
      <c r="H1275" t="s">
        <v>46</v>
      </c>
      <c r="I1275" t="s">
        <v>47</v>
      </c>
      <c r="J1275" t="s">
        <v>48</v>
      </c>
      <c r="K1275" t="s">
        <v>49</v>
      </c>
      <c r="L1275" t="s">
        <v>91</v>
      </c>
      <c r="M1275" t="s">
        <v>92</v>
      </c>
      <c r="N1275" t="s">
        <v>61</v>
      </c>
      <c r="O1275" t="s">
        <v>605</v>
      </c>
      <c r="P1275" t="s">
        <v>326</v>
      </c>
      <c r="Q1275" t="s">
        <v>244</v>
      </c>
      <c r="R1275" t="s">
        <v>606</v>
      </c>
      <c r="S1275" t="s">
        <v>607</v>
      </c>
      <c r="T1275" t="s">
        <v>608</v>
      </c>
      <c r="U1275" s="10" t="s">
        <v>1061</v>
      </c>
      <c r="V1275" s="10" t="s">
        <v>1075</v>
      </c>
      <c r="W1275" s="10" t="s">
        <v>1075</v>
      </c>
      <c r="X1275" s="10" t="s">
        <v>1059</v>
      </c>
      <c r="Y1275" t="s">
        <v>39</v>
      </c>
      <c r="Z1275" t="s">
        <v>40</v>
      </c>
      <c r="AA1275" t="s">
        <v>41</v>
      </c>
    </row>
    <row r="1276" spans="1:28" x14ac:dyDescent="0.8">
      <c r="A1276">
        <v>526</v>
      </c>
      <c r="B1276">
        <v>66</v>
      </c>
      <c r="C1276" s="2">
        <v>44388</v>
      </c>
      <c r="D1276" t="s">
        <v>235</v>
      </c>
      <c r="E1276" t="s">
        <v>25</v>
      </c>
      <c r="F1276" t="s">
        <v>26</v>
      </c>
      <c r="G1276" t="s">
        <v>45</v>
      </c>
      <c r="H1276" t="s">
        <v>46</v>
      </c>
      <c r="I1276" t="s">
        <v>47</v>
      </c>
      <c r="J1276" t="s">
        <v>48</v>
      </c>
      <c r="K1276" t="s">
        <v>141</v>
      </c>
      <c r="L1276" t="s">
        <v>171</v>
      </c>
      <c r="M1276" t="s">
        <v>550</v>
      </c>
      <c r="N1276" t="s">
        <v>61</v>
      </c>
      <c r="O1276" t="s">
        <v>605</v>
      </c>
      <c r="P1276" t="s">
        <v>326</v>
      </c>
      <c r="Q1276" t="s">
        <v>244</v>
      </c>
      <c r="R1276" t="s">
        <v>606</v>
      </c>
      <c r="S1276" t="s">
        <v>607</v>
      </c>
      <c r="T1276" t="s">
        <v>608</v>
      </c>
      <c r="U1276" s="10" t="s">
        <v>1061</v>
      </c>
      <c r="V1276" s="10" t="s">
        <v>1075</v>
      </c>
      <c r="W1276" s="10" t="s">
        <v>1075</v>
      </c>
      <c r="X1276" s="10" t="s">
        <v>1059</v>
      </c>
      <c r="Y1276" t="s">
        <v>39</v>
      </c>
      <c r="Z1276" t="s">
        <v>62</v>
      </c>
      <c r="AA1276" t="s">
        <v>63</v>
      </c>
      <c r="AB1276" t="s">
        <v>171</v>
      </c>
    </row>
    <row r="1277" spans="1:28" x14ac:dyDescent="0.8">
      <c r="A1277">
        <v>1023</v>
      </c>
      <c r="B1277">
        <v>837</v>
      </c>
      <c r="C1277" s="2">
        <v>44385</v>
      </c>
      <c r="D1277" t="s">
        <v>203</v>
      </c>
      <c r="E1277" t="s">
        <v>25</v>
      </c>
      <c r="F1277" t="s">
        <v>26</v>
      </c>
      <c r="G1277" t="s">
        <v>45</v>
      </c>
      <c r="H1277" t="s">
        <v>68</v>
      </c>
      <c r="I1277" t="s">
        <v>69</v>
      </c>
      <c r="J1277" t="s">
        <v>70</v>
      </c>
      <c r="K1277" t="s">
        <v>71</v>
      </c>
      <c r="L1277" t="s">
        <v>72</v>
      </c>
      <c r="M1277" t="s">
        <v>73</v>
      </c>
      <c r="N1277" t="s">
        <v>61</v>
      </c>
      <c r="O1277" t="s">
        <v>605</v>
      </c>
      <c r="P1277" t="s">
        <v>326</v>
      </c>
      <c r="Q1277" t="s">
        <v>244</v>
      </c>
      <c r="R1277" t="s">
        <v>606</v>
      </c>
      <c r="S1277" t="s">
        <v>607</v>
      </c>
      <c r="T1277" t="s">
        <v>608</v>
      </c>
      <c r="U1277" s="10" t="s">
        <v>1061</v>
      </c>
      <c r="V1277" s="10" t="s">
        <v>1075</v>
      </c>
      <c r="W1277" s="10" t="s">
        <v>1075</v>
      </c>
      <c r="X1277" s="10" t="s">
        <v>1059</v>
      </c>
      <c r="Y1277" t="s">
        <v>39</v>
      </c>
      <c r="Z1277" t="s">
        <v>40</v>
      </c>
      <c r="AA1277" t="s">
        <v>63</v>
      </c>
      <c r="AB1277" t="s">
        <v>614</v>
      </c>
    </row>
    <row r="1278" spans="1:28" x14ac:dyDescent="0.8">
      <c r="A1278">
        <v>1016</v>
      </c>
      <c r="B1278">
        <v>1372</v>
      </c>
      <c r="C1278" s="2">
        <v>44385</v>
      </c>
      <c r="D1278" t="s">
        <v>203</v>
      </c>
      <c r="E1278" t="s">
        <v>103</v>
      </c>
      <c r="F1278" t="s">
        <v>26</v>
      </c>
      <c r="G1278" t="s">
        <v>45</v>
      </c>
      <c r="H1278" t="s">
        <v>46</v>
      </c>
      <c r="I1278" t="s">
        <v>47</v>
      </c>
      <c r="J1278" t="s">
        <v>48</v>
      </c>
      <c r="K1278" t="s">
        <v>141</v>
      </c>
      <c r="L1278" t="s">
        <v>31</v>
      </c>
      <c r="M1278" t="s">
        <v>182</v>
      </c>
      <c r="N1278" t="s">
        <v>61</v>
      </c>
      <c r="O1278" t="s">
        <v>605</v>
      </c>
      <c r="P1278" t="s">
        <v>326</v>
      </c>
      <c r="Q1278" t="s">
        <v>244</v>
      </c>
      <c r="R1278" t="s">
        <v>606</v>
      </c>
      <c r="S1278" t="s">
        <v>607</v>
      </c>
      <c r="T1278" t="s">
        <v>608</v>
      </c>
      <c r="U1278" s="10" t="s">
        <v>1061</v>
      </c>
      <c r="V1278" s="10" t="s">
        <v>1075</v>
      </c>
      <c r="W1278" s="10" t="s">
        <v>1075</v>
      </c>
      <c r="X1278" s="10" t="s">
        <v>1059</v>
      </c>
      <c r="Y1278" t="s">
        <v>39</v>
      </c>
      <c r="Z1278" t="s">
        <v>40</v>
      </c>
      <c r="AA1278" t="s">
        <v>63</v>
      </c>
    </row>
    <row r="1279" spans="1:28" x14ac:dyDescent="0.8">
      <c r="A1279">
        <v>1024</v>
      </c>
      <c r="B1279">
        <v>838</v>
      </c>
      <c r="C1279" s="2">
        <v>44385</v>
      </c>
      <c r="D1279" t="s">
        <v>203</v>
      </c>
      <c r="E1279" t="s">
        <v>25</v>
      </c>
      <c r="F1279" t="s">
        <v>26</v>
      </c>
      <c r="G1279" t="s">
        <v>45</v>
      </c>
      <c r="H1279" t="s">
        <v>46</v>
      </c>
      <c r="I1279" t="s">
        <v>47</v>
      </c>
      <c r="J1279" t="s">
        <v>48</v>
      </c>
      <c r="K1279" t="s">
        <v>141</v>
      </c>
      <c r="L1279" t="s">
        <v>142</v>
      </c>
      <c r="M1279" t="s">
        <v>143</v>
      </c>
      <c r="N1279" t="s">
        <v>61</v>
      </c>
      <c r="O1279" t="s">
        <v>605</v>
      </c>
      <c r="P1279" t="s">
        <v>326</v>
      </c>
      <c r="Q1279" t="s">
        <v>244</v>
      </c>
      <c r="R1279" t="s">
        <v>606</v>
      </c>
      <c r="S1279" t="s">
        <v>607</v>
      </c>
      <c r="T1279" t="s">
        <v>608</v>
      </c>
      <c r="U1279" s="10" t="s">
        <v>1061</v>
      </c>
      <c r="V1279" s="10" t="s">
        <v>1075</v>
      </c>
      <c r="W1279" s="10" t="s">
        <v>1075</v>
      </c>
      <c r="X1279" s="10" t="s">
        <v>1059</v>
      </c>
      <c r="Y1279" t="s">
        <v>39</v>
      </c>
      <c r="Z1279" t="s">
        <v>40</v>
      </c>
      <c r="AA1279" t="s">
        <v>63</v>
      </c>
      <c r="AB1279" t="s">
        <v>614</v>
      </c>
    </row>
    <row r="1280" spans="1:28" x14ac:dyDescent="0.8">
      <c r="A1280">
        <v>735</v>
      </c>
      <c r="B1280">
        <v>542</v>
      </c>
      <c r="C1280" s="2">
        <v>44385</v>
      </c>
      <c r="D1280" t="s">
        <v>108</v>
      </c>
      <c r="E1280" t="s">
        <v>25</v>
      </c>
      <c r="F1280" t="s">
        <v>26</v>
      </c>
      <c r="G1280" t="s">
        <v>27</v>
      </c>
      <c r="H1280" t="s">
        <v>28</v>
      </c>
      <c r="I1280" t="s">
        <v>223</v>
      </c>
      <c r="K1280" t="s">
        <v>224</v>
      </c>
      <c r="L1280" t="s">
        <v>65</v>
      </c>
      <c r="M1280" t="s">
        <v>615</v>
      </c>
      <c r="O1280" t="s">
        <v>605</v>
      </c>
      <c r="P1280" t="s">
        <v>326</v>
      </c>
      <c r="Q1280" t="s">
        <v>244</v>
      </c>
      <c r="R1280" t="s">
        <v>606</v>
      </c>
      <c r="S1280" t="s">
        <v>607</v>
      </c>
      <c r="T1280" t="s">
        <v>608</v>
      </c>
      <c r="U1280" s="10" t="s">
        <v>1061</v>
      </c>
      <c r="V1280" s="10" t="s">
        <v>1075</v>
      </c>
      <c r="W1280" s="10" t="s">
        <v>1075</v>
      </c>
      <c r="X1280" s="10" t="s">
        <v>1059</v>
      </c>
      <c r="Y1280" t="s">
        <v>39</v>
      </c>
      <c r="Z1280" t="s">
        <v>40</v>
      </c>
      <c r="AA1280" t="s">
        <v>63</v>
      </c>
      <c r="AB1280" t="s">
        <v>616</v>
      </c>
    </row>
    <row r="1281" spans="1:28" x14ac:dyDescent="0.8">
      <c r="A1281">
        <v>766</v>
      </c>
      <c r="B1281">
        <v>1247</v>
      </c>
      <c r="C1281" s="2">
        <v>44385</v>
      </c>
      <c r="D1281" t="s">
        <v>108</v>
      </c>
      <c r="E1281" t="s">
        <v>25</v>
      </c>
      <c r="F1281" t="s">
        <v>26</v>
      </c>
      <c r="G1281" t="s">
        <v>27</v>
      </c>
      <c r="H1281" t="s">
        <v>114</v>
      </c>
      <c r="I1281" t="s">
        <v>115</v>
      </c>
      <c r="J1281" t="s">
        <v>617</v>
      </c>
      <c r="K1281" t="s">
        <v>618</v>
      </c>
      <c r="L1281" t="s">
        <v>619</v>
      </c>
      <c r="M1281" t="s">
        <v>620</v>
      </c>
      <c r="N1281" t="s">
        <v>52</v>
      </c>
      <c r="O1281" t="s">
        <v>605</v>
      </c>
      <c r="P1281" t="s">
        <v>326</v>
      </c>
      <c r="Q1281" t="s">
        <v>244</v>
      </c>
      <c r="R1281" t="s">
        <v>606</v>
      </c>
      <c r="S1281" t="s">
        <v>607</v>
      </c>
      <c r="T1281" t="s">
        <v>608</v>
      </c>
      <c r="U1281" s="10" t="s">
        <v>1061</v>
      </c>
      <c r="V1281" s="10" t="s">
        <v>1075</v>
      </c>
      <c r="W1281" s="10" t="s">
        <v>1075</v>
      </c>
      <c r="X1281" s="10" t="s">
        <v>1059</v>
      </c>
      <c r="Y1281" t="s">
        <v>39</v>
      </c>
      <c r="Z1281" t="s">
        <v>202</v>
      </c>
      <c r="AA1281" t="s">
        <v>63</v>
      </c>
    </row>
    <row r="1282" spans="1:28" x14ac:dyDescent="0.8">
      <c r="A1282">
        <v>736</v>
      </c>
      <c r="B1282">
        <v>543</v>
      </c>
      <c r="C1282" s="2">
        <v>44385</v>
      </c>
      <c r="D1282" t="s">
        <v>108</v>
      </c>
      <c r="E1282" t="s">
        <v>25</v>
      </c>
      <c r="F1282" t="s">
        <v>26</v>
      </c>
      <c r="G1282" t="s">
        <v>27</v>
      </c>
      <c r="H1282" t="s">
        <v>114</v>
      </c>
      <c r="I1282" t="s">
        <v>115</v>
      </c>
      <c r="J1282" t="s">
        <v>120</v>
      </c>
      <c r="K1282" t="s">
        <v>121</v>
      </c>
      <c r="L1282" t="s">
        <v>122</v>
      </c>
      <c r="M1282" t="s">
        <v>123</v>
      </c>
      <c r="O1282" t="s">
        <v>605</v>
      </c>
      <c r="P1282" t="s">
        <v>326</v>
      </c>
      <c r="Q1282" t="s">
        <v>244</v>
      </c>
      <c r="R1282" t="s">
        <v>606</v>
      </c>
      <c r="S1282" t="s">
        <v>607</v>
      </c>
      <c r="T1282" t="s">
        <v>608</v>
      </c>
      <c r="U1282" s="10" t="s">
        <v>1061</v>
      </c>
      <c r="V1282" s="10" t="s">
        <v>1075</v>
      </c>
      <c r="W1282" s="10" t="s">
        <v>1075</v>
      </c>
      <c r="X1282" s="10" t="s">
        <v>1059</v>
      </c>
      <c r="Y1282" t="s">
        <v>39</v>
      </c>
      <c r="Z1282" t="s">
        <v>40</v>
      </c>
      <c r="AA1282" t="s">
        <v>63</v>
      </c>
      <c r="AB1282" t="s">
        <v>616</v>
      </c>
    </row>
    <row r="1283" spans="1:28" x14ac:dyDescent="0.8">
      <c r="A1283">
        <v>753</v>
      </c>
      <c r="B1283">
        <v>1234</v>
      </c>
      <c r="C1283" s="2">
        <v>44385</v>
      </c>
      <c r="D1283" t="s">
        <v>108</v>
      </c>
      <c r="E1283" t="s">
        <v>25</v>
      </c>
      <c r="F1283" t="s">
        <v>26</v>
      </c>
      <c r="G1283" t="s">
        <v>27</v>
      </c>
      <c r="H1283" t="s">
        <v>114</v>
      </c>
      <c r="I1283" t="s">
        <v>115</v>
      </c>
      <c r="J1283" t="s">
        <v>120</v>
      </c>
      <c r="K1283" t="s">
        <v>121</v>
      </c>
      <c r="L1283" t="s">
        <v>122</v>
      </c>
      <c r="M1283" t="s">
        <v>123</v>
      </c>
      <c r="O1283" t="s">
        <v>605</v>
      </c>
      <c r="P1283" t="s">
        <v>326</v>
      </c>
      <c r="Q1283" t="s">
        <v>244</v>
      </c>
      <c r="R1283" t="s">
        <v>606</v>
      </c>
      <c r="S1283" t="s">
        <v>607</v>
      </c>
      <c r="T1283" t="s">
        <v>608</v>
      </c>
      <c r="U1283" s="10" t="s">
        <v>1061</v>
      </c>
      <c r="V1283" s="10" t="s">
        <v>1075</v>
      </c>
      <c r="W1283" s="10" t="s">
        <v>1075</v>
      </c>
      <c r="X1283" s="10" t="s">
        <v>1059</v>
      </c>
      <c r="Y1283" t="s">
        <v>39</v>
      </c>
      <c r="Z1283" t="s">
        <v>202</v>
      </c>
      <c r="AA1283" t="s">
        <v>63</v>
      </c>
    </row>
    <row r="1284" spans="1:28" x14ac:dyDescent="0.8">
      <c r="A1284">
        <v>729</v>
      </c>
      <c r="B1284">
        <v>1162</v>
      </c>
      <c r="C1284" s="2">
        <v>44385</v>
      </c>
      <c r="D1284" t="s">
        <v>108</v>
      </c>
      <c r="E1284" t="s">
        <v>44</v>
      </c>
      <c r="F1284" t="s">
        <v>26</v>
      </c>
      <c r="G1284" t="s">
        <v>45</v>
      </c>
      <c r="H1284" t="s">
        <v>68</v>
      </c>
      <c r="I1284" t="s">
        <v>69</v>
      </c>
      <c r="J1284" t="s">
        <v>70</v>
      </c>
      <c r="K1284" t="s">
        <v>71</v>
      </c>
      <c r="L1284" t="s">
        <v>72</v>
      </c>
      <c r="M1284" t="s">
        <v>73</v>
      </c>
      <c r="N1284" t="s">
        <v>61</v>
      </c>
      <c r="O1284" t="s">
        <v>605</v>
      </c>
      <c r="P1284" t="s">
        <v>326</v>
      </c>
      <c r="Q1284" t="s">
        <v>244</v>
      </c>
      <c r="R1284" t="s">
        <v>606</v>
      </c>
      <c r="S1284" t="s">
        <v>607</v>
      </c>
      <c r="T1284" t="s">
        <v>608</v>
      </c>
      <c r="U1284" s="10" t="s">
        <v>1061</v>
      </c>
      <c r="V1284" s="10" t="s">
        <v>1075</v>
      </c>
      <c r="W1284" s="10" t="s">
        <v>1075</v>
      </c>
      <c r="X1284" s="10" t="s">
        <v>1059</v>
      </c>
      <c r="Y1284" t="s">
        <v>140</v>
      </c>
      <c r="Z1284" t="s">
        <v>40</v>
      </c>
      <c r="AA1284" t="s">
        <v>63</v>
      </c>
    </row>
    <row r="1285" spans="1:28" x14ac:dyDescent="0.8">
      <c r="A1285">
        <v>724</v>
      </c>
      <c r="B1285">
        <v>1157</v>
      </c>
      <c r="C1285" s="2">
        <v>44385</v>
      </c>
      <c r="D1285" t="s">
        <v>108</v>
      </c>
      <c r="E1285" t="s">
        <v>103</v>
      </c>
      <c r="F1285" t="s">
        <v>26</v>
      </c>
      <c r="G1285" t="s">
        <v>45</v>
      </c>
      <c r="H1285" t="s">
        <v>68</v>
      </c>
      <c r="I1285" t="s">
        <v>69</v>
      </c>
      <c r="J1285" t="s">
        <v>70</v>
      </c>
      <c r="K1285" t="s">
        <v>71</v>
      </c>
      <c r="L1285" t="s">
        <v>72</v>
      </c>
      <c r="M1285" t="s">
        <v>73</v>
      </c>
      <c r="N1285" t="s">
        <v>61</v>
      </c>
      <c r="O1285" t="s">
        <v>605</v>
      </c>
      <c r="P1285" t="s">
        <v>326</v>
      </c>
      <c r="Q1285" t="s">
        <v>244</v>
      </c>
      <c r="R1285" t="s">
        <v>606</v>
      </c>
      <c r="S1285" t="s">
        <v>607</v>
      </c>
      <c r="T1285" t="s">
        <v>608</v>
      </c>
      <c r="U1285" s="10" t="s">
        <v>1061</v>
      </c>
      <c r="V1285" s="10" t="s">
        <v>1075</v>
      </c>
      <c r="W1285" s="10" t="s">
        <v>1075</v>
      </c>
      <c r="X1285" s="10" t="s">
        <v>1059</v>
      </c>
      <c r="Y1285" t="s">
        <v>140</v>
      </c>
      <c r="Z1285" t="s">
        <v>40</v>
      </c>
      <c r="AA1285" t="s">
        <v>63</v>
      </c>
    </row>
    <row r="1286" spans="1:28" x14ac:dyDescent="0.8">
      <c r="A1286">
        <v>758</v>
      </c>
      <c r="B1286">
        <v>1239</v>
      </c>
      <c r="C1286" s="2">
        <v>44385</v>
      </c>
      <c r="D1286" t="s">
        <v>108</v>
      </c>
      <c r="E1286" t="s">
        <v>25</v>
      </c>
      <c r="F1286" t="s">
        <v>26</v>
      </c>
      <c r="G1286" t="s">
        <v>45</v>
      </c>
      <c r="H1286" t="s">
        <v>68</v>
      </c>
      <c r="I1286" t="s">
        <v>69</v>
      </c>
      <c r="J1286" t="s">
        <v>70</v>
      </c>
      <c r="K1286" t="s">
        <v>71</v>
      </c>
      <c r="L1286" t="s">
        <v>72</v>
      </c>
      <c r="M1286" t="s">
        <v>73</v>
      </c>
      <c r="N1286" t="s">
        <v>52</v>
      </c>
      <c r="O1286" t="s">
        <v>605</v>
      </c>
      <c r="P1286" t="s">
        <v>326</v>
      </c>
      <c r="Q1286" t="s">
        <v>244</v>
      </c>
      <c r="R1286" t="s">
        <v>606</v>
      </c>
      <c r="S1286" t="s">
        <v>607</v>
      </c>
      <c r="T1286" t="s">
        <v>608</v>
      </c>
      <c r="U1286" s="10" t="s">
        <v>1061</v>
      </c>
      <c r="V1286" s="10" t="s">
        <v>1075</v>
      </c>
      <c r="W1286" s="10" t="s">
        <v>1075</v>
      </c>
      <c r="X1286" s="10" t="s">
        <v>1059</v>
      </c>
      <c r="Y1286" t="s">
        <v>39</v>
      </c>
      <c r="Z1286" t="s">
        <v>40</v>
      </c>
      <c r="AA1286" t="s">
        <v>63</v>
      </c>
    </row>
    <row r="1287" spans="1:28" x14ac:dyDescent="0.8">
      <c r="A1287">
        <v>726</v>
      </c>
      <c r="B1287">
        <v>1159</v>
      </c>
      <c r="C1287" s="2">
        <v>44385</v>
      </c>
      <c r="D1287" t="s">
        <v>108</v>
      </c>
      <c r="E1287" t="s">
        <v>103</v>
      </c>
      <c r="F1287" t="s">
        <v>26</v>
      </c>
      <c r="G1287" t="s">
        <v>45</v>
      </c>
      <c r="H1287" t="s">
        <v>155</v>
      </c>
      <c r="I1287" t="s">
        <v>69</v>
      </c>
      <c r="J1287" t="s">
        <v>156</v>
      </c>
      <c r="K1287" t="s">
        <v>157</v>
      </c>
      <c r="L1287" t="s">
        <v>158</v>
      </c>
      <c r="M1287" t="s">
        <v>159</v>
      </c>
      <c r="N1287" t="s">
        <v>52</v>
      </c>
      <c r="O1287" t="s">
        <v>605</v>
      </c>
      <c r="P1287" t="s">
        <v>326</v>
      </c>
      <c r="Q1287" t="s">
        <v>244</v>
      </c>
      <c r="R1287" t="s">
        <v>606</v>
      </c>
      <c r="S1287" t="s">
        <v>607</v>
      </c>
      <c r="T1287" t="s">
        <v>608</v>
      </c>
      <c r="U1287" s="10" t="s">
        <v>1061</v>
      </c>
      <c r="V1287" s="10" t="s">
        <v>1075</v>
      </c>
      <c r="W1287" s="10" t="s">
        <v>1075</v>
      </c>
      <c r="X1287" s="10" t="s">
        <v>1059</v>
      </c>
      <c r="Y1287" t="s">
        <v>140</v>
      </c>
      <c r="Z1287" t="s">
        <v>40</v>
      </c>
      <c r="AA1287" t="s">
        <v>63</v>
      </c>
    </row>
    <row r="1288" spans="1:28" x14ac:dyDescent="0.8">
      <c r="A1288">
        <v>723</v>
      </c>
      <c r="B1288">
        <v>1156</v>
      </c>
      <c r="C1288" s="2">
        <v>44385</v>
      </c>
      <c r="D1288" t="s">
        <v>108</v>
      </c>
      <c r="E1288" t="s">
        <v>103</v>
      </c>
      <c r="F1288" t="s">
        <v>26</v>
      </c>
      <c r="G1288" t="s">
        <v>45</v>
      </c>
      <c r="H1288" t="s">
        <v>155</v>
      </c>
      <c r="I1288" t="s">
        <v>69</v>
      </c>
      <c r="J1288" t="s">
        <v>156</v>
      </c>
      <c r="K1288" t="s">
        <v>157</v>
      </c>
      <c r="L1288" t="s">
        <v>158</v>
      </c>
      <c r="M1288" t="s">
        <v>159</v>
      </c>
      <c r="N1288" t="s">
        <v>52</v>
      </c>
      <c r="O1288" t="s">
        <v>605</v>
      </c>
      <c r="P1288" t="s">
        <v>326</v>
      </c>
      <c r="Q1288" t="s">
        <v>244</v>
      </c>
      <c r="R1288" t="s">
        <v>606</v>
      </c>
      <c r="S1288" t="s">
        <v>607</v>
      </c>
      <c r="T1288" t="s">
        <v>608</v>
      </c>
      <c r="U1288" s="10" t="s">
        <v>1061</v>
      </c>
      <c r="V1288" s="10" t="s">
        <v>1075</v>
      </c>
      <c r="W1288" s="10" t="s">
        <v>1075</v>
      </c>
      <c r="X1288" s="10" t="s">
        <v>1059</v>
      </c>
      <c r="Y1288" t="s">
        <v>140</v>
      </c>
      <c r="Z1288" t="s">
        <v>40</v>
      </c>
      <c r="AA1288" t="s">
        <v>63</v>
      </c>
    </row>
    <row r="1289" spans="1:28" x14ac:dyDescent="0.8">
      <c r="A1289">
        <v>734</v>
      </c>
      <c r="B1289">
        <v>541</v>
      </c>
      <c r="C1289" s="2">
        <v>44385</v>
      </c>
      <c r="D1289" t="s">
        <v>108</v>
      </c>
      <c r="E1289" t="s">
        <v>25</v>
      </c>
      <c r="F1289" t="s">
        <v>26</v>
      </c>
      <c r="G1289" t="s">
        <v>45</v>
      </c>
      <c r="H1289" t="s">
        <v>46</v>
      </c>
      <c r="I1289" t="s">
        <v>47</v>
      </c>
      <c r="J1289" t="s">
        <v>48</v>
      </c>
      <c r="K1289" t="s">
        <v>49</v>
      </c>
      <c r="L1289" t="s">
        <v>91</v>
      </c>
      <c r="M1289" t="s">
        <v>92</v>
      </c>
      <c r="N1289" t="s">
        <v>61</v>
      </c>
      <c r="O1289" t="s">
        <v>605</v>
      </c>
      <c r="P1289" t="s">
        <v>326</v>
      </c>
      <c r="Q1289" t="s">
        <v>244</v>
      </c>
      <c r="R1289" t="s">
        <v>606</v>
      </c>
      <c r="S1289" t="s">
        <v>607</v>
      </c>
      <c r="T1289" t="s">
        <v>608</v>
      </c>
      <c r="U1289" s="10" t="s">
        <v>1061</v>
      </c>
      <c r="V1289" s="10" t="s">
        <v>1075</v>
      </c>
      <c r="W1289" s="10" t="s">
        <v>1075</v>
      </c>
      <c r="X1289" s="10" t="s">
        <v>1059</v>
      </c>
      <c r="Y1289" t="s">
        <v>39</v>
      </c>
      <c r="Z1289" t="s">
        <v>62</v>
      </c>
      <c r="AA1289" t="s">
        <v>63</v>
      </c>
    </row>
    <row r="1290" spans="1:28" x14ac:dyDescent="0.8">
      <c r="A1290">
        <v>767</v>
      </c>
      <c r="B1290">
        <v>1248</v>
      </c>
      <c r="C1290" s="2">
        <v>44385</v>
      </c>
      <c r="D1290" t="s">
        <v>108</v>
      </c>
      <c r="E1290" t="s">
        <v>44</v>
      </c>
      <c r="F1290" t="s">
        <v>26</v>
      </c>
      <c r="G1290" t="s">
        <v>94</v>
      </c>
      <c r="H1290" t="s">
        <v>95</v>
      </c>
      <c r="I1290" t="s">
        <v>96</v>
      </c>
      <c r="J1290" t="s">
        <v>97</v>
      </c>
      <c r="K1290" t="s">
        <v>98</v>
      </c>
      <c r="L1290" t="s">
        <v>99</v>
      </c>
      <c r="M1290" t="s">
        <v>100</v>
      </c>
      <c r="N1290" t="s">
        <v>101</v>
      </c>
      <c r="O1290" t="s">
        <v>605</v>
      </c>
      <c r="P1290" t="s">
        <v>326</v>
      </c>
      <c r="Q1290" t="s">
        <v>244</v>
      </c>
      <c r="R1290" t="s">
        <v>606</v>
      </c>
      <c r="S1290" t="s">
        <v>607</v>
      </c>
      <c r="T1290" t="s">
        <v>608</v>
      </c>
      <c r="U1290" s="10" t="s">
        <v>1061</v>
      </c>
      <c r="V1290" s="10" t="s">
        <v>1075</v>
      </c>
      <c r="W1290" s="10" t="s">
        <v>1075</v>
      </c>
      <c r="X1290" s="10" t="s">
        <v>1059</v>
      </c>
      <c r="Y1290" t="s">
        <v>39</v>
      </c>
      <c r="Z1290" t="s">
        <v>40</v>
      </c>
      <c r="AA1290" t="s">
        <v>63</v>
      </c>
    </row>
    <row r="1291" spans="1:28" x14ac:dyDescent="0.8">
      <c r="A1291">
        <v>757</v>
      </c>
      <c r="B1291">
        <v>1238</v>
      </c>
      <c r="C1291" s="2">
        <v>44385</v>
      </c>
      <c r="D1291" t="s">
        <v>108</v>
      </c>
      <c r="E1291" t="s">
        <v>25</v>
      </c>
      <c r="F1291" t="s">
        <v>26</v>
      </c>
      <c r="G1291" t="s">
        <v>94</v>
      </c>
      <c r="H1291" t="s">
        <v>95</v>
      </c>
      <c r="I1291" t="s">
        <v>96</v>
      </c>
      <c r="J1291" t="s">
        <v>97</v>
      </c>
      <c r="K1291" t="s">
        <v>98</v>
      </c>
      <c r="L1291" t="s">
        <v>99</v>
      </c>
      <c r="M1291" t="s">
        <v>100</v>
      </c>
      <c r="N1291" t="s">
        <v>101</v>
      </c>
      <c r="O1291" t="s">
        <v>605</v>
      </c>
      <c r="P1291" t="s">
        <v>326</v>
      </c>
      <c r="Q1291" t="s">
        <v>244</v>
      </c>
      <c r="R1291" t="s">
        <v>606</v>
      </c>
      <c r="S1291" t="s">
        <v>607</v>
      </c>
      <c r="T1291" t="s">
        <v>608</v>
      </c>
      <c r="U1291" s="10" t="s">
        <v>1061</v>
      </c>
      <c r="V1291" s="10" t="s">
        <v>1075</v>
      </c>
      <c r="W1291" s="10" t="s">
        <v>1075</v>
      </c>
      <c r="X1291" s="10" t="s">
        <v>1059</v>
      </c>
      <c r="Y1291" t="s">
        <v>39</v>
      </c>
      <c r="Z1291" t="s">
        <v>40</v>
      </c>
      <c r="AA1291" t="s">
        <v>63</v>
      </c>
    </row>
    <row r="1292" spans="1:28" x14ac:dyDescent="0.8">
      <c r="A1292">
        <v>711</v>
      </c>
      <c r="B1292">
        <v>1144</v>
      </c>
      <c r="C1292" s="2">
        <v>44385</v>
      </c>
      <c r="D1292" t="s">
        <v>133</v>
      </c>
      <c r="E1292" t="s">
        <v>25</v>
      </c>
      <c r="F1292" t="s">
        <v>26</v>
      </c>
      <c r="G1292" t="s">
        <v>45</v>
      </c>
      <c r="H1292" t="s">
        <v>68</v>
      </c>
      <c r="I1292" t="s">
        <v>69</v>
      </c>
      <c r="J1292" t="s">
        <v>70</v>
      </c>
      <c r="K1292" t="s">
        <v>71</v>
      </c>
      <c r="L1292" t="s">
        <v>72</v>
      </c>
      <c r="M1292" t="s">
        <v>73</v>
      </c>
      <c r="N1292" t="s">
        <v>61</v>
      </c>
      <c r="O1292" t="s">
        <v>605</v>
      </c>
      <c r="P1292" t="s">
        <v>326</v>
      </c>
      <c r="Q1292" t="s">
        <v>244</v>
      </c>
      <c r="R1292" t="s">
        <v>606</v>
      </c>
      <c r="S1292" t="s">
        <v>607</v>
      </c>
      <c r="T1292" t="s">
        <v>608</v>
      </c>
      <c r="U1292" s="10" t="s">
        <v>1061</v>
      </c>
      <c r="V1292" s="10" t="s">
        <v>1075</v>
      </c>
      <c r="W1292" s="10" t="s">
        <v>1075</v>
      </c>
      <c r="X1292" s="10" t="s">
        <v>1059</v>
      </c>
      <c r="Y1292" t="s">
        <v>39</v>
      </c>
      <c r="Z1292" t="s">
        <v>62</v>
      </c>
      <c r="AA1292" t="s">
        <v>63</v>
      </c>
    </row>
    <row r="1293" spans="1:28" x14ac:dyDescent="0.8">
      <c r="A1293">
        <v>1669</v>
      </c>
      <c r="B1293">
        <v>442</v>
      </c>
      <c r="C1293" s="2">
        <v>44388</v>
      </c>
      <c r="D1293" t="s">
        <v>124</v>
      </c>
      <c r="E1293" t="s">
        <v>25</v>
      </c>
      <c r="F1293" t="s">
        <v>26</v>
      </c>
      <c r="G1293" t="s">
        <v>45</v>
      </c>
      <c r="H1293" t="s">
        <v>68</v>
      </c>
      <c r="I1293" t="s">
        <v>69</v>
      </c>
      <c r="J1293" t="s">
        <v>70</v>
      </c>
      <c r="K1293" t="s">
        <v>71</v>
      </c>
      <c r="L1293" t="s">
        <v>72</v>
      </c>
      <c r="M1293" t="s">
        <v>73</v>
      </c>
      <c r="N1293" t="s">
        <v>61</v>
      </c>
      <c r="O1293" t="s">
        <v>605</v>
      </c>
      <c r="P1293" t="s">
        <v>326</v>
      </c>
      <c r="Q1293" t="s">
        <v>244</v>
      </c>
      <c r="R1293" t="s">
        <v>606</v>
      </c>
      <c r="S1293" t="s">
        <v>607</v>
      </c>
      <c r="T1293" t="s">
        <v>608</v>
      </c>
      <c r="U1293" s="10" t="s">
        <v>1061</v>
      </c>
      <c r="V1293" s="10" t="s">
        <v>1075</v>
      </c>
      <c r="W1293" s="10" t="s">
        <v>1075</v>
      </c>
      <c r="X1293" s="10" t="s">
        <v>1059</v>
      </c>
      <c r="Y1293" t="s">
        <v>39</v>
      </c>
      <c r="Z1293" t="s">
        <v>40</v>
      </c>
      <c r="AA1293" t="s">
        <v>41</v>
      </c>
    </row>
    <row r="1294" spans="1:28" x14ac:dyDescent="0.8">
      <c r="A1294">
        <v>190</v>
      </c>
      <c r="B1294">
        <v>1346</v>
      </c>
      <c r="C1294" s="2">
        <v>44388</v>
      </c>
      <c r="D1294" t="s">
        <v>124</v>
      </c>
      <c r="E1294" t="s">
        <v>25</v>
      </c>
      <c r="F1294" t="s">
        <v>26</v>
      </c>
      <c r="G1294" t="s">
        <v>45</v>
      </c>
      <c r="H1294" t="s">
        <v>68</v>
      </c>
      <c r="I1294" t="s">
        <v>69</v>
      </c>
      <c r="J1294" t="s">
        <v>70</v>
      </c>
      <c r="K1294" t="s">
        <v>71</v>
      </c>
      <c r="L1294" t="s">
        <v>72</v>
      </c>
      <c r="M1294" t="s">
        <v>73</v>
      </c>
      <c r="N1294" t="s">
        <v>61</v>
      </c>
      <c r="O1294" t="s">
        <v>605</v>
      </c>
      <c r="P1294" t="s">
        <v>326</v>
      </c>
      <c r="Q1294" t="s">
        <v>244</v>
      </c>
      <c r="R1294" t="s">
        <v>606</v>
      </c>
      <c r="S1294" t="s">
        <v>607</v>
      </c>
      <c r="T1294" t="s">
        <v>608</v>
      </c>
      <c r="U1294" s="10" t="s">
        <v>1061</v>
      </c>
      <c r="V1294" s="10" t="s">
        <v>1075</v>
      </c>
      <c r="W1294" s="10" t="s">
        <v>1075</v>
      </c>
      <c r="X1294" s="10" t="s">
        <v>1059</v>
      </c>
      <c r="Y1294" t="s">
        <v>140</v>
      </c>
      <c r="Z1294" t="s">
        <v>40</v>
      </c>
      <c r="AA1294" t="s">
        <v>53</v>
      </c>
    </row>
    <row r="1295" spans="1:28" x14ac:dyDescent="0.8">
      <c r="A1295">
        <v>413</v>
      </c>
      <c r="B1295">
        <v>1182</v>
      </c>
      <c r="C1295" s="2">
        <v>44384</v>
      </c>
      <c r="D1295" t="s">
        <v>242</v>
      </c>
      <c r="E1295" t="s">
        <v>125</v>
      </c>
      <c r="F1295" t="s">
        <v>26</v>
      </c>
      <c r="G1295" t="s">
        <v>45</v>
      </c>
      <c r="H1295" t="s">
        <v>68</v>
      </c>
      <c r="I1295" t="s">
        <v>69</v>
      </c>
      <c r="J1295" t="s">
        <v>70</v>
      </c>
      <c r="K1295" t="s">
        <v>71</v>
      </c>
      <c r="L1295" t="s">
        <v>72</v>
      </c>
      <c r="M1295" t="s">
        <v>73</v>
      </c>
      <c r="N1295" t="s">
        <v>61</v>
      </c>
      <c r="O1295" t="s">
        <v>906</v>
      </c>
      <c r="P1295" t="s">
        <v>85</v>
      </c>
      <c r="Q1295" t="s">
        <v>907</v>
      </c>
      <c r="R1295" t="s">
        <v>908</v>
      </c>
      <c r="S1295" t="s">
        <v>169</v>
      </c>
      <c r="T1295" t="s">
        <v>909</v>
      </c>
      <c r="U1295" s="10" t="s">
        <v>1061</v>
      </c>
      <c r="V1295" s="10" t="s">
        <v>1075</v>
      </c>
      <c r="W1295" s="10" t="s">
        <v>1075</v>
      </c>
      <c r="X1295" s="10" t="s">
        <v>1059</v>
      </c>
      <c r="Y1295" t="s">
        <v>140</v>
      </c>
      <c r="Z1295" t="s">
        <v>40</v>
      </c>
      <c r="AA1295" t="s">
        <v>53</v>
      </c>
    </row>
    <row r="1296" spans="1:28" x14ac:dyDescent="0.8">
      <c r="A1296">
        <v>256</v>
      </c>
      <c r="B1296">
        <v>1462</v>
      </c>
      <c r="C1296" s="2">
        <v>44384</v>
      </c>
      <c r="D1296" t="s">
        <v>24</v>
      </c>
      <c r="E1296" t="s">
        <v>125</v>
      </c>
      <c r="F1296" t="s">
        <v>26</v>
      </c>
      <c r="G1296" t="s">
        <v>45</v>
      </c>
      <c r="H1296" t="s">
        <v>155</v>
      </c>
      <c r="I1296" t="s">
        <v>69</v>
      </c>
      <c r="J1296" t="s">
        <v>156</v>
      </c>
      <c r="K1296" t="s">
        <v>157</v>
      </c>
      <c r="L1296" t="s">
        <v>232</v>
      </c>
      <c r="M1296" t="s">
        <v>233</v>
      </c>
      <c r="N1296" t="s">
        <v>61</v>
      </c>
      <c r="O1296" t="s">
        <v>958</v>
      </c>
      <c r="P1296" t="s">
        <v>85</v>
      </c>
      <c r="Q1296" t="s">
        <v>299</v>
      </c>
      <c r="R1296" t="s">
        <v>959</v>
      </c>
      <c r="S1296" t="s">
        <v>960</v>
      </c>
      <c r="T1296" t="s">
        <v>961</v>
      </c>
      <c r="U1296" s="10" t="s">
        <v>1061</v>
      </c>
      <c r="V1296" s="10" t="s">
        <v>1075</v>
      </c>
      <c r="W1296" s="10" t="s">
        <v>1075</v>
      </c>
      <c r="X1296" s="10" t="s">
        <v>1059</v>
      </c>
      <c r="Y1296" t="s">
        <v>39</v>
      </c>
      <c r="Z1296" t="s">
        <v>40</v>
      </c>
      <c r="AA1296" t="s">
        <v>53</v>
      </c>
    </row>
    <row r="1297" spans="1:27" x14ac:dyDescent="0.8">
      <c r="A1297">
        <v>1760</v>
      </c>
      <c r="B1297">
        <v>98</v>
      </c>
      <c r="C1297" s="2">
        <v>44384</v>
      </c>
      <c r="D1297" t="s">
        <v>24</v>
      </c>
      <c r="E1297" t="s">
        <v>63</v>
      </c>
      <c r="F1297" t="s">
        <v>26</v>
      </c>
      <c r="G1297" t="s">
        <v>45</v>
      </c>
      <c r="H1297" t="s">
        <v>155</v>
      </c>
      <c r="I1297" t="s">
        <v>69</v>
      </c>
      <c r="J1297" t="s">
        <v>156</v>
      </c>
      <c r="K1297" t="s">
        <v>157</v>
      </c>
      <c r="L1297" t="s">
        <v>158</v>
      </c>
      <c r="M1297" t="s">
        <v>159</v>
      </c>
      <c r="N1297" t="s">
        <v>61</v>
      </c>
      <c r="O1297" t="s">
        <v>958</v>
      </c>
      <c r="P1297" t="s">
        <v>85</v>
      </c>
      <c r="Q1297" t="s">
        <v>299</v>
      </c>
      <c r="R1297" t="s">
        <v>959</v>
      </c>
      <c r="S1297" t="s">
        <v>960</v>
      </c>
      <c r="T1297" t="s">
        <v>961</v>
      </c>
      <c r="U1297" s="10" t="s">
        <v>1061</v>
      </c>
      <c r="V1297" s="10" t="s">
        <v>1075</v>
      </c>
      <c r="W1297" s="10" t="s">
        <v>1075</v>
      </c>
      <c r="X1297" s="10" t="s">
        <v>1059</v>
      </c>
      <c r="Y1297" t="s">
        <v>39</v>
      </c>
      <c r="Z1297" t="s">
        <v>40</v>
      </c>
      <c r="AA1297" t="s">
        <v>41</v>
      </c>
    </row>
    <row r="1298" spans="1:27" x14ac:dyDescent="0.8">
      <c r="A1298">
        <v>1703</v>
      </c>
      <c r="B1298">
        <v>553</v>
      </c>
      <c r="C1298" s="2">
        <v>44388</v>
      </c>
      <c r="D1298" t="s">
        <v>328</v>
      </c>
      <c r="E1298" t="s">
        <v>63</v>
      </c>
      <c r="F1298" t="s">
        <v>26</v>
      </c>
      <c r="G1298" t="s">
        <v>45</v>
      </c>
      <c r="H1298" t="s">
        <v>155</v>
      </c>
      <c r="I1298" t="s">
        <v>69</v>
      </c>
      <c r="J1298" t="s">
        <v>156</v>
      </c>
      <c r="K1298" t="s">
        <v>157</v>
      </c>
      <c r="L1298" t="s">
        <v>158</v>
      </c>
      <c r="M1298" t="s">
        <v>159</v>
      </c>
      <c r="N1298" t="s">
        <v>61</v>
      </c>
      <c r="O1298" t="s">
        <v>958</v>
      </c>
      <c r="P1298" t="s">
        <v>85</v>
      </c>
      <c r="Q1298" t="s">
        <v>299</v>
      </c>
      <c r="R1298" t="s">
        <v>959</v>
      </c>
      <c r="S1298" t="s">
        <v>960</v>
      </c>
      <c r="T1298" t="s">
        <v>961</v>
      </c>
      <c r="U1298" s="10" t="s">
        <v>1061</v>
      </c>
      <c r="V1298" s="10" t="s">
        <v>1075</v>
      </c>
      <c r="W1298" s="10" t="s">
        <v>1075</v>
      </c>
      <c r="X1298" s="10" t="s">
        <v>1059</v>
      </c>
      <c r="Y1298" t="s">
        <v>39</v>
      </c>
      <c r="Z1298" t="s">
        <v>40</v>
      </c>
      <c r="AA1298" t="s">
        <v>41</v>
      </c>
    </row>
    <row r="1299" spans="1:27" x14ac:dyDescent="0.8">
      <c r="A1299">
        <v>1786</v>
      </c>
      <c r="B1299">
        <v>1504</v>
      </c>
      <c r="C1299" s="2">
        <v>44388</v>
      </c>
      <c r="D1299" t="s">
        <v>134</v>
      </c>
      <c r="E1299" t="s">
        <v>53</v>
      </c>
      <c r="F1299" t="s">
        <v>26</v>
      </c>
      <c r="G1299" t="s">
        <v>45</v>
      </c>
      <c r="H1299" t="s">
        <v>155</v>
      </c>
      <c r="I1299" t="s">
        <v>69</v>
      </c>
      <c r="J1299" t="s">
        <v>156</v>
      </c>
      <c r="K1299" t="s">
        <v>157</v>
      </c>
      <c r="L1299" t="s">
        <v>158</v>
      </c>
      <c r="M1299" t="s">
        <v>159</v>
      </c>
      <c r="N1299" t="s">
        <v>61</v>
      </c>
      <c r="O1299" t="s">
        <v>958</v>
      </c>
      <c r="P1299" t="s">
        <v>85</v>
      </c>
      <c r="Q1299" t="s">
        <v>299</v>
      </c>
      <c r="R1299" t="s">
        <v>959</v>
      </c>
      <c r="S1299" t="s">
        <v>960</v>
      </c>
      <c r="T1299" t="s">
        <v>961</v>
      </c>
      <c r="U1299" s="10" t="s">
        <v>1061</v>
      </c>
      <c r="V1299" s="10" t="s">
        <v>1075</v>
      </c>
      <c r="W1299" s="10" t="s">
        <v>1075</v>
      </c>
      <c r="X1299" s="10" t="s">
        <v>1059</v>
      </c>
      <c r="Y1299" t="s">
        <v>39</v>
      </c>
      <c r="Z1299" t="s">
        <v>40</v>
      </c>
      <c r="AA1299" t="s">
        <v>41</v>
      </c>
    </row>
    <row r="1300" spans="1:27" x14ac:dyDescent="0.8">
      <c r="A1300">
        <v>1653</v>
      </c>
      <c r="B1300">
        <v>424</v>
      </c>
      <c r="C1300" s="2">
        <v>44388</v>
      </c>
      <c r="D1300" t="s">
        <v>235</v>
      </c>
      <c r="E1300" t="s">
        <v>63</v>
      </c>
      <c r="F1300" t="s">
        <v>26</v>
      </c>
      <c r="G1300" t="s">
        <v>45</v>
      </c>
      <c r="H1300" t="s">
        <v>155</v>
      </c>
      <c r="I1300" t="s">
        <v>69</v>
      </c>
      <c r="J1300" t="s">
        <v>156</v>
      </c>
      <c r="K1300" t="s">
        <v>157</v>
      </c>
      <c r="L1300" t="s">
        <v>158</v>
      </c>
      <c r="M1300" t="s">
        <v>159</v>
      </c>
      <c r="N1300" t="s">
        <v>61</v>
      </c>
      <c r="O1300" t="s">
        <v>958</v>
      </c>
      <c r="P1300" t="s">
        <v>85</v>
      </c>
      <c r="Q1300" t="s">
        <v>299</v>
      </c>
      <c r="R1300" t="s">
        <v>959</v>
      </c>
      <c r="S1300" t="s">
        <v>960</v>
      </c>
      <c r="T1300" t="s">
        <v>961</v>
      </c>
      <c r="U1300" s="10" t="s">
        <v>1061</v>
      </c>
      <c r="V1300" s="10" t="s">
        <v>1075</v>
      </c>
      <c r="W1300" s="10" t="s">
        <v>1075</v>
      </c>
      <c r="X1300" s="10" t="s">
        <v>1059</v>
      </c>
      <c r="Y1300" t="s">
        <v>39</v>
      </c>
      <c r="Z1300" t="s">
        <v>40</v>
      </c>
      <c r="AA1300" t="s">
        <v>41</v>
      </c>
    </row>
    <row r="1301" spans="1:27" x14ac:dyDescent="0.8">
      <c r="A1301">
        <v>1277</v>
      </c>
      <c r="B1301">
        <v>1924</v>
      </c>
      <c r="C1301" s="2">
        <v>44387</v>
      </c>
      <c r="D1301" t="s">
        <v>102</v>
      </c>
      <c r="E1301" t="s">
        <v>150</v>
      </c>
      <c r="F1301" t="s">
        <v>26</v>
      </c>
      <c r="G1301" t="s">
        <v>45</v>
      </c>
      <c r="H1301" t="s">
        <v>155</v>
      </c>
      <c r="I1301" t="s">
        <v>69</v>
      </c>
      <c r="J1301" t="s">
        <v>156</v>
      </c>
      <c r="K1301" t="s">
        <v>157</v>
      </c>
      <c r="L1301" t="s">
        <v>158</v>
      </c>
      <c r="M1301" t="s">
        <v>159</v>
      </c>
      <c r="N1301" t="s">
        <v>61</v>
      </c>
      <c r="O1301" t="s">
        <v>958</v>
      </c>
      <c r="P1301" t="s">
        <v>85</v>
      </c>
      <c r="Q1301" t="s">
        <v>299</v>
      </c>
      <c r="R1301" t="s">
        <v>959</v>
      </c>
      <c r="S1301" t="s">
        <v>960</v>
      </c>
      <c r="T1301" t="s">
        <v>961</v>
      </c>
      <c r="U1301" s="10" t="s">
        <v>1061</v>
      </c>
      <c r="V1301" s="10" t="s">
        <v>1075</v>
      </c>
      <c r="W1301" s="10" t="s">
        <v>1075</v>
      </c>
      <c r="X1301" s="10" t="s">
        <v>1059</v>
      </c>
      <c r="Y1301" t="s">
        <v>39</v>
      </c>
      <c r="Z1301" t="s">
        <v>40</v>
      </c>
      <c r="AA1301" t="s">
        <v>63</v>
      </c>
    </row>
    <row r="1302" spans="1:27" x14ac:dyDescent="0.8">
      <c r="A1302">
        <v>1265</v>
      </c>
      <c r="B1302">
        <v>1912</v>
      </c>
      <c r="C1302" s="2">
        <v>44387</v>
      </c>
      <c r="D1302" t="s">
        <v>102</v>
      </c>
      <c r="E1302" t="s">
        <v>103</v>
      </c>
      <c r="F1302" t="s">
        <v>26</v>
      </c>
      <c r="G1302" t="s">
        <v>45</v>
      </c>
      <c r="H1302" t="s">
        <v>155</v>
      </c>
      <c r="I1302" t="s">
        <v>69</v>
      </c>
      <c r="J1302" t="s">
        <v>156</v>
      </c>
      <c r="K1302" t="s">
        <v>157</v>
      </c>
      <c r="L1302" t="s">
        <v>158</v>
      </c>
      <c r="M1302" t="s">
        <v>159</v>
      </c>
      <c r="N1302" t="s">
        <v>61</v>
      </c>
      <c r="O1302" t="s">
        <v>958</v>
      </c>
      <c r="P1302" t="s">
        <v>85</v>
      </c>
      <c r="Q1302" t="s">
        <v>299</v>
      </c>
      <c r="R1302" t="s">
        <v>959</v>
      </c>
      <c r="S1302" t="s">
        <v>960</v>
      </c>
      <c r="T1302" t="s">
        <v>961</v>
      </c>
      <c r="U1302" s="10" t="s">
        <v>1061</v>
      </c>
      <c r="V1302" s="10" t="s">
        <v>1075</v>
      </c>
      <c r="W1302" s="10" t="s">
        <v>1075</v>
      </c>
      <c r="X1302" s="10" t="s">
        <v>1059</v>
      </c>
      <c r="Y1302" t="s">
        <v>39</v>
      </c>
      <c r="Z1302" t="s">
        <v>62</v>
      </c>
      <c r="AA1302" t="s">
        <v>63</v>
      </c>
    </row>
    <row r="1303" spans="1:27" x14ac:dyDescent="0.8">
      <c r="A1303">
        <v>1253</v>
      </c>
      <c r="B1303">
        <v>1850</v>
      </c>
      <c r="C1303" s="2">
        <v>44387</v>
      </c>
      <c r="D1303" t="s">
        <v>102</v>
      </c>
      <c r="E1303" t="s">
        <v>150</v>
      </c>
      <c r="F1303" t="s">
        <v>26</v>
      </c>
      <c r="G1303" t="s">
        <v>45</v>
      </c>
      <c r="H1303" t="s">
        <v>155</v>
      </c>
      <c r="I1303" t="s">
        <v>69</v>
      </c>
      <c r="J1303" t="s">
        <v>156</v>
      </c>
      <c r="K1303" t="s">
        <v>157</v>
      </c>
      <c r="L1303" t="s">
        <v>158</v>
      </c>
      <c r="M1303" t="s">
        <v>159</v>
      </c>
      <c r="N1303" t="s">
        <v>61</v>
      </c>
      <c r="O1303" t="s">
        <v>958</v>
      </c>
      <c r="P1303" t="s">
        <v>85</v>
      </c>
      <c r="Q1303" t="s">
        <v>299</v>
      </c>
      <c r="R1303" t="s">
        <v>959</v>
      </c>
      <c r="S1303" t="s">
        <v>960</v>
      </c>
      <c r="T1303" t="s">
        <v>961</v>
      </c>
      <c r="U1303" s="10" t="s">
        <v>1061</v>
      </c>
      <c r="V1303" s="10" t="s">
        <v>1075</v>
      </c>
      <c r="W1303" s="10" t="s">
        <v>1075</v>
      </c>
      <c r="X1303" s="10" t="s">
        <v>1059</v>
      </c>
      <c r="Y1303" t="s">
        <v>39</v>
      </c>
      <c r="Z1303" t="s">
        <v>40</v>
      </c>
      <c r="AA1303" t="s">
        <v>63</v>
      </c>
    </row>
    <row r="1304" spans="1:27" x14ac:dyDescent="0.8">
      <c r="A1304">
        <v>1237</v>
      </c>
      <c r="B1304">
        <v>1834</v>
      </c>
      <c r="C1304" s="2">
        <v>44387</v>
      </c>
      <c r="D1304" t="s">
        <v>102</v>
      </c>
      <c r="E1304" t="s">
        <v>63</v>
      </c>
      <c r="F1304" t="s">
        <v>26</v>
      </c>
      <c r="G1304" t="s">
        <v>45</v>
      </c>
      <c r="H1304" t="s">
        <v>155</v>
      </c>
      <c r="I1304" t="s">
        <v>69</v>
      </c>
      <c r="J1304" t="s">
        <v>156</v>
      </c>
      <c r="K1304" t="s">
        <v>157</v>
      </c>
      <c r="L1304" t="s">
        <v>158</v>
      </c>
      <c r="M1304" t="s">
        <v>159</v>
      </c>
      <c r="N1304" t="s">
        <v>61</v>
      </c>
      <c r="O1304" t="s">
        <v>958</v>
      </c>
      <c r="P1304" t="s">
        <v>85</v>
      </c>
      <c r="Q1304" t="s">
        <v>299</v>
      </c>
      <c r="R1304" t="s">
        <v>959</v>
      </c>
      <c r="S1304" t="s">
        <v>960</v>
      </c>
      <c r="T1304" t="s">
        <v>961</v>
      </c>
      <c r="U1304" s="10" t="s">
        <v>1061</v>
      </c>
      <c r="V1304" s="10" t="s">
        <v>1075</v>
      </c>
      <c r="W1304" s="10" t="s">
        <v>1075</v>
      </c>
      <c r="X1304" s="10" t="s">
        <v>1059</v>
      </c>
      <c r="Y1304" t="s">
        <v>39</v>
      </c>
      <c r="Z1304" t="s">
        <v>40</v>
      </c>
      <c r="AA1304" t="s">
        <v>63</v>
      </c>
    </row>
    <row r="1305" spans="1:27" x14ac:dyDescent="0.8">
      <c r="A1305">
        <v>1093</v>
      </c>
      <c r="B1305">
        <v>1193</v>
      </c>
      <c r="C1305" s="2">
        <v>44387</v>
      </c>
      <c r="D1305" t="s">
        <v>54</v>
      </c>
      <c r="E1305" t="s">
        <v>103</v>
      </c>
      <c r="F1305" t="s">
        <v>26</v>
      </c>
      <c r="G1305" t="s">
        <v>45</v>
      </c>
      <c r="H1305" t="s">
        <v>155</v>
      </c>
      <c r="I1305" t="s">
        <v>69</v>
      </c>
      <c r="J1305" t="s">
        <v>156</v>
      </c>
      <c r="K1305" t="s">
        <v>157</v>
      </c>
      <c r="L1305" t="s">
        <v>158</v>
      </c>
      <c r="M1305" t="s">
        <v>159</v>
      </c>
      <c r="N1305" t="s">
        <v>61</v>
      </c>
      <c r="O1305" t="s">
        <v>958</v>
      </c>
      <c r="P1305" t="s">
        <v>85</v>
      </c>
      <c r="Q1305" t="s">
        <v>299</v>
      </c>
      <c r="R1305" t="s">
        <v>959</v>
      </c>
      <c r="S1305" t="s">
        <v>960</v>
      </c>
      <c r="T1305" t="s">
        <v>961</v>
      </c>
      <c r="U1305" s="10" t="s">
        <v>1061</v>
      </c>
      <c r="V1305" s="10" t="s">
        <v>1075</v>
      </c>
      <c r="W1305" s="10" t="s">
        <v>1075</v>
      </c>
      <c r="X1305" s="10" t="s">
        <v>1059</v>
      </c>
      <c r="Y1305" t="s">
        <v>39</v>
      </c>
      <c r="Z1305" t="s">
        <v>40</v>
      </c>
      <c r="AA1305" t="s">
        <v>63</v>
      </c>
    </row>
    <row r="1306" spans="1:27" x14ac:dyDescent="0.8">
      <c r="A1306">
        <v>1727</v>
      </c>
      <c r="B1306">
        <v>814</v>
      </c>
      <c r="C1306" s="2">
        <v>44384</v>
      </c>
      <c r="D1306" t="s">
        <v>151</v>
      </c>
      <c r="E1306" t="s">
        <v>63</v>
      </c>
      <c r="F1306" t="s">
        <v>26</v>
      </c>
      <c r="G1306" t="s">
        <v>45</v>
      </c>
      <c r="H1306" t="s">
        <v>155</v>
      </c>
      <c r="I1306" t="s">
        <v>69</v>
      </c>
      <c r="J1306" t="s">
        <v>156</v>
      </c>
      <c r="K1306" t="s">
        <v>157</v>
      </c>
      <c r="L1306" t="s">
        <v>158</v>
      </c>
      <c r="M1306" t="s">
        <v>159</v>
      </c>
      <c r="N1306" t="s">
        <v>61</v>
      </c>
      <c r="O1306" t="s">
        <v>958</v>
      </c>
      <c r="P1306" t="s">
        <v>85</v>
      </c>
      <c r="Q1306" t="s">
        <v>299</v>
      </c>
      <c r="R1306" t="s">
        <v>959</v>
      </c>
      <c r="S1306" t="s">
        <v>960</v>
      </c>
      <c r="T1306" t="s">
        <v>961</v>
      </c>
      <c r="U1306" s="10" t="s">
        <v>1061</v>
      </c>
      <c r="V1306" s="10" t="s">
        <v>1075</v>
      </c>
      <c r="W1306" s="10" t="s">
        <v>1075</v>
      </c>
      <c r="X1306" s="10" t="s">
        <v>1059</v>
      </c>
      <c r="Y1306" t="s">
        <v>39</v>
      </c>
      <c r="Z1306" t="s">
        <v>40</v>
      </c>
      <c r="AA1306" t="s">
        <v>41</v>
      </c>
    </row>
    <row r="1307" spans="1:27" x14ac:dyDescent="0.8">
      <c r="A1307">
        <v>1711</v>
      </c>
      <c r="B1307">
        <v>562</v>
      </c>
      <c r="C1307" s="2">
        <v>44388</v>
      </c>
      <c r="D1307" t="s">
        <v>328</v>
      </c>
      <c r="E1307" t="s">
        <v>53</v>
      </c>
      <c r="F1307" t="s">
        <v>26</v>
      </c>
      <c r="G1307" t="s">
        <v>45</v>
      </c>
      <c r="H1307" t="s">
        <v>46</v>
      </c>
      <c r="I1307" t="s">
        <v>47</v>
      </c>
      <c r="J1307" t="s">
        <v>48</v>
      </c>
      <c r="K1307" t="s">
        <v>141</v>
      </c>
      <c r="L1307" t="s">
        <v>112</v>
      </c>
      <c r="M1307" t="s">
        <v>382</v>
      </c>
      <c r="N1307" t="s">
        <v>61</v>
      </c>
      <c r="O1307" t="s">
        <v>998</v>
      </c>
      <c r="P1307" t="s">
        <v>326</v>
      </c>
      <c r="Q1307" t="s">
        <v>35</v>
      </c>
      <c r="R1307" t="s">
        <v>999</v>
      </c>
      <c r="S1307" t="s">
        <v>1000</v>
      </c>
      <c r="T1307" t="s">
        <v>1001</v>
      </c>
      <c r="U1307" s="10" t="s">
        <v>1061</v>
      </c>
      <c r="V1307" s="10" t="s">
        <v>1075</v>
      </c>
      <c r="W1307" s="10" t="s">
        <v>1075</v>
      </c>
      <c r="X1307" s="10" t="s">
        <v>1059</v>
      </c>
      <c r="Y1307" t="s">
        <v>39</v>
      </c>
      <c r="Z1307" t="s">
        <v>40</v>
      </c>
      <c r="AA1307" t="s">
        <v>41</v>
      </c>
    </row>
    <row r="1308" spans="1:27" x14ac:dyDescent="0.8">
      <c r="A1308">
        <v>1708</v>
      </c>
      <c r="B1308">
        <v>558</v>
      </c>
      <c r="C1308" s="2">
        <v>44388</v>
      </c>
      <c r="D1308" t="s">
        <v>328</v>
      </c>
      <c r="E1308" t="s">
        <v>53</v>
      </c>
      <c r="F1308" t="s">
        <v>26</v>
      </c>
      <c r="G1308" t="s">
        <v>45</v>
      </c>
      <c r="H1308" t="s">
        <v>46</v>
      </c>
      <c r="I1308" t="s">
        <v>47</v>
      </c>
      <c r="J1308" t="s">
        <v>48</v>
      </c>
      <c r="K1308" t="s">
        <v>141</v>
      </c>
      <c r="L1308" t="s">
        <v>112</v>
      </c>
      <c r="M1308" t="s">
        <v>382</v>
      </c>
      <c r="N1308" t="s">
        <v>61</v>
      </c>
      <c r="O1308" t="s">
        <v>998</v>
      </c>
      <c r="P1308" t="s">
        <v>326</v>
      </c>
      <c r="Q1308" t="s">
        <v>35</v>
      </c>
      <c r="R1308" t="s">
        <v>999</v>
      </c>
      <c r="S1308" t="s">
        <v>1000</v>
      </c>
      <c r="T1308" t="s">
        <v>1001</v>
      </c>
      <c r="U1308" s="10" t="s">
        <v>1061</v>
      </c>
      <c r="V1308" s="10" t="s">
        <v>1075</v>
      </c>
      <c r="W1308" s="10" t="s">
        <v>1075</v>
      </c>
      <c r="X1308" s="10" t="s">
        <v>1059</v>
      </c>
      <c r="Y1308" t="s">
        <v>39</v>
      </c>
      <c r="Z1308" t="s">
        <v>40</v>
      </c>
      <c r="AA1308" t="s">
        <v>41</v>
      </c>
    </row>
    <row r="1309" spans="1:27" x14ac:dyDescent="0.8">
      <c r="A1309">
        <v>176</v>
      </c>
      <c r="B1309">
        <v>1262</v>
      </c>
      <c r="C1309" s="2">
        <v>44388</v>
      </c>
      <c r="D1309" t="s">
        <v>235</v>
      </c>
      <c r="E1309" t="s">
        <v>25</v>
      </c>
      <c r="F1309" t="s">
        <v>26</v>
      </c>
      <c r="G1309" t="s">
        <v>45</v>
      </c>
      <c r="H1309" t="s">
        <v>46</v>
      </c>
      <c r="I1309" t="s">
        <v>47</v>
      </c>
      <c r="J1309" t="s">
        <v>48</v>
      </c>
      <c r="K1309" t="s">
        <v>141</v>
      </c>
      <c r="L1309" t="s">
        <v>142</v>
      </c>
      <c r="M1309" t="s">
        <v>143</v>
      </c>
      <c r="N1309" t="s">
        <v>61</v>
      </c>
      <c r="O1309" t="s">
        <v>998</v>
      </c>
      <c r="P1309" t="s">
        <v>326</v>
      </c>
      <c r="Q1309" t="s">
        <v>35</v>
      </c>
      <c r="R1309" t="s">
        <v>999</v>
      </c>
      <c r="S1309" t="s">
        <v>1000</v>
      </c>
      <c r="T1309" t="s">
        <v>1001</v>
      </c>
      <c r="U1309" s="10" t="s">
        <v>1061</v>
      </c>
      <c r="V1309" s="10" t="s">
        <v>1075</v>
      </c>
      <c r="W1309" s="10" t="s">
        <v>1075</v>
      </c>
      <c r="X1309" s="10" t="s">
        <v>1059</v>
      </c>
      <c r="Y1309" t="s">
        <v>39</v>
      </c>
      <c r="Z1309" t="s">
        <v>62</v>
      </c>
      <c r="AA1309" t="s">
        <v>53</v>
      </c>
    </row>
    <row r="1310" spans="1:27" x14ac:dyDescent="0.8">
      <c r="A1310">
        <v>984</v>
      </c>
      <c r="B1310">
        <v>1292</v>
      </c>
      <c r="C1310" s="2">
        <v>44385</v>
      </c>
      <c r="D1310" t="s">
        <v>203</v>
      </c>
      <c r="E1310" t="s">
        <v>25</v>
      </c>
      <c r="F1310" t="s">
        <v>26</v>
      </c>
      <c r="G1310" t="s">
        <v>27</v>
      </c>
      <c r="H1310" t="s">
        <v>114</v>
      </c>
      <c r="I1310" t="s">
        <v>115</v>
      </c>
      <c r="J1310" t="s">
        <v>116</v>
      </c>
      <c r="K1310" t="s">
        <v>117</v>
      </c>
      <c r="L1310" t="s">
        <v>195</v>
      </c>
      <c r="M1310" t="s">
        <v>196</v>
      </c>
      <c r="O1310" t="s">
        <v>998</v>
      </c>
      <c r="P1310" t="s">
        <v>326</v>
      </c>
      <c r="Q1310" t="s">
        <v>35</v>
      </c>
      <c r="R1310" t="s">
        <v>999</v>
      </c>
      <c r="S1310" t="s">
        <v>1000</v>
      </c>
      <c r="T1310" t="s">
        <v>1001</v>
      </c>
      <c r="U1310" s="10" t="s">
        <v>1061</v>
      </c>
      <c r="V1310" s="10" t="s">
        <v>1075</v>
      </c>
      <c r="W1310" s="10" t="s">
        <v>1075</v>
      </c>
      <c r="X1310" s="10" t="s">
        <v>1059</v>
      </c>
      <c r="Y1310" t="s">
        <v>39</v>
      </c>
      <c r="Z1310" t="s">
        <v>40</v>
      </c>
      <c r="AA1310" t="s">
        <v>63</v>
      </c>
    </row>
    <row r="1311" spans="1:27" x14ac:dyDescent="0.8">
      <c r="A1311">
        <v>972</v>
      </c>
      <c r="B1311">
        <v>1280</v>
      </c>
      <c r="C1311" s="2">
        <v>44385</v>
      </c>
      <c r="D1311" t="s">
        <v>203</v>
      </c>
      <c r="E1311" t="s">
        <v>25</v>
      </c>
      <c r="F1311" t="s">
        <v>26</v>
      </c>
      <c r="G1311" t="s">
        <v>45</v>
      </c>
      <c r="H1311" t="s">
        <v>46</v>
      </c>
      <c r="I1311" t="s">
        <v>47</v>
      </c>
      <c r="J1311" t="s">
        <v>48</v>
      </c>
      <c r="K1311" t="s">
        <v>141</v>
      </c>
      <c r="L1311" t="s">
        <v>112</v>
      </c>
      <c r="M1311" t="s">
        <v>382</v>
      </c>
      <c r="N1311" t="s">
        <v>61</v>
      </c>
      <c r="O1311" t="s">
        <v>998</v>
      </c>
      <c r="P1311" t="s">
        <v>326</v>
      </c>
      <c r="Q1311" t="s">
        <v>35</v>
      </c>
      <c r="R1311" t="s">
        <v>999</v>
      </c>
      <c r="S1311" t="s">
        <v>1000</v>
      </c>
      <c r="T1311" t="s">
        <v>1001</v>
      </c>
      <c r="U1311" s="10" t="s">
        <v>1061</v>
      </c>
      <c r="V1311" s="10" t="s">
        <v>1075</v>
      </c>
      <c r="W1311" s="10" t="s">
        <v>1075</v>
      </c>
      <c r="X1311" s="10" t="s">
        <v>1059</v>
      </c>
      <c r="Y1311" t="s">
        <v>140</v>
      </c>
      <c r="Z1311" t="s">
        <v>40</v>
      </c>
      <c r="AA1311" t="s">
        <v>63</v>
      </c>
    </row>
    <row r="1312" spans="1:27" x14ac:dyDescent="0.8">
      <c r="A1312">
        <v>1323</v>
      </c>
      <c r="B1312">
        <v>2020</v>
      </c>
      <c r="C1312" s="2">
        <v>44385</v>
      </c>
      <c r="D1312" t="s">
        <v>104</v>
      </c>
      <c r="E1312" t="s">
        <v>44</v>
      </c>
      <c r="F1312" t="s">
        <v>26</v>
      </c>
      <c r="G1312" t="s">
        <v>27</v>
      </c>
      <c r="H1312" t="s">
        <v>114</v>
      </c>
      <c r="I1312" t="s">
        <v>115</v>
      </c>
      <c r="J1312" t="s">
        <v>174</v>
      </c>
      <c r="K1312" t="s">
        <v>175</v>
      </c>
      <c r="L1312" t="s">
        <v>176</v>
      </c>
      <c r="M1312" t="s">
        <v>177</v>
      </c>
      <c r="O1312" t="s">
        <v>998</v>
      </c>
      <c r="P1312" t="s">
        <v>326</v>
      </c>
      <c r="Q1312" t="s">
        <v>35</v>
      </c>
      <c r="R1312" t="s">
        <v>999</v>
      </c>
      <c r="S1312" t="s">
        <v>1000</v>
      </c>
      <c r="T1312" t="s">
        <v>1001</v>
      </c>
      <c r="U1312" s="10" t="s">
        <v>1061</v>
      </c>
      <c r="V1312" s="10" t="s">
        <v>1075</v>
      </c>
      <c r="W1312" s="10" t="s">
        <v>1075</v>
      </c>
      <c r="X1312" s="10" t="s">
        <v>1059</v>
      </c>
      <c r="Y1312" t="s">
        <v>39</v>
      </c>
      <c r="Z1312" t="s">
        <v>40</v>
      </c>
      <c r="AA1312" t="s">
        <v>63</v>
      </c>
    </row>
    <row r="1313" spans="1:28" x14ac:dyDescent="0.8">
      <c r="A1313">
        <v>1142</v>
      </c>
      <c r="B1313">
        <v>1589</v>
      </c>
      <c r="C1313" s="2">
        <v>44384</v>
      </c>
      <c r="D1313" t="s">
        <v>384</v>
      </c>
      <c r="E1313" t="s">
        <v>63</v>
      </c>
      <c r="F1313" t="s">
        <v>26</v>
      </c>
      <c r="G1313" t="s">
        <v>45</v>
      </c>
      <c r="H1313" t="s">
        <v>68</v>
      </c>
      <c r="I1313" t="s">
        <v>69</v>
      </c>
      <c r="J1313" t="s">
        <v>70</v>
      </c>
      <c r="K1313" t="s">
        <v>71</v>
      </c>
      <c r="L1313" t="s">
        <v>72</v>
      </c>
      <c r="M1313" t="s">
        <v>73</v>
      </c>
      <c r="N1313" t="s">
        <v>61</v>
      </c>
      <c r="O1313" t="s">
        <v>998</v>
      </c>
      <c r="P1313" t="s">
        <v>326</v>
      </c>
      <c r="Q1313" t="s">
        <v>35</v>
      </c>
      <c r="R1313" t="s">
        <v>999</v>
      </c>
      <c r="S1313" t="s">
        <v>1000</v>
      </c>
      <c r="T1313" t="s">
        <v>1001</v>
      </c>
      <c r="U1313" s="10" t="s">
        <v>1061</v>
      </c>
      <c r="V1313" s="10" t="s">
        <v>1075</v>
      </c>
      <c r="W1313" s="10" t="s">
        <v>1075</v>
      </c>
      <c r="X1313" s="10" t="s">
        <v>1059</v>
      </c>
      <c r="Y1313" t="s">
        <v>39</v>
      </c>
      <c r="Z1313" t="s">
        <v>40</v>
      </c>
      <c r="AA1313" t="s">
        <v>63</v>
      </c>
    </row>
    <row r="1314" spans="1:28" x14ac:dyDescent="0.8">
      <c r="A1314">
        <v>641</v>
      </c>
      <c r="B1314">
        <v>978</v>
      </c>
      <c r="C1314" s="2">
        <v>44384</v>
      </c>
      <c r="D1314" t="s">
        <v>306</v>
      </c>
      <c r="E1314" t="s">
        <v>25</v>
      </c>
      <c r="F1314" t="s">
        <v>26</v>
      </c>
      <c r="G1314" t="s">
        <v>27</v>
      </c>
      <c r="H1314" t="s">
        <v>114</v>
      </c>
      <c r="I1314" t="s">
        <v>115</v>
      </c>
      <c r="J1314" t="s">
        <v>174</v>
      </c>
      <c r="K1314" t="s">
        <v>175</v>
      </c>
      <c r="L1314" t="s">
        <v>176</v>
      </c>
      <c r="M1314" t="s">
        <v>177</v>
      </c>
      <c r="O1314" t="s">
        <v>998</v>
      </c>
      <c r="P1314" t="s">
        <v>326</v>
      </c>
      <c r="Q1314" t="s">
        <v>35</v>
      </c>
      <c r="R1314" t="s">
        <v>999</v>
      </c>
      <c r="S1314" t="s">
        <v>1000</v>
      </c>
      <c r="T1314" t="s">
        <v>1001</v>
      </c>
      <c r="U1314" s="10" t="s">
        <v>1061</v>
      </c>
      <c r="V1314" s="10" t="s">
        <v>1075</v>
      </c>
      <c r="W1314" s="10" t="s">
        <v>1075</v>
      </c>
      <c r="X1314" s="10" t="s">
        <v>1059</v>
      </c>
      <c r="Y1314" t="s">
        <v>39</v>
      </c>
      <c r="Z1314" t="s">
        <v>40</v>
      </c>
      <c r="AA1314" t="s">
        <v>63</v>
      </c>
    </row>
    <row r="1315" spans="1:28" x14ac:dyDescent="0.8">
      <c r="A1315">
        <v>789</v>
      </c>
      <c r="B1315">
        <v>1318</v>
      </c>
      <c r="C1315" s="2">
        <v>44387</v>
      </c>
      <c r="D1315" t="s">
        <v>149</v>
      </c>
      <c r="E1315" t="s">
        <v>25</v>
      </c>
      <c r="F1315" t="s">
        <v>26</v>
      </c>
      <c r="G1315" t="s">
        <v>27</v>
      </c>
      <c r="H1315" t="s">
        <v>114</v>
      </c>
      <c r="I1315" t="s">
        <v>115</v>
      </c>
      <c r="J1315" t="s">
        <v>385</v>
      </c>
      <c r="K1315" t="s">
        <v>386</v>
      </c>
      <c r="L1315" t="s">
        <v>387</v>
      </c>
      <c r="M1315" t="s">
        <v>388</v>
      </c>
      <c r="O1315" t="s">
        <v>883</v>
      </c>
      <c r="P1315" t="s">
        <v>326</v>
      </c>
      <c r="Q1315" t="s">
        <v>884</v>
      </c>
      <c r="R1315" t="s">
        <v>885</v>
      </c>
      <c r="S1315" t="s">
        <v>886</v>
      </c>
      <c r="T1315" t="s">
        <v>887</v>
      </c>
      <c r="U1315" s="10" t="s">
        <v>1061</v>
      </c>
      <c r="V1315" s="10" t="s">
        <v>1075</v>
      </c>
      <c r="W1315" s="10" t="s">
        <v>1075</v>
      </c>
      <c r="X1315" s="10" t="s">
        <v>1063</v>
      </c>
      <c r="Y1315" t="s">
        <v>39</v>
      </c>
      <c r="Z1315" t="s">
        <v>40</v>
      </c>
      <c r="AA1315" t="s">
        <v>63</v>
      </c>
    </row>
    <row r="1316" spans="1:28" x14ac:dyDescent="0.8">
      <c r="A1316">
        <v>793</v>
      </c>
      <c r="B1316">
        <v>1322</v>
      </c>
      <c r="C1316" s="2">
        <v>44387</v>
      </c>
      <c r="D1316" t="s">
        <v>149</v>
      </c>
      <c r="E1316" t="s">
        <v>25</v>
      </c>
      <c r="F1316" t="s">
        <v>26</v>
      </c>
      <c r="G1316" t="s">
        <v>45</v>
      </c>
      <c r="H1316" t="s">
        <v>68</v>
      </c>
      <c r="I1316" t="s">
        <v>69</v>
      </c>
      <c r="J1316" t="s">
        <v>70</v>
      </c>
      <c r="K1316" t="s">
        <v>71</v>
      </c>
      <c r="L1316" t="s">
        <v>72</v>
      </c>
      <c r="M1316" t="s">
        <v>73</v>
      </c>
      <c r="N1316" t="s">
        <v>61</v>
      </c>
      <c r="O1316" t="s">
        <v>883</v>
      </c>
      <c r="P1316" t="s">
        <v>326</v>
      </c>
      <c r="Q1316" t="s">
        <v>884</v>
      </c>
      <c r="R1316" t="s">
        <v>885</v>
      </c>
      <c r="S1316" t="s">
        <v>886</v>
      </c>
      <c r="T1316" t="s">
        <v>887</v>
      </c>
      <c r="U1316" s="10" t="s">
        <v>1061</v>
      </c>
      <c r="V1316" s="10" t="s">
        <v>1075</v>
      </c>
      <c r="W1316" s="10" t="s">
        <v>1075</v>
      </c>
      <c r="X1316" s="10" t="s">
        <v>1063</v>
      </c>
      <c r="Y1316" t="s">
        <v>39</v>
      </c>
      <c r="Z1316" t="s">
        <v>40</v>
      </c>
      <c r="AA1316" t="s">
        <v>63</v>
      </c>
    </row>
    <row r="1317" spans="1:28" x14ac:dyDescent="0.8">
      <c r="A1317">
        <v>792</v>
      </c>
      <c r="B1317">
        <v>1321</v>
      </c>
      <c r="C1317" s="2">
        <v>44387</v>
      </c>
      <c r="D1317" t="s">
        <v>149</v>
      </c>
      <c r="E1317" t="s">
        <v>25</v>
      </c>
      <c r="F1317" t="s">
        <v>26</v>
      </c>
      <c r="G1317" t="s">
        <v>45</v>
      </c>
      <c r="H1317" t="s">
        <v>155</v>
      </c>
      <c r="I1317" t="s">
        <v>69</v>
      </c>
      <c r="J1317" t="s">
        <v>156</v>
      </c>
      <c r="K1317" t="s">
        <v>157</v>
      </c>
      <c r="L1317" t="s">
        <v>500</v>
      </c>
      <c r="M1317" t="s">
        <v>501</v>
      </c>
      <c r="N1317" t="s">
        <v>61</v>
      </c>
      <c r="O1317" t="s">
        <v>883</v>
      </c>
      <c r="P1317" t="s">
        <v>326</v>
      </c>
      <c r="Q1317" t="s">
        <v>884</v>
      </c>
      <c r="R1317" t="s">
        <v>885</v>
      </c>
      <c r="S1317" t="s">
        <v>886</v>
      </c>
      <c r="T1317" t="s">
        <v>887</v>
      </c>
      <c r="U1317" s="10" t="s">
        <v>1061</v>
      </c>
      <c r="V1317" s="10" t="s">
        <v>1075</v>
      </c>
      <c r="W1317" s="10" t="s">
        <v>1075</v>
      </c>
      <c r="X1317" s="10" t="s">
        <v>1063</v>
      </c>
      <c r="Y1317" t="s">
        <v>39</v>
      </c>
      <c r="Z1317" t="s">
        <v>40</v>
      </c>
      <c r="AA1317" t="s">
        <v>63</v>
      </c>
    </row>
    <row r="1318" spans="1:28" x14ac:dyDescent="0.8">
      <c r="A1318">
        <v>795</v>
      </c>
      <c r="B1318">
        <v>1324</v>
      </c>
      <c r="C1318" s="2">
        <v>44387</v>
      </c>
      <c r="D1318" t="s">
        <v>149</v>
      </c>
      <c r="E1318" t="s">
        <v>25</v>
      </c>
      <c r="F1318" t="s">
        <v>26</v>
      </c>
      <c r="G1318" t="s">
        <v>45</v>
      </c>
      <c r="H1318" t="s">
        <v>46</v>
      </c>
      <c r="I1318" t="s">
        <v>47</v>
      </c>
      <c r="J1318" t="s">
        <v>48</v>
      </c>
      <c r="K1318" t="s">
        <v>141</v>
      </c>
      <c r="L1318" t="s">
        <v>142</v>
      </c>
      <c r="M1318" t="s">
        <v>143</v>
      </c>
      <c r="N1318" t="s">
        <v>61</v>
      </c>
      <c r="O1318" t="s">
        <v>883</v>
      </c>
      <c r="P1318" t="s">
        <v>326</v>
      </c>
      <c r="Q1318" t="s">
        <v>884</v>
      </c>
      <c r="R1318" t="s">
        <v>885</v>
      </c>
      <c r="S1318" t="s">
        <v>886</v>
      </c>
      <c r="T1318" t="s">
        <v>887</v>
      </c>
      <c r="U1318" s="10" t="s">
        <v>1061</v>
      </c>
      <c r="V1318" s="10" t="s">
        <v>1075</v>
      </c>
      <c r="W1318" s="10" t="s">
        <v>1075</v>
      </c>
      <c r="X1318" s="10" t="s">
        <v>1063</v>
      </c>
      <c r="Y1318" t="s">
        <v>39</v>
      </c>
      <c r="Z1318" t="s">
        <v>40</v>
      </c>
      <c r="AA1318" t="s">
        <v>63</v>
      </c>
    </row>
    <row r="1319" spans="1:28" x14ac:dyDescent="0.8">
      <c r="A1319">
        <v>1155</v>
      </c>
      <c r="B1319">
        <v>1652</v>
      </c>
      <c r="C1319" s="2">
        <v>44384</v>
      </c>
      <c r="D1319" t="s">
        <v>384</v>
      </c>
      <c r="E1319" t="s">
        <v>63</v>
      </c>
      <c r="F1319" t="s">
        <v>26</v>
      </c>
      <c r="G1319" t="s">
        <v>27</v>
      </c>
      <c r="H1319" t="s">
        <v>28</v>
      </c>
      <c r="I1319" t="s">
        <v>214</v>
      </c>
      <c r="K1319" t="s">
        <v>215</v>
      </c>
      <c r="L1319" t="s">
        <v>59</v>
      </c>
      <c r="M1319" t="s">
        <v>718</v>
      </c>
      <c r="O1319" t="s">
        <v>1042</v>
      </c>
      <c r="P1319" t="s">
        <v>85</v>
      </c>
      <c r="Q1319" t="s">
        <v>1043</v>
      </c>
      <c r="R1319" t="s">
        <v>1044</v>
      </c>
      <c r="S1319" t="s">
        <v>1045</v>
      </c>
      <c r="T1319" t="s">
        <v>1046</v>
      </c>
      <c r="U1319" s="10" t="s">
        <v>1061</v>
      </c>
      <c r="V1319" s="10" t="s">
        <v>1075</v>
      </c>
      <c r="W1319" s="10" t="s">
        <v>1075</v>
      </c>
      <c r="X1319" s="10" t="s">
        <v>1063</v>
      </c>
      <c r="Y1319" t="s">
        <v>39</v>
      </c>
      <c r="Z1319" t="s">
        <v>40</v>
      </c>
      <c r="AA1319" t="s">
        <v>63</v>
      </c>
    </row>
    <row r="1320" spans="1:28" x14ac:dyDescent="0.8">
      <c r="A1320">
        <v>640</v>
      </c>
      <c r="B1320">
        <v>977</v>
      </c>
      <c r="C1320" s="2">
        <v>44384</v>
      </c>
      <c r="D1320" t="s">
        <v>306</v>
      </c>
      <c r="E1320" t="s">
        <v>63</v>
      </c>
      <c r="F1320" t="s">
        <v>26</v>
      </c>
      <c r="G1320" t="s">
        <v>27</v>
      </c>
      <c r="H1320" t="s">
        <v>28</v>
      </c>
      <c r="I1320" t="s">
        <v>214</v>
      </c>
      <c r="K1320" t="s">
        <v>215</v>
      </c>
      <c r="L1320" t="s">
        <v>59</v>
      </c>
      <c r="M1320" t="s">
        <v>718</v>
      </c>
      <c r="O1320" t="s">
        <v>1042</v>
      </c>
      <c r="P1320" t="s">
        <v>85</v>
      </c>
      <c r="Q1320" t="s">
        <v>1043</v>
      </c>
      <c r="R1320" t="s">
        <v>1044</v>
      </c>
      <c r="S1320" t="s">
        <v>1045</v>
      </c>
      <c r="T1320" t="s">
        <v>1046</v>
      </c>
      <c r="U1320" s="10" t="s">
        <v>1061</v>
      </c>
      <c r="V1320" s="10" t="s">
        <v>1075</v>
      </c>
      <c r="W1320" s="10" t="s">
        <v>1075</v>
      </c>
      <c r="X1320" s="10" t="s">
        <v>1063</v>
      </c>
      <c r="Y1320" t="s">
        <v>39</v>
      </c>
      <c r="Z1320" t="s">
        <v>40</v>
      </c>
      <c r="AA1320" t="s">
        <v>63</v>
      </c>
    </row>
    <row r="1321" spans="1:28" x14ac:dyDescent="0.8">
      <c r="A1321">
        <v>1255</v>
      </c>
      <c r="B1321">
        <v>1902</v>
      </c>
      <c r="C1321" s="2">
        <v>44387</v>
      </c>
      <c r="D1321" t="s">
        <v>102</v>
      </c>
      <c r="E1321" t="s">
        <v>63</v>
      </c>
      <c r="F1321" t="s">
        <v>26</v>
      </c>
      <c r="G1321" t="s">
        <v>45</v>
      </c>
      <c r="H1321" t="s">
        <v>155</v>
      </c>
      <c r="I1321" t="s">
        <v>69</v>
      </c>
      <c r="J1321" t="s">
        <v>156</v>
      </c>
      <c r="K1321" t="s">
        <v>157</v>
      </c>
      <c r="L1321" t="s">
        <v>158</v>
      </c>
      <c r="M1321" t="s">
        <v>159</v>
      </c>
      <c r="N1321" t="s">
        <v>61</v>
      </c>
      <c r="O1321" t="s">
        <v>347</v>
      </c>
      <c r="P1321" t="s">
        <v>85</v>
      </c>
      <c r="Q1321" t="s">
        <v>348</v>
      </c>
      <c r="R1321" t="s">
        <v>349</v>
      </c>
      <c r="S1321" t="s">
        <v>350</v>
      </c>
      <c r="T1321" t="s">
        <v>351</v>
      </c>
      <c r="U1321" s="10" t="s">
        <v>1061</v>
      </c>
      <c r="V1321" s="10" t="s">
        <v>1075</v>
      </c>
      <c r="W1321" s="10" t="s">
        <v>1075</v>
      </c>
      <c r="X1321" s="10" t="s">
        <v>1063</v>
      </c>
      <c r="Y1321" t="s">
        <v>39</v>
      </c>
      <c r="Z1321" t="s">
        <v>40</v>
      </c>
      <c r="AA1321" t="s">
        <v>63</v>
      </c>
    </row>
    <row r="1322" spans="1:28" x14ac:dyDescent="0.8">
      <c r="A1322">
        <v>596</v>
      </c>
      <c r="B1322">
        <v>695</v>
      </c>
      <c r="C1322" s="2">
        <v>44384</v>
      </c>
      <c r="D1322" t="s">
        <v>24</v>
      </c>
      <c r="E1322" t="s">
        <v>25</v>
      </c>
      <c r="F1322" t="s">
        <v>26</v>
      </c>
      <c r="G1322" t="s">
        <v>45</v>
      </c>
      <c r="H1322" t="s">
        <v>68</v>
      </c>
      <c r="I1322" t="s">
        <v>69</v>
      </c>
      <c r="J1322" t="s">
        <v>70</v>
      </c>
      <c r="K1322" t="s">
        <v>71</v>
      </c>
      <c r="L1322" t="s">
        <v>72</v>
      </c>
      <c r="M1322" t="s">
        <v>73</v>
      </c>
      <c r="N1322" t="s">
        <v>61</v>
      </c>
      <c r="O1322" t="s">
        <v>941</v>
      </c>
      <c r="P1322" t="s">
        <v>34</v>
      </c>
      <c r="Q1322" t="s">
        <v>35</v>
      </c>
      <c r="R1322" t="s">
        <v>942</v>
      </c>
      <c r="S1322" t="s">
        <v>943</v>
      </c>
      <c r="T1322" t="s">
        <v>944</v>
      </c>
      <c r="U1322" s="10" t="s">
        <v>1061</v>
      </c>
      <c r="V1322" s="10" t="s">
        <v>1075</v>
      </c>
      <c r="W1322" s="10" t="s">
        <v>1075</v>
      </c>
      <c r="X1322" s="10" t="s">
        <v>1068</v>
      </c>
      <c r="Y1322" t="s">
        <v>39</v>
      </c>
      <c r="Z1322" t="s">
        <v>40</v>
      </c>
      <c r="AA1322" t="s">
        <v>63</v>
      </c>
    </row>
    <row r="1323" spans="1:28" x14ac:dyDescent="0.8">
      <c r="A1323">
        <v>1755</v>
      </c>
      <c r="B1323">
        <v>93</v>
      </c>
      <c r="C1323" s="2">
        <v>44384</v>
      </c>
      <c r="D1323" t="s">
        <v>24</v>
      </c>
      <c r="E1323" t="s">
        <v>125</v>
      </c>
      <c r="F1323" t="s">
        <v>26</v>
      </c>
      <c r="G1323" t="s">
        <v>45</v>
      </c>
      <c r="H1323" t="s">
        <v>46</v>
      </c>
      <c r="I1323" t="s">
        <v>47</v>
      </c>
      <c r="J1323" t="s">
        <v>48</v>
      </c>
      <c r="K1323" t="s">
        <v>141</v>
      </c>
      <c r="L1323" t="s">
        <v>426</v>
      </c>
      <c r="M1323" t="s">
        <v>945</v>
      </c>
      <c r="N1323" t="s">
        <v>61</v>
      </c>
      <c r="O1323" t="s">
        <v>941</v>
      </c>
      <c r="P1323" t="s">
        <v>34</v>
      </c>
      <c r="Q1323" t="s">
        <v>35</v>
      </c>
      <c r="R1323" t="s">
        <v>942</v>
      </c>
      <c r="S1323" t="s">
        <v>943</v>
      </c>
      <c r="T1323" t="s">
        <v>944</v>
      </c>
      <c r="U1323" s="10" t="s">
        <v>1061</v>
      </c>
      <c r="V1323" s="10" t="s">
        <v>1075</v>
      </c>
      <c r="W1323" s="10" t="s">
        <v>1075</v>
      </c>
      <c r="X1323" s="10" t="s">
        <v>1068</v>
      </c>
      <c r="Y1323" t="s">
        <v>39</v>
      </c>
      <c r="Z1323" t="s">
        <v>40</v>
      </c>
      <c r="AA1323" t="s">
        <v>41</v>
      </c>
    </row>
    <row r="1324" spans="1:28" x14ac:dyDescent="0.8">
      <c r="A1324">
        <v>651</v>
      </c>
      <c r="B1324">
        <v>988</v>
      </c>
      <c r="C1324" s="2">
        <v>44384</v>
      </c>
      <c r="D1324" t="s">
        <v>306</v>
      </c>
      <c r="E1324" t="s">
        <v>25</v>
      </c>
      <c r="F1324" t="s">
        <v>26</v>
      </c>
      <c r="G1324" t="s">
        <v>45</v>
      </c>
      <c r="H1324" t="s">
        <v>46</v>
      </c>
      <c r="I1324" t="s">
        <v>47</v>
      </c>
      <c r="J1324" t="s">
        <v>48</v>
      </c>
      <c r="K1324" t="s">
        <v>141</v>
      </c>
      <c r="L1324" t="s">
        <v>142</v>
      </c>
      <c r="M1324" t="s">
        <v>143</v>
      </c>
      <c r="N1324" t="s">
        <v>61</v>
      </c>
      <c r="O1324" t="s">
        <v>962</v>
      </c>
      <c r="P1324" t="s">
        <v>326</v>
      </c>
      <c r="Q1324" t="s">
        <v>35</v>
      </c>
      <c r="R1324" t="s">
        <v>963</v>
      </c>
      <c r="S1324" t="s">
        <v>964</v>
      </c>
      <c r="T1324" t="s">
        <v>965</v>
      </c>
      <c r="U1324" s="10" t="s">
        <v>1061</v>
      </c>
      <c r="V1324" s="10" t="s">
        <v>1075</v>
      </c>
      <c r="W1324" s="10" t="s">
        <v>1075</v>
      </c>
      <c r="X1324" s="10" t="s">
        <v>1068</v>
      </c>
      <c r="Y1324" t="s">
        <v>39</v>
      </c>
      <c r="Z1324" t="s">
        <v>62</v>
      </c>
      <c r="AA1324" t="s">
        <v>63</v>
      </c>
    </row>
    <row r="1325" spans="1:28" x14ac:dyDescent="0.8">
      <c r="A1325">
        <v>247</v>
      </c>
      <c r="B1325">
        <v>1298</v>
      </c>
      <c r="C1325" s="2">
        <v>44384</v>
      </c>
      <c r="D1325" t="s">
        <v>24</v>
      </c>
      <c r="E1325" t="s">
        <v>150</v>
      </c>
      <c r="F1325" t="s">
        <v>26</v>
      </c>
      <c r="G1325" t="s">
        <v>45</v>
      </c>
      <c r="H1325" t="s">
        <v>155</v>
      </c>
      <c r="I1325" t="s">
        <v>69</v>
      </c>
      <c r="J1325" t="s">
        <v>156</v>
      </c>
      <c r="K1325" t="s">
        <v>157</v>
      </c>
      <c r="L1325" t="s">
        <v>232</v>
      </c>
      <c r="M1325" t="s">
        <v>233</v>
      </c>
      <c r="N1325" t="s">
        <v>61</v>
      </c>
      <c r="O1325" t="s">
        <v>833</v>
      </c>
      <c r="P1325" t="s">
        <v>85</v>
      </c>
      <c r="Q1325" t="s">
        <v>299</v>
      </c>
      <c r="R1325" t="s">
        <v>834</v>
      </c>
      <c r="S1325" t="s">
        <v>835</v>
      </c>
      <c r="T1325" t="s">
        <v>836</v>
      </c>
      <c r="U1325" s="10" t="s">
        <v>1061</v>
      </c>
      <c r="V1325" s="10" t="s">
        <v>1075</v>
      </c>
      <c r="W1325" s="10" t="s">
        <v>1075</v>
      </c>
      <c r="X1325" s="10" t="s">
        <v>1068</v>
      </c>
      <c r="Y1325" t="s">
        <v>39</v>
      </c>
      <c r="Z1325" t="s">
        <v>40</v>
      </c>
      <c r="AA1325" t="s">
        <v>53</v>
      </c>
    </row>
    <row r="1326" spans="1:28" x14ac:dyDescent="0.8">
      <c r="A1326">
        <v>1746</v>
      </c>
      <c r="B1326">
        <v>833</v>
      </c>
      <c r="C1326" s="2">
        <v>44384</v>
      </c>
      <c r="D1326" t="s">
        <v>24</v>
      </c>
      <c r="E1326" t="s">
        <v>150</v>
      </c>
      <c r="F1326" t="s">
        <v>26</v>
      </c>
      <c r="G1326" t="s">
        <v>45</v>
      </c>
      <c r="H1326" t="s">
        <v>46</v>
      </c>
      <c r="I1326" t="s">
        <v>47</v>
      </c>
      <c r="J1326" t="s">
        <v>48</v>
      </c>
      <c r="K1326" t="s">
        <v>49</v>
      </c>
      <c r="L1326" t="s">
        <v>91</v>
      </c>
      <c r="M1326" t="s">
        <v>92</v>
      </c>
      <c r="N1326" t="s">
        <v>61</v>
      </c>
      <c r="O1326" t="s">
        <v>833</v>
      </c>
      <c r="P1326" t="s">
        <v>85</v>
      </c>
      <c r="Q1326" t="s">
        <v>299</v>
      </c>
      <c r="R1326" t="s">
        <v>834</v>
      </c>
      <c r="S1326" t="s">
        <v>835</v>
      </c>
      <c r="T1326" t="s">
        <v>836</v>
      </c>
      <c r="U1326" s="10" t="s">
        <v>1061</v>
      </c>
      <c r="V1326" s="10" t="s">
        <v>1075</v>
      </c>
      <c r="W1326" s="10" t="s">
        <v>1075</v>
      </c>
      <c r="X1326" s="10" t="s">
        <v>1068</v>
      </c>
      <c r="Y1326" t="s">
        <v>39</v>
      </c>
      <c r="Z1326" t="s">
        <v>40</v>
      </c>
      <c r="AA1326" t="s">
        <v>41</v>
      </c>
      <c r="AB1326" t="s">
        <v>154</v>
      </c>
    </row>
    <row r="1327" spans="1:28" x14ac:dyDescent="0.8">
      <c r="A1327">
        <v>597</v>
      </c>
      <c r="B1327">
        <v>696</v>
      </c>
      <c r="C1327" s="2">
        <v>44384</v>
      </c>
      <c r="D1327" t="s">
        <v>24</v>
      </c>
      <c r="E1327" t="s">
        <v>25</v>
      </c>
      <c r="F1327" t="s">
        <v>26</v>
      </c>
      <c r="G1327" t="s">
        <v>45</v>
      </c>
      <c r="H1327" t="s">
        <v>46</v>
      </c>
      <c r="I1327" t="s">
        <v>47</v>
      </c>
      <c r="J1327" t="s">
        <v>48</v>
      </c>
      <c r="K1327" t="s">
        <v>49</v>
      </c>
      <c r="L1327" t="s">
        <v>91</v>
      </c>
      <c r="M1327" t="s">
        <v>92</v>
      </c>
      <c r="N1327" t="s">
        <v>61</v>
      </c>
      <c r="O1327" t="s">
        <v>833</v>
      </c>
      <c r="P1327" t="s">
        <v>85</v>
      </c>
      <c r="Q1327" t="s">
        <v>299</v>
      </c>
      <c r="R1327" t="s">
        <v>834</v>
      </c>
      <c r="S1327" t="s">
        <v>835</v>
      </c>
      <c r="T1327" t="s">
        <v>836</v>
      </c>
      <c r="U1327" s="10" t="s">
        <v>1061</v>
      </c>
      <c r="V1327" s="10" t="s">
        <v>1075</v>
      </c>
      <c r="W1327" s="10" t="s">
        <v>1075</v>
      </c>
      <c r="X1327" s="10" t="s">
        <v>1068</v>
      </c>
      <c r="Y1327" t="s">
        <v>39</v>
      </c>
      <c r="Z1327" t="s">
        <v>62</v>
      </c>
      <c r="AA1327" t="s">
        <v>63</v>
      </c>
    </row>
    <row r="1328" spans="1:28" x14ac:dyDescent="0.8">
      <c r="A1328">
        <v>1709</v>
      </c>
      <c r="B1328">
        <v>559</v>
      </c>
      <c r="C1328" s="2">
        <v>44388</v>
      </c>
      <c r="D1328" t="s">
        <v>328</v>
      </c>
      <c r="E1328" t="s">
        <v>53</v>
      </c>
      <c r="F1328" t="s">
        <v>26</v>
      </c>
      <c r="G1328" t="s">
        <v>27</v>
      </c>
      <c r="H1328" t="s">
        <v>114</v>
      </c>
      <c r="I1328" t="s">
        <v>115</v>
      </c>
      <c r="J1328" t="s">
        <v>116</v>
      </c>
      <c r="K1328" t="s">
        <v>307</v>
      </c>
      <c r="L1328" t="s">
        <v>308</v>
      </c>
      <c r="M1328" t="s">
        <v>309</v>
      </c>
      <c r="O1328" t="s">
        <v>833</v>
      </c>
      <c r="P1328" t="s">
        <v>85</v>
      </c>
      <c r="Q1328" t="s">
        <v>299</v>
      </c>
      <c r="R1328" t="s">
        <v>834</v>
      </c>
      <c r="S1328" t="s">
        <v>835</v>
      </c>
      <c r="T1328" t="s">
        <v>836</v>
      </c>
      <c r="U1328" s="10" t="s">
        <v>1061</v>
      </c>
      <c r="V1328" s="10" t="s">
        <v>1075</v>
      </c>
      <c r="W1328" s="10" t="s">
        <v>1075</v>
      </c>
      <c r="X1328" s="10" t="s">
        <v>1068</v>
      </c>
      <c r="Y1328" t="s">
        <v>39</v>
      </c>
      <c r="Z1328" t="s">
        <v>40</v>
      </c>
      <c r="AA1328" t="s">
        <v>41</v>
      </c>
    </row>
    <row r="1329" spans="1:28" x14ac:dyDescent="0.8">
      <c r="A1329">
        <v>222</v>
      </c>
      <c r="B1329">
        <v>1048</v>
      </c>
      <c r="C1329" s="2">
        <v>44388</v>
      </c>
      <c r="D1329" t="s">
        <v>328</v>
      </c>
      <c r="E1329" t="s">
        <v>25</v>
      </c>
      <c r="F1329" t="s">
        <v>26</v>
      </c>
      <c r="G1329" t="s">
        <v>45</v>
      </c>
      <c r="H1329" t="s">
        <v>68</v>
      </c>
      <c r="I1329" t="s">
        <v>69</v>
      </c>
      <c r="J1329" t="s">
        <v>70</v>
      </c>
      <c r="K1329" t="s">
        <v>71</v>
      </c>
      <c r="L1329" t="s">
        <v>72</v>
      </c>
      <c r="M1329" t="s">
        <v>73</v>
      </c>
      <c r="N1329" t="s">
        <v>61</v>
      </c>
      <c r="O1329" t="s">
        <v>833</v>
      </c>
      <c r="P1329" t="s">
        <v>85</v>
      </c>
      <c r="Q1329" t="s">
        <v>299</v>
      </c>
      <c r="R1329" t="s">
        <v>834</v>
      </c>
      <c r="S1329" t="s">
        <v>835</v>
      </c>
      <c r="T1329" t="s">
        <v>836</v>
      </c>
      <c r="U1329" s="10" t="s">
        <v>1061</v>
      </c>
      <c r="V1329" s="10" t="s">
        <v>1075</v>
      </c>
      <c r="W1329" s="10" t="s">
        <v>1075</v>
      </c>
      <c r="X1329" s="10" t="s">
        <v>1068</v>
      </c>
      <c r="Y1329" t="s">
        <v>39</v>
      </c>
      <c r="Z1329" t="s">
        <v>40</v>
      </c>
      <c r="AA1329" t="s">
        <v>53</v>
      </c>
    </row>
    <row r="1330" spans="1:28" x14ac:dyDescent="0.8">
      <c r="A1330">
        <v>216</v>
      </c>
      <c r="B1330">
        <v>1042</v>
      </c>
      <c r="C1330" s="2">
        <v>44388</v>
      </c>
      <c r="D1330" t="s">
        <v>328</v>
      </c>
      <c r="E1330" t="s">
        <v>25</v>
      </c>
      <c r="F1330" t="s">
        <v>26</v>
      </c>
      <c r="G1330" t="s">
        <v>45</v>
      </c>
      <c r="H1330" t="s">
        <v>68</v>
      </c>
      <c r="I1330" t="s">
        <v>69</v>
      </c>
      <c r="J1330" t="s">
        <v>70</v>
      </c>
      <c r="K1330" t="s">
        <v>71</v>
      </c>
      <c r="L1330" t="s">
        <v>72</v>
      </c>
      <c r="M1330" t="s">
        <v>73</v>
      </c>
      <c r="N1330" t="s">
        <v>61</v>
      </c>
      <c r="O1330" t="s">
        <v>833</v>
      </c>
      <c r="P1330" t="s">
        <v>85</v>
      </c>
      <c r="Q1330" t="s">
        <v>299</v>
      </c>
      <c r="R1330" t="s">
        <v>834</v>
      </c>
      <c r="S1330" t="s">
        <v>835</v>
      </c>
      <c r="T1330" t="s">
        <v>836</v>
      </c>
      <c r="U1330" s="10" t="s">
        <v>1061</v>
      </c>
      <c r="V1330" s="10" t="s">
        <v>1075</v>
      </c>
      <c r="W1330" s="10" t="s">
        <v>1075</v>
      </c>
      <c r="X1330" s="10" t="s">
        <v>1068</v>
      </c>
      <c r="Y1330" t="s">
        <v>39</v>
      </c>
      <c r="Z1330" t="s">
        <v>40</v>
      </c>
      <c r="AA1330" t="s">
        <v>53</v>
      </c>
    </row>
    <row r="1331" spans="1:28" x14ac:dyDescent="0.8">
      <c r="A1331">
        <v>212</v>
      </c>
      <c r="B1331">
        <v>963</v>
      </c>
      <c r="C1331" s="2">
        <v>44388</v>
      </c>
      <c r="D1331" t="s">
        <v>328</v>
      </c>
      <c r="E1331" t="s">
        <v>25</v>
      </c>
      <c r="F1331" t="s">
        <v>26</v>
      </c>
      <c r="G1331" t="s">
        <v>45</v>
      </c>
      <c r="H1331" t="s">
        <v>155</v>
      </c>
      <c r="I1331" t="s">
        <v>69</v>
      </c>
      <c r="J1331" t="s">
        <v>156</v>
      </c>
      <c r="K1331" t="s">
        <v>157</v>
      </c>
      <c r="L1331" t="s">
        <v>158</v>
      </c>
      <c r="M1331" t="s">
        <v>159</v>
      </c>
      <c r="N1331" t="s">
        <v>52</v>
      </c>
      <c r="O1331" t="s">
        <v>833</v>
      </c>
      <c r="P1331" t="s">
        <v>85</v>
      </c>
      <c r="Q1331" t="s">
        <v>299</v>
      </c>
      <c r="R1331" t="s">
        <v>834</v>
      </c>
      <c r="S1331" t="s">
        <v>835</v>
      </c>
      <c r="T1331" t="s">
        <v>836</v>
      </c>
      <c r="U1331" s="10" t="s">
        <v>1061</v>
      </c>
      <c r="V1331" s="10" t="s">
        <v>1075</v>
      </c>
      <c r="W1331" s="10" t="s">
        <v>1075</v>
      </c>
      <c r="X1331" s="10" t="s">
        <v>1068</v>
      </c>
      <c r="Y1331" t="s">
        <v>39</v>
      </c>
      <c r="Z1331" t="s">
        <v>40</v>
      </c>
      <c r="AA1331" t="s">
        <v>53</v>
      </c>
    </row>
    <row r="1332" spans="1:28" x14ac:dyDescent="0.8">
      <c r="A1332">
        <v>217</v>
      </c>
      <c r="B1332">
        <v>1043</v>
      </c>
      <c r="C1332" s="2">
        <v>44388</v>
      </c>
      <c r="D1332" t="s">
        <v>328</v>
      </c>
      <c r="E1332" t="s">
        <v>125</v>
      </c>
      <c r="F1332" t="s">
        <v>26</v>
      </c>
      <c r="G1332" t="s">
        <v>45</v>
      </c>
      <c r="H1332" t="s">
        <v>55</v>
      </c>
      <c r="I1332" t="s">
        <v>69</v>
      </c>
      <c r="J1332" t="s">
        <v>295</v>
      </c>
      <c r="K1332" t="s">
        <v>296</v>
      </c>
      <c r="L1332" t="s">
        <v>112</v>
      </c>
      <c r="M1332" t="s">
        <v>457</v>
      </c>
      <c r="N1332" t="s">
        <v>52</v>
      </c>
      <c r="O1332" t="s">
        <v>833</v>
      </c>
      <c r="P1332" t="s">
        <v>85</v>
      </c>
      <c r="Q1332" t="s">
        <v>299</v>
      </c>
      <c r="R1332" t="s">
        <v>834</v>
      </c>
      <c r="S1332" t="s">
        <v>835</v>
      </c>
      <c r="T1332" t="s">
        <v>836</v>
      </c>
      <c r="U1332" s="10" t="s">
        <v>1061</v>
      </c>
      <c r="V1332" s="10" t="s">
        <v>1075</v>
      </c>
      <c r="W1332" s="10" t="s">
        <v>1075</v>
      </c>
      <c r="X1332" s="10" t="s">
        <v>1068</v>
      </c>
      <c r="Y1332" t="s">
        <v>39</v>
      </c>
      <c r="Z1332" t="s">
        <v>40</v>
      </c>
      <c r="AA1332" t="s">
        <v>53</v>
      </c>
    </row>
    <row r="1333" spans="1:28" x14ac:dyDescent="0.8">
      <c r="A1333">
        <v>1390</v>
      </c>
      <c r="B1333">
        <v>2087</v>
      </c>
      <c r="C1333" s="2">
        <v>44386</v>
      </c>
      <c r="D1333" t="s">
        <v>67</v>
      </c>
      <c r="E1333" t="s">
        <v>25</v>
      </c>
      <c r="F1333" t="s">
        <v>26</v>
      </c>
      <c r="G1333" t="s">
        <v>45</v>
      </c>
      <c r="H1333" t="s">
        <v>68</v>
      </c>
      <c r="I1333" t="s">
        <v>69</v>
      </c>
      <c r="J1333" t="s">
        <v>70</v>
      </c>
      <c r="K1333" t="s">
        <v>71</v>
      </c>
      <c r="L1333" t="s">
        <v>72</v>
      </c>
      <c r="M1333" t="s">
        <v>73</v>
      </c>
      <c r="N1333" t="s">
        <v>61</v>
      </c>
      <c r="O1333" t="s">
        <v>833</v>
      </c>
      <c r="P1333" t="s">
        <v>85</v>
      </c>
      <c r="Q1333" t="s">
        <v>299</v>
      </c>
      <c r="R1333" t="s">
        <v>834</v>
      </c>
      <c r="S1333" t="s">
        <v>835</v>
      </c>
      <c r="T1333" t="s">
        <v>836</v>
      </c>
      <c r="U1333" s="10" t="s">
        <v>1061</v>
      </c>
      <c r="V1333" s="10" t="s">
        <v>1075</v>
      </c>
      <c r="W1333" s="10" t="s">
        <v>1075</v>
      </c>
      <c r="X1333" s="10" t="s">
        <v>1068</v>
      </c>
      <c r="Y1333" t="s">
        <v>39</v>
      </c>
      <c r="Z1333" t="s">
        <v>40</v>
      </c>
      <c r="AA1333" t="s">
        <v>63</v>
      </c>
      <c r="AB1333" t="s">
        <v>837</v>
      </c>
    </row>
    <row r="1334" spans="1:28" x14ac:dyDescent="0.8">
      <c r="A1334">
        <v>1375</v>
      </c>
      <c r="B1334">
        <v>2072</v>
      </c>
      <c r="C1334" s="2">
        <v>44386</v>
      </c>
      <c r="D1334" t="s">
        <v>67</v>
      </c>
      <c r="E1334" t="s">
        <v>25</v>
      </c>
      <c r="F1334" t="s">
        <v>26</v>
      </c>
      <c r="G1334" t="s">
        <v>45</v>
      </c>
      <c r="H1334" t="s">
        <v>68</v>
      </c>
      <c r="I1334" t="s">
        <v>69</v>
      </c>
      <c r="J1334" t="s">
        <v>70</v>
      </c>
      <c r="K1334" t="s">
        <v>71</v>
      </c>
      <c r="L1334" t="s">
        <v>72</v>
      </c>
      <c r="M1334" t="s">
        <v>73</v>
      </c>
      <c r="N1334" t="s">
        <v>61</v>
      </c>
      <c r="O1334" t="s">
        <v>833</v>
      </c>
      <c r="P1334" t="s">
        <v>85</v>
      </c>
      <c r="Q1334" t="s">
        <v>299</v>
      </c>
      <c r="R1334" t="s">
        <v>834</v>
      </c>
      <c r="S1334" t="s">
        <v>835</v>
      </c>
      <c r="T1334" t="s">
        <v>836</v>
      </c>
      <c r="U1334" s="10" t="s">
        <v>1061</v>
      </c>
      <c r="V1334" s="10" t="s">
        <v>1075</v>
      </c>
      <c r="W1334" s="10" t="s">
        <v>1075</v>
      </c>
      <c r="X1334" s="10" t="s">
        <v>1068</v>
      </c>
      <c r="Y1334" t="s">
        <v>39</v>
      </c>
      <c r="Z1334" t="s">
        <v>40</v>
      </c>
      <c r="AA1334" t="s">
        <v>63</v>
      </c>
    </row>
    <row r="1335" spans="1:28" x14ac:dyDescent="0.8">
      <c r="A1335">
        <v>1366</v>
      </c>
      <c r="B1335">
        <v>2063</v>
      </c>
      <c r="C1335" s="2">
        <v>44386</v>
      </c>
      <c r="D1335" t="s">
        <v>67</v>
      </c>
      <c r="E1335" t="s">
        <v>53</v>
      </c>
      <c r="F1335" t="s">
        <v>26</v>
      </c>
      <c r="G1335" t="s">
        <v>45</v>
      </c>
      <c r="H1335" t="s">
        <v>68</v>
      </c>
      <c r="I1335" t="s">
        <v>69</v>
      </c>
      <c r="J1335" t="s">
        <v>70</v>
      </c>
      <c r="K1335" t="s">
        <v>71</v>
      </c>
      <c r="L1335" t="s">
        <v>72</v>
      </c>
      <c r="M1335" t="s">
        <v>73</v>
      </c>
      <c r="N1335" t="s">
        <v>61</v>
      </c>
      <c r="O1335" t="s">
        <v>833</v>
      </c>
      <c r="P1335" t="s">
        <v>85</v>
      </c>
      <c r="Q1335" t="s">
        <v>299</v>
      </c>
      <c r="R1335" t="s">
        <v>834</v>
      </c>
      <c r="S1335" t="s">
        <v>835</v>
      </c>
      <c r="T1335" t="s">
        <v>836</v>
      </c>
      <c r="U1335" s="10" t="s">
        <v>1061</v>
      </c>
      <c r="V1335" s="10" t="s">
        <v>1075</v>
      </c>
      <c r="W1335" s="10" t="s">
        <v>1075</v>
      </c>
      <c r="X1335" s="10" t="s">
        <v>1068</v>
      </c>
      <c r="Y1335" t="s">
        <v>39</v>
      </c>
      <c r="Z1335" t="s">
        <v>40</v>
      </c>
      <c r="AA1335" t="s">
        <v>63</v>
      </c>
    </row>
    <row r="1336" spans="1:28" x14ac:dyDescent="0.8">
      <c r="A1336">
        <v>1354</v>
      </c>
      <c r="B1336">
        <v>2101</v>
      </c>
      <c r="C1336" s="2">
        <v>44386</v>
      </c>
      <c r="D1336" t="s">
        <v>67</v>
      </c>
      <c r="E1336" t="s">
        <v>53</v>
      </c>
      <c r="F1336" t="s">
        <v>26</v>
      </c>
      <c r="G1336" t="s">
        <v>45</v>
      </c>
      <c r="H1336" t="s">
        <v>155</v>
      </c>
      <c r="I1336" t="s">
        <v>69</v>
      </c>
      <c r="J1336" t="s">
        <v>156</v>
      </c>
      <c r="K1336" t="s">
        <v>157</v>
      </c>
      <c r="L1336" t="s">
        <v>158</v>
      </c>
      <c r="M1336" t="s">
        <v>159</v>
      </c>
      <c r="N1336" t="s">
        <v>61</v>
      </c>
      <c r="O1336" t="s">
        <v>833</v>
      </c>
      <c r="P1336" t="s">
        <v>85</v>
      </c>
      <c r="Q1336" t="s">
        <v>299</v>
      </c>
      <c r="R1336" t="s">
        <v>834</v>
      </c>
      <c r="S1336" t="s">
        <v>835</v>
      </c>
      <c r="T1336" t="s">
        <v>836</v>
      </c>
      <c r="U1336" s="10" t="s">
        <v>1061</v>
      </c>
      <c r="V1336" s="10" t="s">
        <v>1075</v>
      </c>
      <c r="W1336" s="10" t="s">
        <v>1075</v>
      </c>
      <c r="X1336" s="10" t="s">
        <v>1068</v>
      </c>
      <c r="Y1336" t="s">
        <v>39</v>
      </c>
      <c r="Z1336" t="s">
        <v>40</v>
      </c>
      <c r="AA1336" t="s">
        <v>63</v>
      </c>
    </row>
    <row r="1337" spans="1:28" x14ac:dyDescent="0.8">
      <c r="A1337">
        <v>1389</v>
      </c>
      <c r="B1337">
        <v>2086</v>
      </c>
      <c r="C1337" s="2">
        <v>44386</v>
      </c>
      <c r="D1337" t="s">
        <v>67</v>
      </c>
      <c r="E1337" t="s">
        <v>25</v>
      </c>
      <c r="F1337" t="s">
        <v>26</v>
      </c>
      <c r="G1337" t="s">
        <v>45</v>
      </c>
      <c r="H1337" t="s">
        <v>55</v>
      </c>
      <c r="I1337" t="s">
        <v>56</v>
      </c>
      <c r="J1337" t="s">
        <v>57</v>
      </c>
      <c r="K1337" t="s">
        <v>58</v>
      </c>
      <c r="L1337" t="s">
        <v>59</v>
      </c>
      <c r="M1337" t="s">
        <v>60</v>
      </c>
      <c r="N1337" t="s">
        <v>61</v>
      </c>
      <c r="O1337" t="s">
        <v>833</v>
      </c>
      <c r="P1337" t="s">
        <v>85</v>
      </c>
      <c r="Q1337" t="s">
        <v>299</v>
      </c>
      <c r="R1337" t="s">
        <v>834</v>
      </c>
      <c r="S1337" t="s">
        <v>835</v>
      </c>
      <c r="T1337" t="s">
        <v>836</v>
      </c>
      <c r="U1337" s="10" t="s">
        <v>1061</v>
      </c>
      <c r="V1337" s="10" t="s">
        <v>1075</v>
      </c>
      <c r="W1337" s="10" t="s">
        <v>1075</v>
      </c>
      <c r="X1337" s="10" t="s">
        <v>1068</v>
      </c>
      <c r="Y1337" t="s">
        <v>39</v>
      </c>
      <c r="Z1337" t="s">
        <v>40</v>
      </c>
      <c r="AA1337" t="s">
        <v>63</v>
      </c>
      <c r="AB1337" t="s">
        <v>837</v>
      </c>
    </row>
    <row r="1338" spans="1:28" x14ac:dyDescent="0.8">
      <c r="A1338">
        <v>1388</v>
      </c>
      <c r="B1338">
        <v>2085</v>
      </c>
      <c r="C1338" s="2">
        <v>44386</v>
      </c>
      <c r="D1338" t="s">
        <v>67</v>
      </c>
      <c r="E1338" t="s">
        <v>25</v>
      </c>
      <c r="F1338" t="s">
        <v>26</v>
      </c>
      <c r="G1338" t="s">
        <v>45</v>
      </c>
      <c r="H1338" t="s">
        <v>55</v>
      </c>
      <c r="I1338" t="s">
        <v>56</v>
      </c>
      <c r="J1338" t="s">
        <v>57</v>
      </c>
      <c r="K1338" t="s">
        <v>58</v>
      </c>
      <c r="L1338" t="s">
        <v>65</v>
      </c>
      <c r="M1338" t="s">
        <v>66</v>
      </c>
      <c r="N1338" t="s">
        <v>52</v>
      </c>
      <c r="O1338" t="s">
        <v>833</v>
      </c>
      <c r="P1338" t="s">
        <v>85</v>
      </c>
      <c r="Q1338" t="s">
        <v>299</v>
      </c>
      <c r="R1338" t="s">
        <v>834</v>
      </c>
      <c r="S1338" t="s">
        <v>835</v>
      </c>
      <c r="T1338" t="s">
        <v>836</v>
      </c>
      <c r="U1338" s="10" t="s">
        <v>1061</v>
      </c>
      <c r="V1338" s="10" t="s">
        <v>1075</v>
      </c>
      <c r="W1338" s="10" t="s">
        <v>1075</v>
      </c>
      <c r="X1338" s="10" t="s">
        <v>1068</v>
      </c>
      <c r="Y1338" t="s">
        <v>39</v>
      </c>
      <c r="Z1338" t="s">
        <v>40</v>
      </c>
      <c r="AA1338" t="s">
        <v>63</v>
      </c>
      <c r="AB1338" t="s">
        <v>837</v>
      </c>
    </row>
    <row r="1339" spans="1:28" x14ac:dyDescent="0.8">
      <c r="A1339">
        <v>1771</v>
      </c>
      <c r="B1339">
        <v>1489</v>
      </c>
      <c r="C1339" s="2">
        <v>44387</v>
      </c>
      <c r="D1339" t="s">
        <v>173</v>
      </c>
      <c r="E1339" t="s">
        <v>103</v>
      </c>
      <c r="F1339" t="s">
        <v>26</v>
      </c>
      <c r="G1339" t="s">
        <v>45</v>
      </c>
      <c r="H1339" t="s">
        <v>155</v>
      </c>
      <c r="I1339" t="s">
        <v>69</v>
      </c>
      <c r="J1339" t="s">
        <v>156</v>
      </c>
      <c r="K1339" t="s">
        <v>157</v>
      </c>
      <c r="L1339" t="s">
        <v>158</v>
      </c>
      <c r="M1339" t="s">
        <v>159</v>
      </c>
      <c r="N1339" t="s">
        <v>61</v>
      </c>
      <c r="O1339" t="s">
        <v>833</v>
      </c>
      <c r="P1339" t="s">
        <v>85</v>
      </c>
      <c r="Q1339" t="s">
        <v>299</v>
      </c>
      <c r="R1339" t="s">
        <v>834</v>
      </c>
      <c r="S1339" t="s">
        <v>835</v>
      </c>
      <c r="T1339" t="s">
        <v>836</v>
      </c>
      <c r="U1339" s="10" t="s">
        <v>1061</v>
      </c>
      <c r="V1339" s="10" t="s">
        <v>1075</v>
      </c>
      <c r="W1339" s="10" t="s">
        <v>1075</v>
      </c>
      <c r="X1339" s="10" t="s">
        <v>1068</v>
      </c>
      <c r="Y1339" t="s">
        <v>39</v>
      </c>
      <c r="Z1339" t="s">
        <v>40</v>
      </c>
      <c r="AA1339" t="s">
        <v>41</v>
      </c>
    </row>
    <row r="1340" spans="1:28" x14ac:dyDescent="0.8">
      <c r="A1340">
        <v>1440</v>
      </c>
      <c r="B1340">
        <v>2237</v>
      </c>
      <c r="C1340" s="2">
        <v>44387</v>
      </c>
      <c r="D1340" t="s">
        <v>173</v>
      </c>
      <c r="E1340" t="s">
        <v>25</v>
      </c>
      <c r="F1340" t="s">
        <v>26</v>
      </c>
      <c r="G1340" t="s">
        <v>45</v>
      </c>
      <c r="H1340" t="s">
        <v>155</v>
      </c>
      <c r="I1340" t="s">
        <v>69</v>
      </c>
      <c r="J1340" t="s">
        <v>156</v>
      </c>
      <c r="K1340" t="s">
        <v>157</v>
      </c>
      <c r="L1340" t="s">
        <v>158</v>
      </c>
      <c r="M1340" t="s">
        <v>159</v>
      </c>
      <c r="N1340" t="s">
        <v>61</v>
      </c>
      <c r="O1340" t="s">
        <v>833</v>
      </c>
      <c r="P1340" t="s">
        <v>85</v>
      </c>
      <c r="Q1340" t="s">
        <v>299</v>
      </c>
      <c r="R1340" t="s">
        <v>834</v>
      </c>
      <c r="S1340" t="s">
        <v>835</v>
      </c>
      <c r="T1340" t="s">
        <v>836</v>
      </c>
      <c r="U1340" s="10" t="s">
        <v>1061</v>
      </c>
      <c r="V1340" s="10" t="s">
        <v>1075</v>
      </c>
      <c r="W1340" s="10" t="s">
        <v>1075</v>
      </c>
      <c r="X1340" s="10" t="s">
        <v>1068</v>
      </c>
      <c r="Y1340" t="s">
        <v>39</v>
      </c>
      <c r="Z1340" t="s">
        <v>62</v>
      </c>
      <c r="AA1340" t="s">
        <v>63</v>
      </c>
    </row>
    <row r="1341" spans="1:28" x14ac:dyDescent="0.8">
      <c r="A1341">
        <v>1408</v>
      </c>
      <c r="B1341">
        <v>2155</v>
      </c>
      <c r="C1341" s="2">
        <v>44387</v>
      </c>
      <c r="D1341" t="s">
        <v>173</v>
      </c>
      <c r="E1341" t="s">
        <v>150</v>
      </c>
      <c r="F1341" t="s">
        <v>26</v>
      </c>
      <c r="G1341" t="s">
        <v>45</v>
      </c>
      <c r="H1341" t="s">
        <v>155</v>
      </c>
      <c r="I1341" t="s">
        <v>69</v>
      </c>
      <c r="J1341" t="s">
        <v>156</v>
      </c>
      <c r="K1341" t="s">
        <v>157</v>
      </c>
      <c r="L1341" t="s">
        <v>158</v>
      </c>
      <c r="M1341" t="s">
        <v>159</v>
      </c>
      <c r="N1341" t="s">
        <v>61</v>
      </c>
      <c r="O1341" t="s">
        <v>833</v>
      </c>
      <c r="P1341" t="s">
        <v>85</v>
      </c>
      <c r="Q1341" t="s">
        <v>299</v>
      </c>
      <c r="R1341" t="s">
        <v>834</v>
      </c>
      <c r="S1341" t="s">
        <v>835</v>
      </c>
      <c r="T1341" t="s">
        <v>836</v>
      </c>
      <c r="U1341" s="10" t="s">
        <v>1061</v>
      </c>
      <c r="V1341" s="10" t="s">
        <v>1075</v>
      </c>
      <c r="W1341" s="10" t="s">
        <v>1075</v>
      </c>
      <c r="X1341" s="10" t="s">
        <v>1068</v>
      </c>
      <c r="Y1341" t="s">
        <v>39</v>
      </c>
      <c r="Z1341" t="s">
        <v>40</v>
      </c>
      <c r="AA1341" t="s">
        <v>63</v>
      </c>
    </row>
    <row r="1342" spans="1:28" x14ac:dyDescent="0.8">
      <c r="A1342">
        <v>1403</v>
      </c>
      <c r="B1342">
        <v>2150</v>
      </c>
      <c r="C1342" s="2">
        <v>44387</v>
      </c>
      <c r="D1342" t="s">
        <v>173</v>
      </c>
      <c r="E1342" t="s">
        <v>150</v>
      </c>
      <c r="F1342" t="s">
        <v>26</v>
      </c>
      <c r="G1342" t="s">
        <v>45</v>
      </c>
      <c r="H1342" t="s">
        <v>155</v>
      </c>
      <c r="I1342" t="s">
        <v>69</v>
      </c>
      <c r="J1342" t="s">
        <v>156</v>
      </c>
      <c r="K1342" t="s">
        <v>157</v>
      </c>
      <c r="L1342" t="s">
        <v>158</v>
      </c>
      <c r="M1342" t="s">
        <v>159</v>
      </c>
      <c r="N1342" t="s">
        <v>61</v>
      </c>
      <c r="O1342" t="s">
        <v>833</v>
      </c>
      <c r="P1342" t="s">
        <v>85</v>
      </c>
      <c r="Q1342" t="s">
        <v>299</v>
      </c>
      <c r="R1342" t="s">
        <v>834</v>
      </c>
      <c r="S1342" t="s">
        <v>835</v>
      </c>
      <c r="T1342" t="s">
        <v>836</v>
      </c>
      <c r="U1342" s="10" t="s">
        <v>1061</v>
      </c>
      <c r="V1342" s="10" t="s">
        <v>1075</v>
      </c>
      <c r="W1342" s="10" t="s">
        <v>1075</v>
      </c>
      <c r="X1342" s="10" t="s">
        <v>1068</v>
      </c>
      <c r="Y1342" t="s">
        <v>140</v>
      </c>
      <c r="Z1342" t="s">
        <v>40</v>
      </c>
      <c r="AA1342" t="s">
        <v>63</v>
      </c>
    </row>
    <row r="1343" spans="1:28" x14ac:dyDescent="0.8">
      <c r="A1343">
        <v>1501</v>
      </c>
      <c r="B1343">
        <v>2348</v>
      </c>
      <c r="C1343" s="2">
        <v>44388</v>
      </c>
      <c r="D1343" t="s">
        <v>134</v>
      </c>
      <c r="E1343" t="s">
        <v>53</v>
      </c>
      <c r="F1343" t="s">
        <v>26</v>
      </c>
      <c r="G1343" t="s">
        <v>45</v>
      </c>
      <c r="H1343" t="s">
        <v>68</v>
      </c>
      <c r="I1343" t="s">
        <v>69</v>
      </c>
      <c r="J1343" t="s">
        <v>70</v>
      </c>
      <c r="K1343" t="s">
        <v>71</v>
      </c>
      <c r="L1343" t="s">
        <v>72</v>
      </c>
      <c r="M1343" t="s">
        <v>73</v>
      </c>
      <c r="N1343" t="s">
        <v>61</v>
      </c>
      <c r="O1343" t="s">
        <v>833</v>
      </c>
      <c r="P1343" t="s">
        <v>85</v>
      </c>
      <c r="Q1343" t="s">
        <v>299</v>
      </c>
      <c r="R1343" t="s">
        <v>834</v>
      </c>
      <c r="S1343" t="s">
        <v>835</v>
      </c>
      <c r="T1343" t="s">
        <v>836</v>
      </c>
      <c r="U1343" s="10" t="s">
        <v>1061</v>
      </c>
      <c r="V1343" s="10" t="s">
        <v>1075</v>
      </c>
      <c r="W1343" s="10" t="s">
        <v>1075</v>
      </c>
      <c r="X1343" s="10" t="s">
        <v>1068</v>
      </c>
      <c r="Y1343" t="s">
        <v>39</v>
      </c>
      <c r="Z1343" t="s">
        <v>40</v>
      </c>
      <c r="AA1343" t="s">
        <v>63</v>
      </c>
    </row>
    <row r="1344" spans="1:28" x14ac:dyDescent="0.8">
      <c r="A1344">
        <v>1504</v>
      </c>
      <c r="B1344">
        <v>2351</v>
      </c>
      <c r="C1344" s="2">
        <v>44388</v>
      </c>
      <c r="D1344" t="s">
        <v>134</v>
      </c>
      <c r="E1344" t="s">
        <v>53</v>
      </c>
      <c r="F1344" t="s">
        <v>26</v>
      </c>
      <c r="G1344" t="s">
        <v>45</v>
      </c>
      <c r="H1344" t="s">
        <v>155</v>
      </c>
      <c r="I1344" t="s">
        <v>69</v>
      </c>
      <c r="J1344" t="s">
        <v>156</v>
      </c>
      <c r="K1344" t="s">
        <v>157</v>
      </c>
      <c r="L1344" t="s">
        <v>158</v>
      </c>
      <c r="M1344" t="s">
        <v>159</v>
      </c>
      <c r="N1344" t="s">
        <v>61</v>
      </c>
      <c r="O1344" t="s">
        <v>833</v>
      </c>
      <c r="P1344" t="s">
        <v>85</v>
      </c>
      <c r="Q1344" t="s">
        <v>299</v>
      </c>
      <c r="R1344" t="s">
        <v>834</v>
      </c>
      <c r="S1344" t="s">
        <v>835</v>
      </c>
      <c r="T1344" t="s">
        <v>836</v>
      </c>
      <c r="U1344" s="10" t="s">
        <v>1061</v>
      </c>
      <c r="V1344" s="10" t="s">
        <v>1075</v>
      </c>
      <c r="W1344" s="10" t="s">
        <v>1075</v>
      </c>
      <c r="X1344" s="10" t="s">
        <v>1068</v>
      </c>
      <c r="Y1344" t="s">
        <v>39</v>
      </c>
      <c r="Z1344" t="s">
        <v>40</v>
      </c>
      <c r="AA1344" t="s">
        <v>63</v>
      </c>
    </row>
    <row r="1345" spans="1:27" x14ac:dyDescent="0.8">
      <c r="A1345">
        <v>1502</v>
      </c>
      <c r="B1345">
        <v>2349</v>
      </c>
      <c r="C1345" s="2">
        <v>44388</v>
      </c>
      <c r="D1345" t="s">
        <v>134</v>
      </c>
      <c r="E1345" t="s">
        <v>53</v>
      </c>
      <c r="F1345" t="s">
        <v>26</v>
      </c>
      <c r="G1345" t="s">
        <v>45</v>
      </c>
      <c r="H1345" t="s">
        <v>155</v>
      </c>
      <c r="I1345" t="s">
        <v>69</v>
      </c>
      <c r="J1345" t="s">
        <v>156</v>
      </c>
      <c r="K1345" t="s">
        <v>157</v>
      </c>
      <c r="L1345" t="s">
        <v>158</v>
      </c>
      <c r="M1345" t="s">
        <v>159</v>
      </c>
      <c r="N1345" t="s">
        <v>52</v>
      </c>
      <c r="O1345" t="s">
        <v>833</v>
      </c>
      <c r="P1345" t="s">
        <v>85</v>
      </c>
      <c r="Q1345" t="s">
        <v>299</v>
      </c>
      <c r="R1345" t="s">
        <v>834</v>
      </c>
      <c r="S1345" t="s">
        <v>835</v>
      </c>
      <c r="T1345" t="s">
        <v>836</v>
      </c>
      <c r="U1345" s="10" t="s">
        <v>1061</v>
      </c>
      <c r="V1345" s="10" t="s">
        <v>1075</v>
      </c>
      <c r="W1345" s="10" t="s">
        <v>1075</v>
      </c>
      <c r="X1345" s="10" t="s">
        <v>1068</v>
      </c>
      <c r="Y1345" t="s">
        <v>39</v>
      </c>
      <c r="Z1345" t="s">
        <v>40</v>
      </c>
      <c r="AA1345" t="s">
        <v>63</v>
      </c>
    </row>
    <row r="1346" spans="1:27" x14ac:dyDescent="0.8">
      <c r="A1346">
        <v>1489</v>
      </c>
      <c r="B1346">
        <v>2336</v>
      </c>
      <c r="C1346" s="2">
        <v>44388</v>
      </c>
      <c r="D1346" t="s">
        <v>134</v>
      </c>
      <c r="E1346" t="s">
        <v>25</v>
      </c>
      <c r="F1346" t="s">
        <v>26</v>
      </c>
      <c r="G1346" t="s">
        <v>45</v>
      </c>
      <c r="H1346" t="s">
        <v>155</v>
      </c>
      <c r="I1346" t="s">
        <v>69</v>
      </c>
      <c r="J1346" t="s">
        <v>156</v>
      </c>
      <c r="K1346" t="s">
        <v>157</v>
      </c>
      <c r="L1346" t="s">
        <v>158</v>
      </c>
      <c r="M1346" t="s">
        <v>159</v>
      </c>
      <c r="N1346" t="s">
        <v>52</v>
      </c>
      <c r="O1346" t="s">
        <v>833</v>
      </c>
      <c r="P1346" t="s">
        <v>85</v>
      </c>
      <c r="Q1346" t="s">
        <v>299</v>
      </c>
      <c r="R1346" t="s">
        <v>834</v>
      </c>
      <c r="S1346" t="s">
        <v>835</v>
      </c>
      <c r="T1346" t="s">
        <v>836</v>
      </c>
      <c r="U1346" s="10" t="s">
        <v>1061</v>
      </c>
      <c r="V1346" s="10" t="s">
        <v>1075</v>
      </c>
      <c r="W1346" s="10" t="s">
        <v>1075</v>
      </c>
      <c r="X1346" s="10" t="s">
        <v>1068</v>
      </c>
      <c r="Y1346" t="s">
        <v>39</v>
      </c>
      <c r="Z1346" t="s">
        <v>40</v>
      </c>
      <c r="AA1346" t="s">
        <v>63</v>
      </c>
    </row>
    <row r="1347" spans="1:27" x14ac:dyDescent="0.8">
      <c r="A1347">
        <v>1476</v>
      </c>
      <c r="B1347">
        <v>2323</v>
      </c>
      <c r="C1347" s="2">
        <v>44388</v>
      </c>
      <c r="D1347" t="s">
        <v>134</v>
      </c>
      <c r="E1347" t="s">
        <v>125</v>
      </c>
      <c r="F1347" t="s">
        <v>26</v>
      </c>
      <c r="G1347" t="s">
        <v>45</v>
      </c>
      <c r="H1347" t="s">
        <v>155</v>
      </c>
      <c r="I1347" t="s">
        <v>69</v>
      </c>
      <c r="J1347" t="s">
        <v>156</v>
      </c>
      <c r="K1347" t="s">
        <v>157</v>
      </c>
      <c r="L1347" t="s">
        <v>158</v>
      </c>
      <c r="M1347" t="s">
        <v>159</v>
      </c>
      <c r="N1347" t="s">
        <v>52</v>
      </c>
      <c r="O1347" t="s">
        <v>833</v>
      </c>
      <c r="P1347" t="s">
        <v>85</v>
      </c>
      <c r="Q1347" t="s">
        <v>299</v>
      </c>
      <c r="R1347" t="s">
        <v>834</v>
      </c>
      <c r="S1347" t="s">
        <v>835</v>
      </c>
      <c r="T1347" t="s">
        <v>836</v>
      </c>
      <c r="U1347" s="10" t="s">
        <v>1061</v>
      </c>
      <c r="V1347" s="10" t="s">
        <v>1075</v>
      </c>
      <c r="W1347" s="10" t="s">
        <v>1075</v>
      </c>
      <c r="X1347" s="10" t="s">
        <v>1068</v>
      </c>
      <c r="Y1347" t="s">
        <v>39</v>
      </c>
      <c r="Z1347" t="s">
        <v>40</v>
      </c>
      <c r="AA1347" t="s">
        <v>63</v>
      </c>
    </row>
    <row r="1348" spans="1:27" x14ac:dyDescent="0.8">
      <c r="A1348">
        <v>1474</v>
      </c>
      <c r="B1348">
        <v>2321</v>
      </c>
      <c r="C1348" s="2">
        <v>44388</v>
      </c>
      <c r="D1348" t="s">
        <v>134</v>
      </c>
      <c r="E1348" t="s">
        <v>25</v>
      </c>
      <c r="F1348" t="s">
        <v>26</v>
      </c>
      <c r="G1348" t="s">
        <v>45</v>
      </c>
      <c r="H1348" t="s">
        <v>46</v>
      </c>
      <c r="I1348" t="s">
        <v>47</v>
      </c>
      <c r="J1348" t="s">
        <v>48</v>
      </c>
      <c r="K1348" t="s">
        <v>49</v>
      </c>
      <c r="L1348" t="s">
        <v>91</v>
      </c>
      <c r="M1348" t="s">
        <v>92</v>
      </c>
      <c r="N1348" t="s">
        <v>61</v>
      </c>
      <c r="O1348" t="s">
        <v>833</v>
      </c>
      <c r="P1348" t="s">
        <v>85</v>
      </c>
      <c r="Q1348" t="s">
        <v>299</v>
      </c>
      <c r="R1348" t="s">
        <v>834</v>
      </c>
      <c r="S1348" t="s">
        <v>835</v>
      </c>
      <c r="T1348" t="s">
        <v>836</v>
      </c>
      <c r="U1348" s="10" t="s">
        <v>1061</v>
      </c>
      <c r="V1348" s="10" t="s">
        <v>1075</v>
      </c>
      <c r="W1348" s="10" t="s">
        <v>1075</v>
      </c>
      <c r="X1348" s="10" t="s">
        <v>1068</v>
      </c>
      <c r="Y1348" t="s">
        <v>39</v>
      </c>
      <c r="Z1348" t="s">
        <v>40</v>
      </c>
      <c r="AA1348" t="s">
        <v>63</v>
      </c>
    </row>
    <row r="1349" spans="1:27" x14ac:dyDescent="0.8">
      <c r="A1349">
        <v>1467</v>
      </c>
      <c r="B1349">
        <v>2264</v>
      </c>
      <c r="C1349" s="2">
        <v>44388</v>
      </c>
      <c r="D1349" t="s">
        <v>134</v>
      </c>
      <c r="E1349" t="s">
        <v>25</v>
      </c>
      <c r="F1349" t="s">
        <v>26</v>
      </c>
      <c r="G1349" t="s">
        <v>45</v>
      </c>
      <c r="H1349" t="s">
        <v>46</v>
      </c>
      <c r="I1349" t="s">
        <v>47</v>
      </c>
      <c r="J1349" t="s">
        <v>48</v>
      </c>
      <c r="K1349" t="s">
        <v>49</v>
      </c>
      <c r="L1349" t="s">
        <v>91</v>
      </c>
      <c r="M1349" t="s">
        <v>92</v>
      </c>
      <c r="N1349" t="s">
        <v>61</v>
      </c>
      <c r="O1349" t="s">
        <v>833</v>
      </c>
      <c r="P1349" t="s">
        <v>85</v>
      </c>
      <c r="Q1349" t="s">
        <v>299</v>
      </c>
      <c r="R1349" t="s">
        <v>834</v>
      </c>
      <c r="S1349" t="s">
        <v>835</v>
      </c>
      <c r="T1349" t="s">
        <v>836</v>
      </c>
      <c r="U1349" s="10" t="s">
        <v>1061</v>
      </c>
      <c r="V1349" s="10" t="s">
        <v>1075</v>
      </c>
      <c r="W1349" s="10" t="s">
        <v>1075</v>
      </c>
      <c r="X1349" s="10" t="s">
        <v>1068</v>
      </c>
      <c r="Y1349" t="s">
        <v>39</v>
      </c>
      <c r="Z1349" t="s">
        <v>40</v>
      </c>
      <c r="AA1349" t="s">
        <v>63</v>
      </c>
    </row>
    <row r="1350" spans="1:27" x14ac:dyDescent="0.8">
      <c r="A1350">
        <v>1459</v>
      </c>
      <c r="B1350">
        <v>2256</v>
      </c>
      <c r="C1350" s="2">
        <v>44388</v>
      </c>
      <c r="D1350" t="s">
        <v>134</v>
      </c>
      <c r="E1350" t="s">
        <v>53</v>
      </c>
      <c r="F1350" t="s">
        <v>26</v>
      </c>
      <c r="G1350" t="s">
        <v>45</v>
      </c>
      <c r="H1350" t="s">
        <v>46</v>
      </c>
      <c r="I1350" t="s">
        <v>47</v>
      </c>
      <c r="J1350" t="s">
        <v>48</v>
      </c>
      <c r="K1350" t="s">
        <v>49</v>
      </c>
      <c r="L1350" t="s">
        <v>91</v>
      </c>
      <c r="M1350" t="s">
        <v>92</v>
      </c>
      <c r="N1350" t="s">
        <v>61</v>
      </c>
      <c r="O1350" t="s">
        <v>833</v>
      </c>
      <c r="P1350" t="s">
        <v>85</v>
      </c>
      <c r="Q1350" t="s">
        <v>299</v>
      </c>
      <c r="R1350" t="s">
        <v>834</v>
      </c>
      <c r="S1350" t="s">
        <v>835</v>
      </c>
      <c r="T1350" t="s">
        <v>836</v>
      </c>
      <c r="U1350" s="10" t="s">
        <v>1061</v>
      </c>
      <c r="V1350" s="10" t="s">
        <v>1075</v>
      </c>
      <c r="W1350" s="10" t="s">
        <v>1075</v>
      </c>
      <c r="X1350" s="10" t="s">
        <v>1068</v>
      </c>
      <c r="Y1350" t="s">
        <v>39</v>
      </c>
      <c r="Z1350" t="s">
        <v>40</v>
      </c>
      <c r="AA1350" t="s">
        <v>63</v>
      </c>
    </row>
    <row r="1351" spans="1:27" x14ac:dyDescent="0.8">
      <c r="A1351">
        <v>1471</v>
      </c>
      <c r="B1351">
        <v>2318</v>
      </c>
      <c r="C1351" s="2">
        <v>44388</v>
      </c>
      <c r="D1351" t="s">
        <v>134</v>
      </c>
      <c r="E1351" t="s">
        <v>25</v>
      </c>
      <c r="F1351" t="s">
        <v>26</v>
      </c>
      <c r="G1351" t="s">
        <v>45</v>
      </c>
      <c r="H1351" t="s">
        <v>46</v>
      </c>
      <c r="I1351" t="s">
        <v>47</v>
      </c>
      <c r="J1351" t="s">
        <v>48</v>
      </c>
      <c r="K1351" t="s">
        <v>141</v>
      </c>
      <c r="L1351" t="s">
        <v>142</v>
      </c>
      <c r="M1351" t="s">
        <v>143</v>
      </c>
      <c r="N1351" t="s">
        <v>61</v>
      </c>
      <c r="O1351" t="s">
        <v>833</v>
      </c>
      <c r="P1351" t="s">
        <v>85</v>
      </c>
      <c r="Q1351" t="s">
        <v>299</v>
      </c>
      <c r="R1351" t="s">
        <v>834</v>
      </c>
      <c r="S1351" t="s">
        <v>835</v>
      </c>
      <c r="T1351" t="s">
        <v>836</v>
      </c>
      <c r="U1351" s="10" t="s">
        <v>1061</v>
      </c>
      <c r="V1351" s="10" t="s">
        <v>1075</v>
      </c>
      <c r="W1351" s="10" t="s">
        <v>1075</v>
      </c>
      <c r="X1351" s="10" t="s">
        <v>1068</v>
      </c>
      <c r="Y1351" t="s">
        <v>39</v>
      </c>
      <c r="Z1351" t="s">
        <v>40</v>
      </c>
      <c r="AA1351" t="s">
        <v>63</v>
      </c>
    </row>
    <row r="1352" spans="1:27" x14ac:dyDescent="0.8">
      <c r="A1352">
        <v>278</v>
      </c>
      <c r="B1352">
        <v>892</v>
      </c>
      <c r="C1352" s="2">
        <v>44386</v>
      </c>
      <c r="D1352" t="s">
        <v>43</v>
      </c>
      <c r="E1352" t="s">
        <v>53</v>
      </c>
      <c r="F1352" t="s">
        <v>26</v>
      </c>
      <c r="G1352" t="s">
        <v>45</v>
      </c>
      <c r="H1352" t="s">
        <v>155</v>
      </c>
      <c r="I1352" t="s">
        <v>69</v>
      </c>
      <c r="J1352" t="s">
        <v>156</v>
      </c>
      <c r="K1352" t="s">
        <v>157</v>
      </c>
      <c r="L1352" t="s">
        <v>158</v>
      </c>
      <c r="M1352" t="s">
        <v>159</v>
      </c>
      <c r="N1352" t="s">
        <v>61</v>
      </c>
      <c r="O1352" t="s">
        <v>833</v>
      </c>
      <c r="P1352" t="s">
        <v>85</v>
      </c>
      <c r="Q1352" t="s">
        <v>299</v>
      </c>
      <c r="R1352" t="s">
        <v>834</v>
      </c>
      <c r="S1352" t="s">
        <v>835</v>
      </c>
      <c r="T1352" t="s">
        <v>836</v>
      </c>
      <c r="U1352" s="10" t="s">
        <v>1061</v>
      </c>
      <c r="V1352" s="10" t="s">
        <v>1075</v>
      </c>
      <c r="W1352" s="10" t="s">
        <v>1075</v>
      </c>
      <c r="X1352" s="10" t="s">
        <v>1068</v>
      </c>
      <c r="Y1352" t="s">
        <v>39</v>
      </c>
      <c r="Z1352" t="s">
        <v>40</v>
      </c>
      <c r="AA1352" t="s">
        <v>53</v>
      </c>
    </row>
    <row r="1353" spans="1:27" x14ac:dyDescent="0.8">
      <c r="A1353">
        <v>1273</v>
      </c>
      <c r="B1353">
        <v>1920</v>
      </c>
      <c r="C1353" s="2">
        <v>44387</v>
      </c>
      <c r="D1353" t="s">
        <v>102</v>
      </c>
      <c r="E1353" t="s">
        <v>103</v>
      </c>
      <c r="F1353" t="s">
        <v>26</v>
      </c>
      <c r="G1353" t="s">
        <v>45</v>
      </c>
      <c r="H1353" t="s">
        <v>155</v>
      </c>
      <c r="I1353" t="s">
        <v>69</v>
      </c>
      <c r="J1353" t="s">
        <v>156</v>
      </c>
      <c r="K1353" t="s">
        <v>157</v>
      </c>
      <c r="L1353" t="s">
        <v>158</v>
      </c>
      <c r="M1353" t="s">
        <v>159</v>
      </c>
      <c r="N1353" t="s">
        <v>61</v>
      </c>
      <c r="O1353" t="s">
        <v>833</v>
      </c>
      <c r="P1353" t="s">
        <v>85</v>
      </c>
      <c r="Q1353" t="s">
        <v>299</v>
      </c>
      <c r="R1353" t="s">
        <v>834</v>
      </c>
      <c r="S1353" t="s">
        <v>835</v>
      </c>
      <c r="T1353" t="s">
        <v>836</v>
      </c>
      <c r="U1353" s="10" t="s">
        <v>1061</v>
      </c>
      <c r="V1353" s="10" t="s">
        <v>1075</v>
      </c>
      <c r="W1353" s="10" t="s">
        <v>1075</v>
      </c>
      <c r="X1353" s="10" t="s">
        <v>1068</v>
      </c>
      <c r="Y1353" t="s">
        <v>39</v>
      </c>
      <c r="Z1353" t="s">
        <v>40</v>
      </c>
      <c r="AA1353" t="s">
        <v>63</v>
      </c>
    </row>
    <row r="1354" spans="1:27" x14ac:dyDescent="0.8">
      <c r="A1354">
        <v>1258</v>
      </c>
      <c r="B1354">
        <v>1905</v>
      </c>
      <c r="C1354" s="2">
        <v>44387</v>
      </c>
      <c r="D1354" t="s">
        <v>102</v>
      </c>
      <c r="E1354" t="s">
        <v>25</v>
      </c>
      <c r="F1354" t="s">
        <v>26</v>
      </c>
      <c r="G1354" t="s">
        <v>45</v>
      </c>
      <c r="H1354" t="s">
        <v>155</v>
      </c>
      <c r="I1354" t="s">
        <v>69</v>
      </c>
      <c r="J1354" t="s">
        <v>156</v>
      </c>
      <c r="K1354" t="s">
        <v>157</v>
      </c>
      <c r="L1354" t="s">
        <v>158</v>
      </c>
      <c r="M1354" t="s">
        <v>159</v>
      </c>
      <c r="N1354" t="s">
        <v>61</v>
      </c>
      <c r="O1354" t="s">
        <v>833</v>
      </c>
      <c r="P1354" t="s">
        <v>85</v>
      </c>
      <c r="Q1354" t="s">
        <v>299</v>
      </c>
      <c r="R1354" t="s">
        <v>834</v>
      </c>
      <c r="S1354" t="s">
        <v>835</v>
      </c>
      <c r="T1354" t="s">
        <v>836</v>
      </c>
      <c r="U1354" s="10" t="s">
        <v>1061</v>
      </c>
      <c r="V1354" s="10" t="s">
        <v>1075</v>
      </c>
      <c r="W1354" s="10" t="s">
        <v>1075</v>
      </c>
      <c r="X1354" s="10" t="s">
        <v>1068</v>
      </c>
      <c r="Y1354" t="s">
        <v>39</v>
      </c>
      <c r="Z1354" t="s">
        <v>62</v>
      </c>
      <c r="AA1354" t="s">
        <v>63</v>
      </c>
    </row>
    <row r="1355" spans="1:27" x14ac:dyDescent="0.8">
      <c r="A1355">
        <v>1252</v>
      </c>
      <c r="B1355">
        <v>1849</v>
      </c>
      <c r="C1355" s="2">
        <v>44387</v>
      </c>
      <c r="D1355" t="s">
        <v>102</v>
      </c>
      <c r="E1355" t="s">
        <v>25</v>
      </c>
      <c r="F1355" t="s">
        <v>26</v>
      </c>
      <c r="G1355" t="s">
        <v>45</v>
      </c>
      <c r="H1355" t="s">
        <v>155</v>
      </c>
      <c r="I1355" t="s">
        <v>69</v>
      </c>
      <c r="J1355" t="s">
        <v>156</v>
      </c>
      <c r="K1355" t="s">
        <v>157</v>
      </c>
      <c r="L1355" t="s">
        <v>158</v>
      </c>
      <c r="M1355" t="s">
        <v>159</v>
      </c>
      <c r="N1355" t="s">
        <v>61</v>
      </c>
      <c r="O1355" t="s">
        <v>833</v>
      </c>
      <c r="P1355" t="s">
        <v>85</v>
      </c>
      <c r="Q1355" t="s">
        <v>299</v>
      </c>
      <c r="R1355" t="s">
        <v>834</v>
      </c>
      <c r="S1355" t="s">
        <v>835</v>
      </c>
      <c r="T1355" t="s">
        <v>836</v>
      </c>
      <c r="U1355" s="10" t="s">
        <v>1061</v>
      </c>
      <c r="V1355" s="10" t="s">
        <v>1075</v>
      </c>
      <c r="W1355" s="10" t="s">
        <v>1075</v>
      </c>
      <c r="X1355" s="10" t="s">
        <v>1068</v>
      </c>
      <c r="Y1355" t="s">
        <v>39</v>
      </c>
      <c r="Z1355" t="s">
        <v>40</v>
      </c>
      <c r="AA1355" t="s">
        <v>63</v>
      </c>
    </row>
    <row r="1356" spans="1:27" x14ac:dyDescent="0.8">
      <c r="A1356">
        <v>1242</v>
      </c>
      <c r="B1356">
        <v>1839</v>
      </c>
      <c r="C1356" s="2">
        <v>44387</v>
      </c>
      <c r="D1356" t="s">
        <v>102</v>
      </c>
      <c r="E1356" t="s">
        <v>103</v>
      </c>
      <c r="F1356" t="s">
        <v>26</v>
      </c>
      <c r="G1356" t="s">
        <v>45</v>
      </c>
      <c r="H1356" t="s">
        <v>155</v>
      </c>
      <c r="I1356" t="s">
        <v>69</v>
      </c>
      <c r="J1356" t="s">
        <v>156</v>
      </c>
      <c r="K1356" t="s">
        <v>157</v>
      </c>
      <c r="L1356" t="s">
        <v>158</v>
      </c>
      <c r="M1356" t="s">
        <v>159</v>
      </c>
      <c r="N1356" t="s">
        <v>61</v>
      </c>
      <c r="O1356" t="s">
        <v>833</v>
      </c>
      <c r="P1356" t="s">
        <v>85</v>
      </c>
      <c r="Q1356" t="s">
        <v>299</v>
      </c>
      <c r="R1356" t="s">
        <v>834</v>
      </c>
      <c r="S1356" t="s">
        <v>835</v>
      </c>
      <c r="T1356" t="s">
        <v>836</v>
      </c>
      <c r="U1356" s="10" t="s">
        <v>1061</v>
      </c>
      <c r="V1356" s="10" t="s">
        <v>1075</v>
      </c>
      <c r="W1356" s="10" t="s">
        <v>1075</v>
      </c>
      <c r="X1356" s="10" t="s">
        <v>1068</v>
      </c>
      <c r="Y1356" t="s">
        <v>39</v>
      </c>
      <c r="Z1356" t="s">
        <v>40</v>
      </c>
      <c r="AA1356" t="s">
        <v>63</v>
      </c>
    </row>
    <row r="1357" spans="1:27" x14ac:dyDescent="0.8">
      <c r="A1357">
        <v>1067</v>
      </c>
      <c r="B1357">
        <v>251</v>
      </c>
      <c r="C1357" s="2">
        <v>44387</v>
      </c>
      <c r="D1357" t="s">
        <v>54</v>
      </c>
      <c r="E1357" t="s">
        <v>103</v>
      </c>
      <c r="F1357" t="s">
        <v>26</v>
      </c>
      <c r="G1357" t="s">
        <v>45</v>
      </c>
      <c r="H1357" t="s">
        <v>68</v>
      </c>
      <c r="I1357" t="s">
        <v>69</v>
      </c>
      <c r="J1357" t="s">
        <v>70</v>
      </c>
      <c r="K1357" t="s">
        <v>71</v>
      </c>
      <c r="L1357" t="s">
        <v>72</v>
      </c>
      <c r="M1357" t="s">
        <v>73</v>
      </c>
      <c r="N1357" t="s">
        <v>61</v>
      </c>
      <c r="O1357" t="s">
        <v>833</v>
      </c>
      <c r="P1357" t="s">
        <v>85</v>
      </c>
      <c r="Q1357" t="s">
        <v>299</v>
      </c>
      <c r="R1357" t="s">
        <v>834</v>
      </c>
      <c r="S1357" t="s">
        <v>835</v>
      </c>
      <c r="T1357" t="s">
        <v>836</v>
      </c>
      <c r="U1357" s="10" t="s">
        <v>1061</v>
      </c>
      <c r="V1357" s="10" t="s">
        <v>1075</v>
      </c>
      <c r="W1357" s="10" t="s">
        <v>1075</v>
      </c>
      <c r="X1357" s="10" t="s">
        <v>1068</v>
      </c>
      <c r="Y1357" t="s">
        <v>39</v>
      </c>
      <c r="Z1357" t="s">
        <v>40</v>
      </c>
      <c r="AA1357" t="s">
        <v>63</v>
      </c>
    </row>
    <row r="1358" spans="1:27" x14ac:dyDescent="0.8">
      <c r="A1358">
        <v>1089</v>
      </c>
      <c r="B1358">
        <v>1189</v>
      </c>
      <c r="C1358" s="2">
        <v>44387</v>
      </c>
      <c r="D1358" t="s">
        <v>54</v>
      </c>
      <c r="E1358" t="s">
        <v>103</v>
      </c>
      <c r="F1358" t="s">
        <v>26</v>
      </c>
      <c r="G1358" t="s">
        <v>45</v>
      </c>
      <c r="H1358" t="s">
        <v>155</v>
      </c>
      <c r="I1358" t="s">
        <v>69</v>
      </c>
      <c r="J1358" t="s">
        <v>156</v>
      </c>
      <c r="K1358" t="s">
        <v>157</v>
      </c>
      <c r="L1358" t="s">
        <v>158</v>
      </c>
      <c r="M1358" t="s">
        <v>159</v>
      </c>
      <c r="N1358" t="s">
        <v>52</v>
      </c>
      <c r="O1358" t="s">
        <v>833</v>
      </c>
      <c r="P1358" t="s">
        <v>85</v>
      </c>
      <c r="Q1358" t="s">
        <v>299</v>
      </c>
      <c r="R1358" t="s">
        <v>834</v>
      </c>
      <c r="S1358" t="s">
        <v>835</v>
      </c>
      <c r="T1358" t="s">
        <v>836</v>
      </c>
      <c r="U1358" s="10" t="s">
        <v>1061</v>
      </c>
      <c r="V1358" s="10" t="s">
        <v>1075</v>
      </c>
      <c r="W1358" s="10" t="s">
        <v>1075</v>
      </c>
      <c r="X1358" s="10" t="s">
        <v>1068</v>
      </c>
      <c r="Y1358" t="s">
        <v>39</v>
      </c>
      <c r="Z1358" t="s">
        <v>40</v>
      </c>
      <c r="AA1358" t="s">
        <v>63</v>
      </c>
    </row>
    <row r="1359" spans="1:27" x14ac:dyDescent="0.8">
      <c r="A1359">
        <v>1059</v>
      </c>
      <c r="B1359">
        <v>124</v>
      </c>
      <c r="C1359" s="2">
        <v>44387</v>
      </c>
      <c r="D1359" t="s">
        <v>54</v>
      </c>
      <c r="E1359" t="s">
        <v>150</v>
      </c>
      <c r="F1359" t="s">
        <v>26</v>
      </c>
      <c r="G1359" t="s">
        <v>45</v>
      </c>
      <c r="H1359" t="s">
        <v>155</v>
      </c>
      <c r="I1359" t="s">
        <v>69</v>
      </c>
      <c r="J1359" t="s">
        <v>156</v>
      </c>
      <c r="K1359" t="s">
        <v>157</v>
      </c>
      <c r="L1359" t="s">
        <v>158</v>
      </c>
      <c r="M1359" t="s">
        <v>159</v>
      </c>
      <c r="N1359" t="s">
        <v>52</v>
      </c>
      <c r="O1359" t="s">
        <v>833</v>
      </c>
      <c r="P1359" t="s">
        <v>85</v>
      </c>
      <c r="Q1359" t="s">
        <v>299</v>
      </c>
      <c r="R1359" t="s">
        <v>834</v>
      </c>
      <c r="S1359" t="s">
        <v>835</v>
      </c>
      <c r="T1359" t="s">
        <v>836</v>
      </c>
      <c r="U1359" s="10" t="s">
        <v>1061</v>
      </c>
      <c r="V1359" s="10" t="s">
        <v>1075</v>
      </c>
      <c r="W1359" s="10" t="s">
        <v>1075</v>
      </c>
      <c r="X1359" s="10" t="s">
        <v>1068</v>
      </c>
      <c r="Y1359" t="s">
        <v>39</v>
      </c>
      <c r="Z1359" t="s">
        <v>40</v>
      </c>
      <c r="AA1359" t="s">
        <v>63</v>
      </c>
    </row>
    <row r="1360" spans="1:27" x14ac:dyDescent="0.8">
      <c r="A1360">
        <v>694</v>
      </c>
      <c r="B1360">
        <v>1079</v>
      </c>
      <c r="C1360" s="2">
        <v>44385</v>
      </c>
      <c r="D1360" t="s">
        <v>133</v>
      </c>
      <c r="E1360" t="s">
        <v>103</v>
      </c>
      <c r="F1360" t="s">
        <v>26</v>
      </c>
      <c r="G1360" t="s">
        <v>45</v>
      </c>
      <c r="H1360" t="s">
        <v>46</v>
      </c>
      <c r="I1360" t="s">
        <v>47</v>
      </c>
      <c r="J1360" t="s">
        <v>48</v>
      </c>
      <c r="K1360" t="s">
        <v>141</v>
      </c>
      <c r="L1360" t="s">
        <v>65</v>
      </c>
      <c r="M1360" t="s">
        <v>396</v>
      </c>
      <c r="N1360" t="s">
        <v>61</v>
      </c>
      <c r="O1360" t="s">
        <v>833</v>
      </c>
      <c r="P1360" t="s">
        <v>85</v>
      </c>
      <c r="Q1360" t="s">
        <v>299</v>
      </c>
      <c r="R1360" t="s">
        <v>834</v>
      </c>
      <c r="S1360" t="s">
        <v>835</v>
      </c>
      <c r="T1360" t="s">
        <v>836</v>
      </c>
      <c r="U1360" s="10" t="s">
        <v>1061</v>
      </c>
      <c r="V1360" s="10" t="s">
        <v>1075</v>
      </c>
      <c r="W1360" s="10" t="s">
        <v>1075</v>
      </c>
      <c r="X1360" s="10" t="s">
        <v>1068</v>
      </c>
      <c r="Y1360" t="s">
        <v>39</v>
      </c>
      <c r="Z1360" t="s">
        <v>40</v>
      </c>
      <c r="AA1360" t="s">
        <v>63</v>
      </c>
    </row>
    <row r="1361" spans="1:28" x14ac:dyDescent="0.8">
      <c r="A1361">
        <v>1136</v>
      </c>
      <c r="B1361">
        <v>1583</v>
      </c>
      <c r="C1361" s="2">
        <v>44384</v>
      </c>
      <c r="D1361" t="s">
        <v>384</v>
      </c>
      <c r="E1361" t="s">
        <v>125</v>
      </c>
      <c r="F1361" t="s">
        <v>26</v>
      </c>
      <c r="G1361" t="s">
        <v>27</v>
      </c>
      <c r="H1361" t="s">
        <v>28</v>
      </c>
      <c r="I1361" t="s">
        <v>214</v>
      </c>
      <c r="K1361" t="s">
        <v>215</v>
      </c>
      <c r="L1361" t="s">
        <v>112</v>
      </c>
      <c r="M1361" t="s">
        <v>216</v>
      </c>
      <c r="O1361" t="s">
        <v>833</v>
      </c>
      <c r="P1361" t="s">
        <v>85</v>
      </c>
      <c r="Q1361" t="s">
        <v>299</v>
      </c>
      <c r="R1361" t="s">
        <v>834</v>
      </c>
      <c r="S1361" t="s">
        <v>835</v>
      </c>
      <c r="T1361" t="s">
        <v>836</v>
      </c>
      <c r="U1361" s="10" t="s">
        <v>1061</v>
      </c>
      <c r="V1361" s="10" t="s">
        <v>1075</v>
      </c>
      <c r="W1361" s="10" t="s">
        <v>1075</v>
      </c>
      <c r="X1361" s="10" t="s">
        <v>1068</v>
      </c>
      <c r="Y1361" t="s">
        <v>39</v>
      </c>
      <c r="Z1361" t="s">
        <v>40</v>
      </c>
      <c r="AA1361" t="s">
        <v>63</v>
      </c>
    </row>
    <row r="1362" spans="1:28" x14ac:dyDescent="0.8">
      <c r="A1362">
        <v>1141</v>
      </c>
      <c r="B1362">
        <v>1588</v>
      </c>
      <c r="C1362" s="2">
        <v>44384</v>
      </c>
      <c r="D1362" t="s">
        <v>384</v>
      </c>
      <c r="E1362" t="s">
        <v>63</v>
      </c>
      <c r="F1362" t="s">
        <v>26</v>
      </c>
      <c r="G1362" t="s">
        <v>45</v>
      </c>
      <c r="H1362" t="s">
        <v>68</v>
      </c>
      <c r="I1362" t="s">
        <v>69</v>
      </c>
      <c r="J1362" t="s">
        <v>70</v>
      </c>
      <c r="K1362" t="s">
        <v>71</v>
      </c>
      <c r="L1362" t="s">
        <v>72</v>
      </c>
      <c r="M1362" t="s">
        <v>73</v>
      </c>
      <c r="N1362" t="s">
        <v>61</v>
      </c>
      <c r="O1362" t="s">
        <v>833</v>
      </c>
      <c r="P1362" t="s">
        <v>85</v>
      </c>
      <c r="Q1362" t="s">
        <v>299</v>
      </c>
      <c r="R1362" t="s">
        <v>834</v>
      </c>
      <c r="S1362" t="s">
        <v>835</v>
      </c>
      <c r="T1362" t="s">
        <v>836</v>
      </c>
      <c r="U1362" s="10" t="s">
        <v>1061</v>
      </c>
      <c r="V1362" s="10" t="s">
        <v>1075</v>
      </c>
      <c r="W1362" s="10" t="s">
        <v>1075</v>
      </c>
      <c r="X1362" s="10" t="s">
        <v>1068</v>
      </c>
      <c r="Y1362" t="s">
        <v>39</v>
      </c>
      <c r="Z1362" t="s">
        <v>40</v>
      </c>
      <c r="AA1362" t="s">
        <v>63</v>
      </c>
    </row>
    <row r="1363" spans="1:28" x14ac:dyDescent="0.8">
      <c r="A1363">
        <v>1140</v>
      </c>
      <c r="B1363">
        <v>1587</v>
      </c>
      <c r="C1363" s="2">
        <v>44384</v>
      </c>
      <c r="D1363" t="s">
        <v>384</v>
      </c>
      <c r="E1363" t="s">
        <v>63</v>
      </c>
      <c r="F1363" t="s">
        <v>26</v>
      </c>
      <c r="G1363" t="s">
        <v>45</v>
      </c>
      <c r="H1363" t="s">
        <v>68</v>
      </c>
      <c r="I1363" t="s">
        <v>69</v>
      </c>
      <c r="J1363" t="s">
        <v>70</v>
      </c>
      <c r="K1363" t="s">
        <v>71</v>
      </c>
      <c r="L1363" t="s">
        <v>72</v>
      </c>
      <c r="M1363" t="s">
        <v>73</v>
      </c>
      <c r="N1363" t="s">
        <v>61</v>
      </c>
      <c r="O1363" t="s">
        <v>833</v>
      </c>
      <c r="P1363" t="s">
        <v>85</v>
      </c>
      <c r="Q1363" t="s">
        <v>299</v>
      </c>
      <c r="R1363" t="s">
        <v>834</v>
      </c>
      <c r="S1363" t="s">
        <v>835</v>
      </c>
      <c r="T1363" t="s">
        <v>836</v>
      </c>
      <c r="U1363" s="10" t="s">
        <v>1061</v>
      </c>
      <c r="V1363" s="10" t="s">
        <v>1075</v>
      </c>
      <c r="W1363" s="10" t="s">
        <v>1075</v>
      </c>
      <c r="X1363" s="10" t="s">
        <v>1068</v>
      </c>
      <c r="Y1363" t="s">
        <v>39</v>
      </c>
      <c r="Z1363" t="s">
        <v>40</v>
      </c>
      <c r="AA1363" t="s">
        <v>63</v>
      </c>
    </row>
    <row r="1364" spans="1:28" x14ac:dyDescent="0.8">
      <c r="A1364">
        <v>1125</v>
      </c>
      <c r="B1364">
        <v>1572</v>
      </c>
      <c r="C1364" s="2">
        <v>44384</v>
      </c>
      <c r="D1364" t="s">
        <v>384</v>
      </c>
      <c r="E1364" t="s">
        <v>150</v>
      </c>
      <c r="F1364" t="s">
        <v>26</v>
      </c>
      <c r="G1364" t="s">
        <v>45</v>
      </c>
      <c r="H1364" t="s">
        <v>68</v>
      </c>
      <c r="I1364" t="s">
        <v>69</v>
      </c>
      <c r="J1364" t="s">
        <v>70</v>
      </c>
      <c r="K1364" t="s">
        <v>71</v>
      </c>
      <c r="L1364" t="s">
        <v>72</v>
      </c>
      <c r="M1364" t="s">
        <v>73</v>
      </c>
      <c r="N1364" t="s">
        <v>61</v>
      </c>
      <c r="O1364" t="s">
        <v>833</v>
      </c>
      <c r="P1364" t="s">
        <v>85</v>
      </c>
      <c r="Q1364" t="s">
        <v>299</v>
      </c>
      <c r="R1364" t="s">
        <v>834</v>
      </c>
      <c r="S1364" t="s">
        <v>835</v>
      </c>
      <c r="T1364" t="s">
        <v>836</v>
      </c>
      <c r="U1364" s="10" t="s">
        <v>1061</v>
      </c>
      <c r="V1364" s="10" t="s">
        <v>1075</v>
      </c>
      <c r="W1364" s="10" t="s">
        <v>1075</v>
      </c>
      <c r="X1364" s="10" t="s">
        <v>1068</v>
      </c>
      <c r="Y1364" t="s">
        <v>39</v>
      </c>
      <c r="Z1364" t="s">
        <v>40</v>
      </c>
      <c r="AA1364" t="s">
        <v>63</v>
      </c>
    </row>
    <row r="1365" spans="1:28" x14ac:dyDescent="0.8">
      <c r="A1365">
        <v>1124</v>
      </c>
      <c r="B1365">
        <v>1571</v>
      </c>
      <c r="C1365" s="2">
        <v>44384</v>
      </c>
      <c r="D1365" t="s">
        <v>384</v>
      </c>
      <c r="E1365" t="s">
        <v>25</v>
      </c>
      <c r="F1365" t="s">
        <v>26</v>
      </c>
      <c r="G1365" t="s">
        <v>45</v>
      </c>
      <c r="H1365" t="s">
        <v>68</v>
      </c>
      <c r="I1365" t="s">
        <v>69</v>
      </c>
      <c r="J1365" t="s">
        <v>70</v>
      </c>
      <c r="K1365" t="s">
        <v>71</v>
      </c>
      <c r="L1365" t="s">
        <v>72</v>
      </c>
      <c r="M1365" t="s">
        <v>73</v>
      </c>
      <c r="N1365" t="s">
        <v>61</v>
      </c>
      <c r="O1365" t="s">
        <v>833</v>
      </c>
      <c r="P1365" t="s">
        <v>85</v>
      </c>
      <c r="Q1365" t="s">
        <v>299</v>
      </c>
      <c r="R1365" t="s">
        <v>834</v>
      </c>
      <c r="S1365" t="s">
        <v>835</v>
      </c>
      <c r="T1365" t="s">
        <v>836</v>
      </c>
      <c r="U1365" s="10" t="s">
        <v>1061</v>
      </c>
      <c r="V1365" s="10" t="s">
        <v>1075</v>
      </c>
      <c r="W1365" s="10" t="s">
        <v>1075</v>
      </c>
      <c r="X1365" s="10" t="s">
        <v>1068</v>
      </c>
      <c r="Y1365" t="s">
        <v>39</v>
      </c>
      <c r="Z1365" t="s">
        <v>40</v>
      </c>
      <c r="AA1365" t="s">
        <v>63</v>
      </c>
    </row>
    <row r="1366" spans="1:28" x14ac:dyDescent="0.8">
      <c r="A1366">
        <v>1122</v>
      </c>
      <c r="B1366">
        <v>1569</v>
      </c>
      <c r="C1366" s="2">
        <v>44384</v>
      </c>
      <c r="D1366" t="s">
        <v>384</v>
      </c>
      <c r="E1366" t="s">
        <v>150</v>
      </c>
      <c r="F1366" t="s">
        <v>26</v>
      </c>
      <c r="G1366" t="s">
        <v>45</v>
      </c>
      <c r="H1366" t="s">
        <v>68</v>
      </c>
      <c r="I1366" t="s">
        <v>69</v>
      </c>
      <c r="J1366" t="s">
        <v>70</v>
      </c>
      <c r="K1366" t="s">
        <v>71</v>
      </c>
      <c r="L1366" t="s">
        <v>72</v>
      </c>
      <c r="M1366" t="s">
        <v>73</v>
      </c>
      <c r="N1366" t="s">
        <v>61</v>
      </c>
      <c r="O1366" t="s">
        <v>833</v>
      </c>
      <c r="P1366" t="s">
        <v>85</v>
      </c>
      <c r="Q1366" t="s">
        <v>299</v>
      </c>
      <c r="R1366" t="s">
        <v>834</v>
      </c>
      <c r="S1366" t="s">
        <v>835</v>
      </c>
      <c r="T1366" t="s">
        <v>836</v>
      </c>
      <c r="U1366" s="10" t="s">
        <v>1061</v>
      </c>
      <c r="V1366" s="10" t="s">
        <v>1075</v>
      </c>
      <c r="W1366" s="10" t="s">
        <v>1075</v>
      </c>
      <c r="X1366" s="10" t="s">
        <v>1068</v>
      </c>
      <c r="Y1366" t="s">
        <v>39</v>
      </c>
      <c r="Z1366" t="s">
        <v>40</v>
      </c>
      <c r="AA1366" t="s">
        <v>63</v>
      </c>
    </row>
    <row r="1367" spans="1:28" x14ac:dyDescent="0.8">
      <c r="A1367">
        <v>1118</v>
      </c>
      <c r="B1367">
        <v>1565</v>
      </c>
      <c r="C1367" s="2">
        <v>44384</v>
      </c>
      <c r="D1367" t="s">
        <v>384</v>
      </c>
      <c r="E1367" t="s">
        <v>125</v>
      </c>
      <c r="F1367" t="s">
        <v>26</v>
      </c>
      <c r="G1367" t="s">
        <v>45</v>
      </c>
      <c r="H1367" t="s">
        <v>68</v>
      </c>
      <c r="I1367" t="s">
        <v>69</v>
      </c>
      <c r="J1367" t="s">
        <v>70</v>
      </c>
      <c r="K1367" t="s">
        <v>71</v>
      </c>
      <c r="L1367" t="s">
        <v>72</v>
      </c>
      <c r="M1367" t="s">
        <v>73</v>
      </c>
      <c r="N1367" t="s">
        <v>61</v>
      </c>
      <c r="O1367" t="s">
        <v>833</v>
      </c>
      <c r="P1367" t="s">
        <v>85</v>
      </c>
      <c r="Q1367" t="s">
        <v>299</v>
      </c>
      <c r="R1367" t="s">
        <v>834</v>
      </c>
      <c r="S1367" t="s">
        <v>835</v>
      </c>
      <c r="T1367" t="s">
        <v>836</v>
      </c>
      <c r="U1367" s="10" t="s">
        <v>1061</v>
      </c>
      <c r="V1367" s="10" t="s">
        <v>1075</v>
      </c>
      <c r="W1367" s="10" t="s">
        <v>1075</v>
      </c>
      <c r="X1367" s="10" t="s">
        <v>1068</v>
      </c>
      <c r="Y1367" t="s">
        <v>39</v>
      </c>
      <c r="Z1367" t="s">
        <v>40</v>
      </c>
      <c r="AA1367" t="s">
        <v>63</v>
      </c>
    </row>
    <row r="1368" spans="1:28" x14ac:dyDescent="0.8">
      <c r="A1368">
        <v>1110</v>
      </c>
      <c r="B1368">
        <v>1557</v>
      </c>
      <c r="C1368" s="2">
        <v>44384</v>
      </c>
      <c r="D1368" t="s">
        <v>384</v>
      </c>
      <c r="E1368" t="s">
        <v>150</v>
      </c>
      <c r="F1368" t="s">
        <v>26</v>
      </c>
      <c r="G1368" t="s">
        <v>45</v>
      </c>
      <c r="H1368" t="s">
        <v>68</v>
      </c>
      <c r="I1368" t="s">
        <v>69</v>
      </c>
      <c r="J1368" t="s">
        <v>70</v>
      </c>
      <c r="K1368" t="s">
        <v>71</v>
      </c>
      <c r="L1368" t="s">
        <v>72</v>
      </c>
      <c r="M1368" t="s">
        <v>73</v>
      </c>
      <c r="N1368" t="s">
        <v>61</v>
      </c>
      <c r="O1368" t="s">
        <v>833</v>
      </c>
      <c r="P1368" t="s">
        <v>85</v>
      </c>
      <c r="Q1368" t="s">
        <v>299</v>
      </c>
      <c r="R1368" t="s">
        <v>834</v>
      </c>
      <c r="S1368" t="s">
        <v>835</v>
      </c>
      <c r="T1368" t="s">
        <v>836</v>
      </c>
      <c r="U1368" s="10" t="s">
        <v>1061</v>
      </c>
      <c r="V1368" s="10" t="s">
        <v>1075</v>
      </c>
      <c r="W1368" s="10" t="s">
        <v>1075</v>
      </c>
      <c r="X1368" s="10" t="s">
        <v>1068</v>
      </c>
      <c r="Y1368" t="s">
        <v>39</v>
      </c>
      <c r="Z1368" t="s">
        <v>40</v>
      </c>
      <c r="AA1368" t="s">
        <v>63</v>
      </c>
    </row>
    <row r="1369" spans="1:28" x14ac:dyDescent="0.8">
      <c r="A1369">
        <v>1105</v>
      </c>
      <c r="B1369">
        <v>1205</v>
      </c>
      <c r="C1369" s="2">
        <v>44384</v>
      </c>
      <c r="D1369" t="s">
        <v>384</v>
      </c>
      <c r="E1369" t="s">
        <v>150</v>
      </c>
      <c r="F1369" t="s">
        <v>26</v>
      </c>
      <c r="G1369" t="s">
        <v>45</v>
      </c>
      <c r="H1369" t="s">
        <v>68</v>
      </c>
      <c r="I1369" t="s">
        <v>69</v>
      </c>
      <c r="J1369" t="s">
        <v>70</v>
      </c>
      <c r="K1369" t="s">
        <v>71</v>
      </c>
      <c r="L1369" t="s">
        <v>72</v>
      </c>
      <c r="M1369" t="s">
        <v>73</v>
      </c>
      <c r="N1369" t="s">
        <v>61</v>
      </c>
      <c r="O1369" t="s">
        <v>833</v>
      </c>
      <c r="P1369" t="s">
        <v>85</v>
      </c>
      <c r="Q1369" t="s">
        <v>299</v>
      </c>
      <c r="R1369" t="s">
        <v>834</v>
      </c>
      <c r="S1369" t="s">
        <v>835</v>
      </c>
      <c r="T1369" t="s">
        <v>836</v>
      </c>
      <c r="U1369" s="10" t="s">
        <v>1061</v>
      </c>
      <c r="V1369" s="10" t="s">
        <v>1075</v>
      </c>
      <c r="W1369" s="10" t="s">
        <v>1075</v>
      </c>
      <c r="X1369" s="10" t="s">
        <v>1068</v>
      </c>
      <c r="Y1369" t="s">
        <v>140</v>
      </c>
      <c r="Z1369" t="s">
        <v>40</v>
      </c>
      <c r="AA1369" t="s">
        <v>63</v>
      </c>
    </row>
    <row r="1370" spans="1:28" x14ac:dyDescent="0.8">
      <c r="A1370">
        <v>1103</v>
      </c>
      <c r="B1370">
        <v>1203</v>
      </c>
      <c r="C1370" s="2">
        <v>44384</v>
      </c>
      <c r="D1370" t="s">
        <v>384</v>
      </c>
      <c r="E1370" t="s">
        <v>25</v>
      </c>
      <c r="F1370" t="s">
        <v>26</v>
      </c>
      <c r="G1370" t="s">
        <v>45</v>
      </c>
      <c r="H1370" t="s">
        <v>68</v>
      </c>
      <c r="I1370" t="s">
        <v>69</v>
      </c>
      <c r="J1370" t="s">
        <v>70</v>
      </c>
      <c r="K1370" t="s">
        <v>71</v>
      </c>
      <c r="L1370" t="s">
        <v>72</v>
      </c>
      <c r="M1370" t="s">
        <v>73</v>
      </c>
      <c r="N1370" t="s">
        <v>61</v>
      </c>
      <c r="O1370" t="s">
        <v>833</v>
      </c>
      <c r="P1370" t="s">
        <v>85</v>
      </c>
      <c r="Q1370" t="s">
        <v>299</v>
      </c>
      <c r="R1370" t="s">
        <v>834</v>
      </c>
      <c r="S1370" t="s">
        <v>835</v>
      </c>
      <c r="T1370" t="s">
        <v>836</v>
      </c>
      <c r="U1370" s="10" t="s">
        <v>1061</v>
      </c>
      <c r="V1370" s="10" t="s">
        <v>1075</v>
      </c>
      <c r="W1370" s="10" t="s">
        <v>1075</v>
      </c>
      <c r="X1370" s="10" t="s">
        <v>1068</v>
      </c>
      <c r="Y1370" t="s">
        <v>140</v>
      </c>
      <c r="Z1370" t="s">
        <v>40</v>
      </c>
      <c r="AA1370" t="s">
        <v>63</v>
      </c>
    </row>
    <row r="1371" spans="1:28" x14ac:dyDescent="0.8">
      <c r="A1371">
        <v>1100</v>
      </c>
      <c r="B1371">
        <v>1200</v>
      </c>
      <c r="C1371" s="2">
        <v>44384</v>
      </c>
      <c r="D1371" t="s">
        <v>384</v>
      </c>
      <c r="E1371" t="s">
        <v>63</v>
      </c>
      <c r="F1371" t="s">
        <v>26</v>
      </c>
      <c r="G1371" t="s">
        <v>45</v>
      </c>
      <c r="H1371" t="s">
        <v>68</v>
      </c>
      <c r="I1371" t="s">
        <v>69</v>
      </c>
      <c r="J1371" t="s">
        <v>70</v>
      </c>
      <c r="K1371" t="s">
        <v>71</v>
      </c>
      <c r="L1371" t="s">
        <v>72</v>
      </c>
      <c r="M1371" t="s">
        <v>73</v>
      </c>
      <c r="N1371" t="s">
        <v>61</v>
      </c>
      <c r="O1371" t="s">
        <v>833</v>
      </c>
      <c r="P1371" t="s">
        <v>85</v>
      </c>
      <c r="Q1371" t="s">
        <v>299</v>
      </c>
      <c r="R1371" t="s">
        <v>834</v>
      </c>
      <c r="S1371" t="s">
        <v>835</v>
      </c>
      <c r="T1371" t="s">
        <v>836</v>
      </c>
      <c r="U1371" s="10" t="s">
        <v>1061</v>
      </c>
      <c r="V1371" s="10" t="s">
        <v>1075</v>
      </c>
      <c r="W1371" s="10" t="s">
        <v>1075</v>
      </c>
      <c r="X1371" s="10" t="s">
        <v>1068</v>
      </c>
      <c r="Y1371" t="s">
        <v>140</v>
      </c>
      <c r="Z1371" t="s">
        <v>40</v>
      </c>
      <c r="AA1371" t="s">
        <v>63</v>
      </c>
    </row>
    <row r="1372" spans="1:28" x14ac:dyDescent="0.8">
      <c r="A1372">
        <v>1099</v>
      </c>
      <c r="B1372">
        <v>1199</v>
      </c>
      <c r="C1372" s="2">
        <v>44384</v>
      </c>
      <c r="D1372" t="s">
        <v>384</v>
      </c>
      <c r="E1372" t="s">
        <v>25</v>
      </c>
      <c r="F1372" t="s">
        <v>26</v>
      </c>
      <c r="G1372" t="s">
        <v>45</v>
      </c>
      <c r="H1372" t="s">
        <v>68</v>
      </c>
      <c r="I1372" t="s">
        <v>69</v>
      </c>
      <c r="J1372" t="s">
        <v>70</v>
      </c>
      <c r="K1372" t="s">
        <v>71</v>
      </c>
      <c r="L1372" t="s">
        <v>72</v>
      </c>
      <c r="M1372" t="s">
        <v>73</v>
      </c>
      <c r="N1372" t="s">
        <v>61</v>
      </c>
      <c r="O1372" t="s">
        <v>833</v>
      </c>
      <c r="P1372" t="s">
        <v>85</v>
      </c>
      <c r="Q1372" t="s">
        <v>299</v>
      </c>
      <c r="R1372" t="s">
        <v>834</v>
      </c>
      <c r="S1372" t="s">
        <v>835</v>
      </c>
      <c r="T1372" t="s">
        <v>836</v>
      </c>
      <c r="U1372" s="10" t="s">
        <v>1061</v>
      </c>
      <c r="V1372" s="10" t="s">
        <v>1075</v>
      </c>
      <c r="W1372" s="10" t="s">
        <v>1075</v>
      </c>
      <c r="X1372" s="10" t="s">
        <v>1068</v>
      </c>
      <c r="Y1372" t="s">
        <v>140</v>
      </c>
      <c r="Z1372" t="s">
        <v>40</v>
      </c>
      <c r="AA1372" t="s">
        <v>63</v>
      </c>
    </row>
    <row r="1373" spans="1:28" x14ac:dyDescent="0.8">
      <c r="A1373">
        <v>423</v>
      </c>
      <c r="B1373">
        <v>1476</v>
      </c>
      <c r="C1373" s="2">
        <v>44384</v>
      </c>
      <c r="D1373" t="s">
        <v>384</v>
      </c>
      <c r="E1373" t="s">
        <v>25</v>
      </c>
      <c r="F1373" t="s">
        <v>26</v>
      </c>
      <c r="G1373" t="s">
        <v>45</v>
      </c>
      <c r="H1373" t="s">
        <v>68</v>
      </c>
      <c r="I1373" t="s">
        <v>69</v>
      </c>
      <c r="J1373" t="s">
        <v>70</v>
      </c>
      <c r="K1373" t="s">
        <v>71</v>
      </c>
      <c r="L1373" t="s">
        <v>72</v>
      </c>
      <c r="M1373" t="s">
        <v>73</v>
      </c>
      <c r="N1373" t="s">
        <v>61</v>
      </c>
      <c r="O1373" t="s">
        <v>833</v>
      </c>
      <c r="P1373" t="s">
        <v>85</v>
      </c>
      <c r="Q1373" t="s">
        <v>299</v>
      </c>
      <c r="R1373" t="s">
        <v>834</v>
      </c>
      <c r="S1373" t="s">
        <v>835</v>
      </c>
      <c r="T1373" t="s">
        <v>836</v>
      </c>
      <c r="U1373" s="10" t="s">
        <v>1061</v>
      </c>
      <c r="V1373" s="10" t="s">
        <v>1075</v>
      </c>
      <c r="W1373" s="10" t="s">
        <v>1075</v>
      </c>
      <c r="X1373" s="10" t="s">
        <v>1068</v>
      </c>
      <c r="Y1373" t="s">
        <v>39</v>
      </c>
      <c r="Z1373" t="s">
        <v>202</v>
      </c>
      <c r="AA1373" t="s">
        <v>53</v>
      </c>
    </row>
    <row r="1374" spans="1:28" x14ac:dyDescent="0.8">
      <c r="A1374">
        <v>1115</v>
      </c>
      <c r="B1374">
        <v>1562</v>
      </c>
      <c r="C1374" s="2">
        <v>44384</v>
      </c>
      <c r="D1374" t="s">
        <v>384</v>
      </c>
      <c r="E1374" t="s">
        <v>63</v>
      </c>
      <c r="F1374" t="s">
        <v>26</v>
      </c>
      <c r="G1374" t="s">
        <v>45</v>
      </c>
      <c r="H1374" t="s">
        <v>155</v>
      </c>
      <c r="I1374" t="s">
        <v>69</v>
      </c>
      <c r="J1374" t="s">
        <v>156</v>
      </c>
      <c r="K1374" t="s">
        <v>157</v>
      </c>
      <c r="L1374" t="s">
        <v>232</v>
      </c>
      <c r="M1374" t="s">
        <v>233</v>
      </c>
      <c r="N1374" t="s">
        <v>61</v>
      </c>
      <c r="O1374" t="s">
        <v>833</v>
      </c>
      <c r="P1374" t="s">
        <v>85</v>
      </c>
      <c r="Q1374" t="s">
        <v>299</v>
      </c>
      <c r="R1374" t="s">
        <v>834</v>
      </c>
      <c r="S1374" t="s">
        <v>835</v>
      </c>
      <c r="T1374" t="s">
        <v>836</v>
      </c>
      <c r="U1374" s="10" t="s">
        <v>1061</v>
      </c>
      <c r="V1374" s="10" t="s">
        <v>1075</v>
      </c>
      <c r="W1374" s="10" t="s">
        <v>1075</v>
      </c>
      <c r="X1374" s="10" t="s">
        <v>1068</v>
      </c>
      <c r="Y1374" t="s">
        <v>39</v>
      </c>
      <c r="Z1374" t="s">
        <v>40</v>
      </c>
      <c r="AA1374" t="s">
        <v>63</v>
      </c>
    </row>
    <row r="1375" spans="1:28" x14ac:dyDescent="0.8">
      <c r="A1375">
        <v>420</v>
      </c>
      <c r="B1375">
        <v>1473</v>
      </c>
      <c r="C1375" s="2">
        <v>44384</v>
      </c>
      <c r="D1375" t="s">
        <v>384</v>
      </c>
      <c r="E1375" t="s">
        <v>25</v>
      </c>
      <c r="F1375" t="s">
        <v>26</v>
      </c>
      <c r="G1375" t="s">
        <v>45</v>
      </c>
      <c r="H1375" t="s">
        <v>155</v>
      </c>
      <c r="I1375" t="s">
        <v>69</v>
      </c>
      <c r="J1375" t="s">
        <v>156</v>
      </c>
      <c r="K1375" t="s">
        <v>157</v>
      </c>
      <c r="L1375" t="s">
        <v>158</v>
      </c>
      <c r="M1375" t="s">
        <v>159</v>
      </c>
      <c r="N1375" t="s">
        <v>52</v>
      </c>
      <c r="O1375" t="s">
        <v>833</v>
      </c>
      <c r="P1375" t="s">
        <v>85</v>
      </c>
      <c r="Q1375" t="s">
        <v>299</v>
      </c>
      <c r="R1375" t="s">
        <v>834</v>
      </c>
      <c r="S1375" t="s">
        <v>835</v>
      </c>
      <c r="T1375" t="s">
        <v>836</v>
      </c>
      <c r="U1375" s="10" t="s">
        <v>1061</v>
      </c>
      <c r="V1375" s="10" t="s">
        <v>1075</v>
      </c>
      <c r="W1375" s="10" t="s">
        <v>1075</v>
      </c>
      <c r="X1375" s="10" t="s">
        <v>1068</v>
      </c>
      <c r="Y1375" t="s">
        <v>39</v>
      </c>
      <c r="Z1375" t="s">
        <v>40</v>
      </c>
      <c r="AA1375" t="s">
        <v>53</v>
      </c>
      <c r="AB1375" t="s">
        <v>838</v>
      </c>
    </row>
    <row r="1376" spans="1:28" x14ac:dyDescent="0.8">
      <c r="A1376">
        <v>1102</v>
      </c>
      <c r="B1376">
        <v>1202</v>
      </c>
      <c r="C1376" s="2">
        <v>44384</v>
      </c>
      <c r="D1376" t="s">
        <v>384</v>
      </c>
      <c r="E1376" t="s">
        <v>63</v>
      </c>
      <c r="F1376" t="s">
        <v>26</v>
      </c>
      <c r="G1376" t="s">
        <v>45</v>
      </c>
      <c r="H1376" t="s">
        <v>155</v>
      </c>
      <c r="I1376" t="s">
        <v>69</v>
      </c>
      <c r="J1376" t="s">
        <v>156</v>
      </c>
      <c r="K1376" t="s">
        <v>157</v>
      </c>
      <c r="L1376" t="s">
        <v>158</v>
      </c>
      <c r="M1376" t="s">
        <v>159</v>
      </c>
      <c r="N1376" t="s">
        <v>52</v>
      </c>
      <c r="O1376" t="s">
        <v>833</v>
      </c>
      <c r="P1376" t="s">
        <v>85</v>
      </c>
      <c r="Q1376" t="s">
        <v>299</v>
      </c>
      <c r="R1376" t="s">
        <v>834</v>
      </c>
      <c r="S1376" t="s">
        <v>835</v>
      </c>
      <c r="T1376" t="s">
        <v>836</v>
      </c>
      <c r="U1376" s="10" t="s">
        <v>1061</v>
      </c>
      <c r="V1376" s="10" t="s">
        <v>1075</v>
      </c>
      <c r="W1376" s="10" t="s">
        <v>1075</v>
      </c>
      <c r="X1376" s="10" t="s">
        <v>1068</v>
      </c>
      <c r="Y1376" t="s">
        <v>140</v>
      </c>
      <c r="Z1376" t="s">
        <v>40</v>
      </c>
      <c r="AA1376" t="s">
        <v>63</v>
      </c>
    </row>
    <row r="1377" spans="1:28" x14ac:dyDescent="0.8">
      <c r="A1377">
        <v>1098</v>
      </c>
      <c r="B1377">
        <v>1198</v>
      </c>
      <c r="C1377" s="2">
        <v>44384</v>
      </c>
      <c r="D1377" t="s">
        <v>384</v>
      </c>
      <c r="E1377" t="s">
        <v>25</v>
      </c>
      <c r="F1377" t="s">
        <v>26</v>
      </c>
      <c r="G1377" t="s">
        <v>45</v>
      </c>
      <c r="H1377" t="s">
        <v>155</v>
      </c>
      <c r="I1377" t="s">
        <v>69</v>
      </c>
      <c r="J1377" t="s">
        <v>156</v>
      </c>
      <c r="K1377" t="s">
        <v>157</v>
      </c>
      <c r="L1377" t="s">
        <v>158</v>
      </c>
      <c r="M1377" t="s">
        <v>159</v>
      </c>
      <c r="N1377" t="s">
        <v>61</v>
      </c>
      <c r="O1377" t="s">
        <v>833</v>
      </c>
      <c r="P1377" t="s">
        <v>85</v>
      </c>
      <c r="Q1377" t="s">
        <v>299</v>
      </c>
      <c r="R1377" t="s">
        <v>834</v>
      </c>
      <c r="S1377" t="s">
        <v>835</v>
      </c>
      <c r="T1377" t="s">
        <v>836</v>
      </c>
      <c r="U1377" s="10" t="s">
        <v>1061</v>
      </c>
      <c r="V1377" s="10" t="s">
        <v>1075</v>
      </c>
      <c r="W1377" s="10" t="s">
        <v>1075</v>
      </c>
      <c r="X1377" s="10" t="s">
        <v>1068</v>
      </c>
      <c r="Y1377" t="s">
        <v>140</v>
      </c>
      <c r="Z1377" t="s">
        <v>40</v>
      </c>
      <c r="AA1377" t="s">
        <v>63</v>
      </c>
    </row>
    <row r="1378" spans="1:28" x14ac:dyDescent="0.8">
      <c r="A1378">
        <v>422</v>
      </c>
      <c r="B1378">
        <v>1475</v>
      </c>
      <c r="C1378" s="2">
        <v>44384</v>
      </c>
      <c r="D1378" t="s">
        <v>384</v>
      </c>
      <c r="E1378" t="s">
        <v>63</v>
      </c>
      <c r="F1378" t="s">
        <v>26</v>
      </c>
      <c r="G1378" t="s">
        <v>45</v>
      </c>
      <c r="H1378" t="s">
        <v>155</v>
      </c>
      <c r="I1378" t="s">
        <v>69</v>
      </c>
      <c r="J1378" t="s">
        <v>156</v>
      </c>
      <c r="K1378" t="s">
        <v>157</v>
      </c>
      <c r="L1378" t="s">
        <v>158</v>
      </c>
      <c r="M1378" t="s">
        <v>159</v>
      </c>
      <c r="N1378" t="s">
        <v>52</v>
      </c>
      <c r="O1378" t="s">
        <v>833</v>
      </c>
      <c r="P1378" t="s">
        <v>85</v>
      </c>
      <c r="Q1378" t="s">
        <v>299</v>
      </c>
      <c r="R1378" t="s">
        <v>834</v>
      </c>
      <c r="S1378" t="s">
        <v>835</v>
      </c>
      <c r="T1378" t="s">
        <v>836</v>
      </c>
      <c r="U1378" s="10" t="s">
        <v>1061</v>
      </c>
      <c r="V1378" s="10" t="s">
        <v>1075</v>
      </c>
      <c r="W1378" s="10" t="s">
        <v>1075</v>
      </c>
      <c r="X1378" s="10" t="s">
        <v>1068</v>
      </c>
      <c r="Y1378" t="s">
        <v>39</v>
      </c>
      <c r="Z1378" t="s">
        <v>40</v>
      </c>
      <c r="AA1378" t="s">
        <v>53</v>
      </c>
    </row>
    <row r="1379" spans="1:28" x14ac:dyDescent="0.8">
      <c r="A1379">
        <v>418</v>
      </c>
      <c r="B1379">
        <v>1471</v>
      </c>
      <c r="C1379" s="2">
        <v>44384</v>
      </c>
      <c r="D1379" t="s">
        <v>384</v>
      </c>
      <c r="E1379" t="s">
        <v>150</v>
      </c>
      <c r="F1379" t="s">
        <v>26</v>
      </c>
      <c r="G1379" t="s">
        <v>45</v>
      </c>
      <c r="H1379" t="s">
        <v>155</v>
      </c>
      <c r="I1379" t="s">
        <v>69</v>
      </c>
      <c r="J1379" t="s">
        <v>156</v>
      </c>
      <c r="K1379" t="s">
        <v>157</v>
      </c>
      <c r="L1379" t="s">
        <v>158</v>
      </c>
      <c r="M1379" t="s">
        <v>159</v>
      </c>
      <c r="N1379" t="s">
        <v>52</v>
      </c>
      <c r="O1379" t="s">
        <v>833</v>
      </c>
      <c r="P1379" t="s">
        <v>85</v>
      </c>
      <c r="Q1379" t="s">
        <v>299</v>
      </c>
      <c r="R1379" t="s">
        <v>834</v>
      </c>
      <c r="S1379" t="s">
        <v>835</v>
      </c>
      <c r="T1379" t="s">
        <v>836</v>
      </c>
      <c r="U1379" s="10" t="s">
        <v>1061</v>
      </c>
      <c r="V1379" s="10" t="s">
        <v>1075</v>
      </c>
      <c r="W1379" s="10" t="s">
        <v>1075</v>
      </c>
      <c r="X1379" s="10" t="s">
        <v>1068</v>
      </c>
      <c r="Y1379" t="s">
        <v>39</v>
      </c>
      <c r="Z1379" t="s">
        <v>40</v>
      </c>
      <c r="AA1379" t="s">
        <v>53</v>
      </c>
    </row>
    <row r="1380" spans="1:28" x14ac:dyDescent="0.8">
      <c r="A1380">
        <v>1129</v>
      </c>
      <c r="B1380">
        <v>1576</v>
      </c>
      <c r="C1380" s="2">
        <v>44384</v>
      </c>
      <c r="D1380" t="s">
        <v>384</v>
      </c>
      <c r="E1380" t="s">
        <v>25</v>
      </c>
      <c r="F1380" t="s">
        <v>26</v>
      </c>
      <c r="G1380" t="s">
        <v>45</v>
      </c>
      <c r="H1380" t="s">
        <v>46</v>
      </c>
      <c r="I1380" t="s">
        <v>47</v>
      </c>
      <c r="J1380" t="s">
        <v>48</v>
      </c>
      <c r="K1380" t="s">
        <v>49</v>
      </c>
      <c r="L1380" t="s">
        <v>91</v>
      </c>
      <c r="M1380" t="s">
        <v>92</v>
      </c>
      <c r="N1380" t="s">
        <v>61</v>
      </c>
      <c r="O1380" t="s">
        <v>833</v>
      </c>
      <c r="P1380" t="s">
        <v>85</v>
      </c>
      <c r="Q1380" t="s">
        <v>299</v>
      </c>
      <c r="R1380" t="s">
        <v>834</v>
      </c>
      <c r="S1380" t="s">
        <v>835</v>
      </c>
      <c r="T1380" t="s">
        <v>836</v>
      </c>
      <c r="U1380" s="10" t="s">
        <v>1061</v>
      </c>
      <c r="V1380" s="10" t="s">
        <v>1075</v>
      </c>
      <c r="W1380" s="10" t="s">
        <v>1075</v>
      </c>
      <c r="X1380" s="10" t="s">
        <v>1068</v>
      </c>
      <c r="Y1380" t="s">
        <v>39</v>
      </c>
      <c r="Z1380" t="s">
        <v>62</v>
      </c>
      <c r="AA1380" t="s">
        <v>63</v>
      </c>
    </row>
    <row r="1381" spans="1:28" x14ac:dyDescent="0.8">
      <c r="A1381">
        <v>1131</v>
      </c>
      <c r="B1381">
        <v>1578</v>
      </c>
      <c r="C1381" s="2">
        <v>44384</v>
      </c>
      <c r="D1381" t="s">
        <v>384</v>
      </c>
      <c r="E1381" t="s">
        <v>63</v>
      </c>
      <c r="F1381" t="s">
        <v>26</v>
      </c>
      <c r="G1381" t="s">
        <v>45</v>
      </c>
      <c r="H1381" t="s">
        <v>46</v>
      </c>
      <c r="I1381" t="s">
        <v>47</v>
      </c>
      <c r="J1381" t="s">
        <v>48</v>
      </c>
      <c r="K1381" t="s">
        <v>141</v>
      </c>
      <c r="L1381" t="s">
        <v>112</v>
      </c>
      <c r="M1381" t="s">
        <v>382</v>
      </c>
      <c r="N1381" t="s">
        <v>61</v>
      </c>
      <c r="O1381" t="s">
        <v>833</v>
      </c>
      <c r="P1381" t="s">
        <v>85</v>
      </c>
      <c r="Q1381" t="s">
        <v>299</v>
      </c>
      <c r="R1381" t="s">
        <v>834</v>
      </c>
      <c r="S1381" t="s">
        <v>835</v>
      </c>
      <c r="T1381" t="s">
        <v>836</v>
      </c>
      <c r="U1381" s="10" t="s">
        <v>1061</v>
      </c>
      <c r="V1381" s="10" t="s">
        <v>1075</v>
      </c>
      <c r="W1381" s="10" t="s">
        <v>1075</v>
      </c>
      <c r="X1381" s="10" t="s">
        <v>1068</v>
      </c>
      <c r="Y1381" t="s">
        <v>39</v>
      </c>
      <c r="Z1381" t="s">
        <v>40</v>
      </c>
      <c r="AA1381" t="s">
        <v>63</v>
      </c>
    </row>
    <row r="1382" spans="1:28" x14ac:dyDescent="0.8">
      <c r="A1382">
        <v>1167</v>
      </c>
      <c r="B1382">
        <v>1664</v>
      </c>
      <c r="C1382" s="2">
        <v>44386</v>
      </c>
      <c r="D1382" t="s">
        <v>129</v>
      </c>
      <c r="E1382" t="s">
        <v>44</v>
      </c>
      <c r="F1382" t="s">
        <v>26</v>
      </c>
      <c r="G1382" t="s">
        <v>27</v>
      </c>
      <c r="H1382" t="s">
        <v>114</v>
      </c>
      <c r="I1382" t="s">
        <v>115</v>
      </c>
      <c r="J1382" t="s">
        <v>185</v>
      </c>
      <c r="K1382" t="s">
        <v>186</v>
      </c>
      <c r="L1382" t="s">
        <v>187</v>
      </c>
      <c r="M1382" t="s">
        <v>188</v>
      </c>
      <c r="O1382" t="s">
        <v>833</v>
      </c>
      <c r="P1382" t="s">
        <v>85</v>
      </c>
      <c r="Q1382" t="s">
        <v>299</v>
      </c>
      <c r="R1382" t="s">
        <v>834</v>
      </c>
      <c r="S1382" t="s">
        <v>835</v>
      </c>
      <c r="T1382" t="s">
        <v>836</v>
      </c>
      <c r="U1382" s="10" t="s">
        <v>1061</v>
      </c>
      <c r="V1382" s="10" t="s">
        <v>1075</v>
      </c>
      <c r="W1382" s="10" t="s">
        <v>1075</v>
      </c>
      <c r="X1382" s="10" t="s">
        <v>1068</v>
      </c>
      <c r="Y1382" t="s">
        <v>140</v>
      </c>
      <c r="Z1382" t="s">
        <v>40</v>
      </c>
      <c r="AA1382" t="s">
        <v>63</v>
      </c>
    </row>
    <row r="1383" spans="1:28" x14ac:dyDescent="0.8">
      <c r="A1383">
        <v>1169</v>
      </c>
      <c r="B1383">
        <v>1666</v>
      </c>
      <c r="C1383" s="2">
        <v>44386</v>
      </c>
      <c r="D1383" t="s">
        <v>129</v>
      </c>
      <c r="E1383" t="s">
        <v>44</v>
      </c>
      <c r="F1383" t="s">
        <v>26</v>
      </c>
      <c r="G1383" t="s">
        <v>45</v>
      </c>
      <c r="H1383" t="s">
        <v>68</v>
      </c>
      <c r="I1383" t="s">
        <v>69</v>
      </c>
      <c r="J1383" t="s">
        <v>70</v>
      </c>
      <c r="K1383" t="s">
        <v>71</v>
      </c>
      <c r="L1383" t="s">
        <v>72</v>
      </c>
      <c r="M1383" t="s">
        <v>73</v>
      </c>
      <c r="N1383" t="s">
        <v>61</v>
      </c>
      <c r="O1383" t="s">
        <v>833</v>
      </c>
      <c r="P1383" t="s">
        <v>85</v>
      </c>
      <c r="Q1383" t="s">
        <v>299</v>
      </c>
      <c r="R1383" t="s">
        <v>834</v>
      </c>
      <c r="S1383" t="s">
        <v>835</v>
      </c>
      <c r="T1383" t="s">
        <v>836</v>
      </c>
      <c r="U1383" s="10" t="s">
        <v>1061</v>
      </c>
      <c r="V1383" s="10" t="s">
        <v>1075</v>
      </c>
      <c r="W1383" s="10" t="s">
        <v>1075</v>
      </c>
      <c r="X1383" s="10" t="s">
        <v>1068</v>
      </c>
      <c r="Y1383" t="s">
        <v>39</v>
      </c>
      <c r="Z1383" t="s">
        <v>40</v>
      </c>
      <c r="AA1383" t="s">
        <v>63</v>
      </c>
    </row>
    <row r="1384" spans="1:28" x14ac:dyDescent="0.8">
      <c r="A1384">
        <v>1165</v>
      </c>
      <c r="B1384">
        <v>1662</v>
      </c>
      <c r="C1384" s="2">
        <v>44386</v>
      </c>
      <c r="D1384" t="s">
        <v>129</v>
      </c>
      <c r="E1384" t="s">
        <v>125</v>
      </c>
      <c r="F1384" t="s">
        <v>26</v>
      </c>
      <c r="G1384" t="s">
        <v>45</v>
      </c>
      <c r="H1384" t="s">
        <v>68</v>
      </c>
      <c r="I1384" t="s">
        <v>69</v>
      </c>
      <c r="J1384" t="s">
        <v>70</v>
      </c>
      <c r="K1384" t="s">
        <v>71</v>
      </c>
      <c r="L1384" t="s">
        <v>72</v>
      </c>
      <c r="M1384" t="s">
        <v>73</v>
      </c>
      <c r="N1384" t="s">
        <v>61</v>
      </c>
      <c r="O1384" t="s">
        <v>833</v>
      </c>
      <c r="P1384" t="s">
        <v>85</v>
      </c>
      <c r="Q1384" t="s">
        <v>299</v>
      </c>
      <c r="R1384" t="s">
        <v>834</v>
      </c>
      <c r="S1384" t="s">
        <v>835</v>
      </c>
      <c r="T1384" t="s">
        <v>836</v>
      </c>
      <c r="U1384" s="10" t="s">
        <v>1061</v>
      </c>
      <c r="V1384" s="10" t="s">
        <v>1075</v>
      </c>
      <c r="W1384" s="10" t="s">
        <v>1075</v>
      </c>
      <c r="X1384" s="10" t="s">
        <v>1068</v>
      </c>
      <c r="Y1384" t="s">
        <v>140</v>
      </c>
      <c r="Z1384" t="s">
        <v>40</v>
      </c>
      <c r="AA1384" t="s">
        <v>63</v>
      </c>
    </row>
    <row r="1385" spans="1:28" x14ac:dyDescent="0.8">
      <c r="A1385">
        <v>1166</v>
      </c>
      <c r="B1385">
        <v>1663</v>
      </c>
      <c r="C1385" s="2">
        <v>44386</v>
      </c>
      <c r="D1385" t="s">
        <v>129</v>
      </c>
      <c r="E1385" t="s">
        <v>125</v>
      </c>
      <c r="F1385" t="s">
        <v>26</v>
      </c>
      <c r="G1385" t="s">
        <v>45</v>
      </c>
      <c r="H1385" t="s">
        <v>155</v>
      </c>
      <c r="I1385" t="s">
        <v>69</v>
      </c>
      <c r="J1385" t="s">
        <v>156</v>
      </c>
      <c r="K1385" t="s">
        <v>157</v>
      </c>
      <c r="L1385" t="s">
        <v>158</v>
      </c>
      <c r="M1385" t="s">
        <v>159</v>
      </c>
      <c r="N1385" t="s">
        <v>61</v>
      </c>
      <c r="O1385" t="s">
        <v>833</v>
      </c>
      <c r="P1385" t="s">
        <v>85</v>
      </c>
      <c r="Q1385" t="s">
        <v>299</v>
      </c>
      <c r="R1385" t="s">
        <v>834</v>
      </c>
      <c r="S1385" t="s">
        <v>835</v>
      </c>
      <c r="T1385" t="s">
        <v>836</v>
      </c>
      <c r="U1385" s="10" t="s">
        <v>1061</v>
      </c>
      <c r="V1385" s="10" t="s">
        <v>1075</v>
      </c>
      <c r="W1385" s="10" t="s">
        <v>1075</v>
      </c>
      <c r="X1385" s="10" t="s">
        <v>1068</v>
      </c>
      <c r="Y1385" t="s">
        <v>140</v>
      </c>
      <c r="Z1385" t="s">
        <v>40</v>
      </c>
      <c r="AA1385" t="s">
        <v>63</v>
      </c>
    </row>
    <row r="1386" spans="1:28" x14ac:dyDescent="0.8">
      <c r="A1386">
        <v>202</v>
      </c>
      <c r="B1386">
        <v>1428</v>
      </c>
      <c r="C1386" s="2">
        <v>44388</v>
      </c>
      <c r="D1386" t="s">
        <v>124</v>
      </c>
      <c r="E1386" t="s">
        <v>125</v>
      </c>
      <c r="F1386" t="s">
        <v>26</v>
      </c>
      <c r="G1386" t="s">
        <v>45</v>
      </c>
      <c r="H1386" t="s">
        <v>68</v>
      </c>
      <c r="I1386" t="s">
        <v>69</v>
      </c>
      <c r="J1386" t="s">
        <v>70</v>
      </c>
      <c r="K1386" t="s">
        <v>71</v>
      </c>
      <c r="L1386" t="s">
        <v>72</v>
      </c>
      <c r="M1386" t="s">
        <v>73</v>
      </c>
      <c r="N1386" t="s">
        <v>61</v>
      </c>
      <c r="O1386" t="s">
        <v>833</v>
      </c>
      <c r="P1386" t="s">
        <v>85</v>
      </c>
      <c r="Q1386" t="s">
        <v>299</v>
      </c>
      <c r="R1386" t="s">
        <v>834</v>
      </c>
      <c r="S1386" t="s">
        <v>835</v>
      </c>
      <c r="T1386" t="s">
        <v>836</v>
      </c>
      <c r="U1386" s="10" t="s">
        <v>1061</v>
      </c>
      <c r="V1386" s="10" t="s">
        <v>1075</v>
      </c>
      <c r="W1386" s="10" t="s">
        <v>1075</v>
      </c>
      <c r="X1386" s="10" t="s">
        <v>1068</v>
      </c>
      <c r="Y1386" t="s">
        <v>39</v>
      </c>
      <c r="Z1386" t="s">
        <v>40</v>
      </c>
      <c r="AA1386" t="s">
        <v>53</v>
      </c>
    </row>
    <row r="1387" spans="1:28" x14ac:dyDescent="0.8">
      <c r="A1387">
        <v>1667</v>
      </c>
      <c r="B1387">
        <v>440</v>
      </c>
      <c r="C1387" s="2">
        <v>44388</v>
      </c>
      <c r="D1387" t="s">
        <v>124</v>
      </c>
      <c r="E1387" t="s">
        <v>25</v>
      </c>
      <c r="F1387" t="s">
        <v>26</v>
      </c>
      <c r="G1387" t="s">
        <v>45</v>
      </c>
      <c r="H1387" t="s">
        <v>155</v>
      </c>
      <c r="I1387" t="s">
        <v>69</v>
      </c>
      <c r="J1387" t="s">
        <v>156</v>
      </c>
      <c r="K1387" t="s">
        <v>157</v>
      </c>
      <c r="L1387" t="s">
        <v>158</v>
      </c>
      <c r="M1387" t="s">
        <v>159</v>
      </c>
      <c r="N1387" t="s">
        <v>61</v>
      </c>
      <c r="O1387" t="s">
        <v>833</v>
      </c>
      <c r="P1387" t="s">
        <v>85</v>
      </c>
      <c r="Q1387" t="s">
        <v>299</v>
      </c>
      <c r="R1387" t="s">
        <v>834</v>
      </c>
      <c r="S1387" t="s">
        <v>835</v>
      </c>
      <c r="T1387" t="s">
        <v>836</v>
      </c>
      <c r="U1387" s="10" t="s">
        <v>1061</v>
      </c>
      <c r="V1387" s="10" t="s">
        <v>1075</v>
      </c>
      <c r="W1387" s="10" t="s">
        <v>1075</v>
      </c>
      <c r="X1387" s="10" t="s">
        <v>1068</v>
      </c>
      <c r="Y1387" t="s">
        <v>39</v>
      </c>
      <c r="Z1387" t="s">
        <v>62</v>
      </c>
      <c r="AA1387" t="s">
        <v>41</v>
      </c>
    </row>
    <row r="1388" spans="1:28" x14ac:dyDescent="0.8">
      <c r="A1388">
        <v>393</v>
      </c>
      <c r="B1388">
        <v>489</v>
      </c>
      <c r="C1388" s="2">
        <v>44384</v>
      </c>
      <c r="D1388" t="s">
        <v>306</v>
      </c>
      <c r="E1388" t="s">
        <v>63</v>
      </c>
      <c r="F1388" t="s">
        <v>26</v>
      </c>
      <c r="G1388" t="s">
        <v>45</v>
      </c>
      <c r="H1388" t="s">
        <v>68</v>
      </c>
      <c r="I1388" t="s">
        <v>69</v>
      </c>
      <c r="J1388" t="s">
        <v>70</v>
      </c>
      <c r="K1388" t="s">
        <v>71</v>
      </c>
      <c r="L1388" t="s">
        <v>72</v>
      </c>
      <c r="M1388" t="s">
        <v>73</v>
      </c>
      <c r="N1388" t="s">
        <v>61</v>
      </c>
      <c r="O1388" t="s">
        <v>833</v>
      </c>
      <c r="P1388" t="s">
        <v>85</v>
      </c>
      <c r="Q1388" t="s">
        <v>299</v>
      </c>
      <c r="R1388" t="s">
        <v>834</v>
      </c>
      <c r="S1388" t="s">
        <v>835</v>
      </c>
      <c r="T1388" t="s">
        <v>836</v>
      </c>
      <c r="U1388" s="10" t="s">
        <v>1061</v>
      </c>
      <c r="V1388" s="10" t="s">
        <v>1075</v>
      </c>
      <c r="W1388" s="10" t="s">
        <v>1075</v>
      </c>
      <c r="X1388" s="10" t="s">
        <v>1068</v>
      </c>
      <c r="Y1388" t="s">
        <v>39</v>
      </c>
      <c r="Z1388" t="s">
        <v>40</v>
      </c>
      <c r="AA1388" t="s">
        <v>53</v>
      </c>
      <c r="AB1388" t="s">
        <v>226</v>
      </c>
    </row>
    <row r="1389" spans="1:28" x14ac:dyDescent="0.8">
      <c r="A1389">
        <v>391</v>
      </c>
      <c r="B1389">
        <v>487</v>
      </c>
      <c r="C1389" s="2">
        <v>44384</v>
      </c>
      <c r="D1389" t="s">
        <v>306</v>
      </c>
      <c r="E1389" t="s">
        <v>25</v>
      </c>
      <c r="F1389" t="s">
        <v>26</v>
      </c>
      <c r="G1389" t="s">
        <v>45</v>
      </c>
      <c r="H1389" t="s">
        <v>68</v>
      </c>
      <c r="I1389" t="s">
        <v>69</v>
      </c>
      <c r="J1389" t="s">
        <v>70</v>
      </c>
      <c r="K1389" t="s">
        <v>71</v>
      </c>
      <c r="L1389" t="s">
        <v>72</v>
      </c>
      <c r="M1389" t="s">
        <v>73</v>
      </c>
      <c r="N1389" t="s">
        <v>61</v>
      </c>
      <c r="O1389" t="s">
        <v>833</v>
      </c>
      <c r="P1389" t="s">
        <v>85</v>
      </c>
      <c r="Q1389" t="s">
        <v>299</v>
      </c>
      <c r="R1389" t="s">
        <v>834</v>
      </c>
      <c r="S1389" t="s">
        <v>835</v>
      </c>
      <c r="T1389" t="s">
        <v>836</v>
      </c>
      <c r="U1389" s="10" t="s">
        <v>1061</v>
      </c>
      <c r="V1389" s="10" t="s">
        <v>1075</v>
      </c>
      <c r="W1389" s="10" t="s">
        <v>1075</v>
      </c>
      <c r="X1389" s="10" t="s">
        <v>1068</v>
      </c>
      <c r="Y1389" t="s">
        <v>39</v>
      </c>
      <c r="Z1389" t="s">
        <v>40</v>
      </c>
      <c r="AA1389" t="s">
        <v>53</v>
      </c>
      <c r="AB1389" t="s">
        <v>838</v>
      </c>
    </row>
    <row r="1390" spans="1:28" x14ac:dyDescent="0.8">
      <c r="A1390">
        <v>390</v>
      </c>
      <c r="B1390">
        <v>486</v>
      </c>
      <c r="C1390" s="2">
        <v>44384</v>
      </c>
      <c r="D1390" t="s">
        <v>306</v>
      </c>
      <c r="E1390" t="s">
        <v>150</v>
      </c>
      <c r="F1390" t="s">
        <v>26</v>
      </c>
      <c r="G1390" t="s">
        <v>45</v>
      </c>
      <c r="H1390" t="s">
        <v>68</v>
      </c>
      <c r="I1390" t="s">
        <v>69</v>
      </c>
      <c r="J1390" t="s">
        <v>70</v>
      </c>
      <c r="K1390" t="s">
        <v>71</v>
      </c>
      <c r="L1390" t="s">
        <v>72</v>
      </c>
      <c r="M1390" t="s">
        <v>73</v>
      </c>
      <c r="N1390" t="s">
        <v>61</v>
      </c>
      <c r="O1390" t="s">
        <v>833</v>
      </c>
      <c r="P1390" t="s">
        <v>85</v>
      </c>
      <c r="Q1390" t="s">
        <v>299</v>
      </c>
      <c r="R1390" t="s">
        <v>834</v>
      </c>
      <c r="S1390" t="s">
        <v>835</v>
      </c>
      <c r="T1390" t="s">
        <v>836</v>
      </c>
      <c r="U1390" s="10" t="s">
        <v>1061</v>
      </c>
      <c r="V1390" s="10" t="s">
        <v>1075</v>
      </c>
      <c r="W1390" s="10" t="s">
        <v>1075</v>
      </c>
      <c r="X1390" s="10" t="s">
        <v>1068</v>
      </c>
      <c r="Y1390" t="s">
        <v>39</v>
      </c>
      <c r="Z1390" t="s">
        <v>40</v>
      </c>
      <c r="AA1390" t="s">
        <v>53</v>
      </c>
    </row>
    <row r="1391" spans="1:28" x14ac:dyDescent="0.8">
      <c r="A1391">
        <v>389</v>
      </c>
      <c r="B1391">
        <v>485</v>
      </c>
      <c r="C1391" s="2">
        <v>44384</v>
      </c>
      <c r="D1391" t="s">
        <v>306</v>
      </c>
      <c r="E1391" t="s">
        <v>150</v>
      </c>
      <c r="F1391" t="s">
        <v>26</v>
      </c>
      <c r="G1391" t="s">
        <v>45</v>
      </c>
      <c r="H1391" t="s">
        <v>68</v>
      </c>
      <c r="I1391" t="s">
        <v>69</v>
      </c>
      <c r="J1391" t="s">
        <v>70</v>
      </c>
      <c r="K1391" t="s">
        <v>71</v>
      </c>
      <c r="L1391" t="s">
        <v>72</v>
      </c>
      <c r="M1391" t="s">
        <v>73</v>
      </c>
      <c r="N1391" t="s">
        <v>61</v>
      </c>
      <c r="O1391" t="s">
        <v>833</v>
      </c>
      <c r="P1391" t="s">
        <v>85</v>
      </c>
      <c r="Q1391" t="s">
        <v>299</v>
      </c>
      <c r="R1391" t="s">
        <v>834</v>
      </c>
      <c r="S1391" t="s">
        <v>835</v>
      </c>
      <c r="T1391" t="s">
        <v>836</v>
      </c>
      <c r="U1391" s="10" t="s">
        <v>1061</v>
      </c>
      <c r="V1391" s="10" t="s">
        <v>1075</v>
      </c>
      <c r="W1391" s="10" t="s">
        <v>1075</v>
      </c>
      <c r="X1391" s="10" t="s">
        <v>1068</v>
      </c>
      <c r="Y1391" t="s">
        <v>39</v>
      </c>
      <c r="Z1391" t="s">
        <v>40</v>
      </c>
      <c r="AA1391" t="s">
        <v>53</v>
      </c>
    </row>
    <row r="1392" spans="1:28" x14ac:dyDescent="0.8">
      <c r="A1392">
        <v>377</v>
      </c>
      <c r="B1392">
        <v>473</v>
      </c>
      <c r="C1392" s="2">
        <v>44384</v>
      </c>
      <c r="D1392" t="s">
        <v>306</v>
      </c>
      <c r="E1392" t="s">
        <v>150</v>
      </c>
      <c r="F1392" t="s">
        <v>26</v>
      </c>
      <c r="G1392" t="s">
        <v>45</v>
      </c>
      <c r="H1392" t="s">
        <v>68</v>
      </c>
      <c r="I1392" t="s">
        <v>69</v>
      </c>
      <c r="J1392" t="s">
        <v>70</v>
      </c>
      <c r="K1392" t="s">
        <v>71</v>
      </c>
      <c r="L1392" t="s">
        <v>72</v>
      </c>
      <c r="M1392" t="s">
        <v>73</v>
      </c>
      <c r="N1392" t="s">
        <v>61</v>
      </c>
      <c r="O1392" t="s">
        <v>833</v>
      </c>
      <c r="P1392" t="s">
        <v>85</v>
      </c>
      <c r="Q1392" t="s">
        <v>299</v>
      </c>
      <c r="R1392" t="s">
        <v>834</v>
      </c>
      <c r="S1392" t="s">
        <v>835</v>
      </c>
      <c r="T1392" t="s">
        <v>836</v>
      </c>
      <c r="U1392" s="10" t="s">
        <v>1061</v>
      </c>
      <c r="V1392" s="10" t="s">
        <v>1075</v>
      </c>
      <c r="W1392" s="10" t="s">
        <v>1075</v>
      </c>
      <c r="X1392" s="10" t="s">
        <v>1068</v>
      </c>
      <c r="Y1392" t="s">
        <v>140</v>
      </c>
      <c r="Z1392" t="s">
        <v>40</v>
      </c>
      <c r="AA1392" t="s">
        <v>53</v>
      </c>
    </row>
    <row r="1393" spans="1:28" x14ac:dyDescent="0.8">
      <c r="A1393">
        <v>386</v>
      </c>
      <c r="B1393">
        <v>482</v>
      </c>
      <c r="C1393" s="2">
        <v>44384</v>
      </c>
      <c r="D1393" t="s">
        <v>306</v>
      </c>
      <c r="E1393" t="s">
        <v>150</v>
      </c>
      <c r="F1393" t="s">
        <v>26</v>
      </c>
      <c r="G1393" t="s">
        <v>45</v>
      </c>
      <c r="H1393" t="s">
        <v>155</v>
      </c>
      <c r="I1393" t="s">
        <v>69</v>
      </c>
      <c r="J1393" t="s">
        <v>156</v>
      </c>
      <c r="K1393" t="s">
        <v>157</v>
      </c>
      <c r="L1393" t="s">
        <v>158</v>
      </c>
      <c r="M1393" t="s">
        <v>159</v>
      </c>
      <c r="N1393" t="s">
        <v>52</v>
      </c>
      <c r="O1393" t="s">
        <v>833</v>
      </c>
      <c r="P1393" t="s">
        <v>85</v>
      </c>
      <c r="Q1393" t="s">
        <v>299</v>
      </c>
      <c r="R1393" t="s">
        <v>834</v>
      </c>
      <c r="S1393" t="s">
        <v>835</v>
      </c>
      <c r="T1393" t="s">
        <v>836</v>
      </c>
      <c r="U1393" s="10" t="s">
        <v>1061</v>
      </c>
      <c r="V1393" s="10" t="s">
        <v>1075</v>
      </c>
      <c r="W1393" s="10" t="s">
        <v>1075</v>
      </c>
      <c r="X1393" s="10" t="s">
        <v>1068</v>
      </c>
      <c r="Y1393" t="s">
        <v>39</v>
      </c>
      <c r="Z1393" t="s">
        <v>40</v>
      </c>
      <c r="AA1393" t="s">
        <v>53</v>
      </c>
    </row>
    <row r="1394" spans="1:28" x14ac:dyDescent="0.8">
      <c r="A1394">
        <v>385</v>
      </c>
      <c r="B1394">
        <v>481</v>
      </c>
      <c r="C1394" s="2">
        <v>44384</v>
      </c>
      <c r="D1394" t="s">
        <v>306</v>
      </c>
      <c r="E1394" t="s">
        <v>25</v>
      </c>
      <c r="F1394" t="s">
        <v>26</v>
      </c>
      <c r="G1394" t="s">
        <v>45</v>
      </c>
      <c r="H1394" t="s">
        <v>155</v>
      </c>
      <c r="I1394" t="s">
        <v>69</v>
      </c>
      <c r="J1394" t="s">
        <v>156</v>
      </c>
      <c r="K1394" t="s">
        <v>157</v>
      </c>
      <c r="L1394" t="s">
        <v>158</v>
      </c>
      <c r="M1394" t="s">
        <v>159</v>
      </c>
      <c r="N1394" t="s">
        <v>52</v>
      </c>
      <c r="O1394" t="s">
        <v>833</v>
      </c>
      <c r="P1394" t="s">
        <v>85</v>
      </c>
      <c r="Q1394" t="s">
        <v>299</v>
      </c>
      <c r="R1394" t="s">
        <v>834</v>
      </c>
      <c r="S1394" t="s">
        <v>835</v>
      </c>
      <c r="T1394" t="s">
        <v>836</v>
      </c>
      <c r="U1394" s="10" t="s">
        <v>1061</v>
      </c>
      <c r="V1394" s="10" t="s">
        <v>1075</v>
      </c>
      <c r="W1394" s="10" t="s">
        <v>1075</v>
      </c>
      <c r="X1394" s="10" t="s">
        <v>1068</v>
      </c>
      <c r="Y1394" t="s">
        <v>39</v>
      </c>
      <c r="Z1394" t="s">
        <v>202</v>
      </c>
      <c r="AA1394" t="s">
        <v>53</v>
      </c>
    </row>
    <row r="1395" spans="1:28" x14ac:dyDescent="0.8">
      <c r="A1395">
        <v>383</v>
      </c>
      <c r="B1395">
        <v>479</v>
      </c>
      <c r="C1395" s="2">
        <v>44384</v>
      </c>
      <c r="D1395" t="s">
        <v>306</v>
      </c>
      <c r="E1395" t="s">
        <v>25</v>
      </c>
      <c r="F1395" t="s">
        <v>26</v>
      </c>
      <c r="G1395" t="s">
        <v>45</v>
      </c>
      <c r="H1395" t="s">
        <v>155</v>
      </c>
      <c r="I1395" t="s">
        <v>69</v>
      </c>
      <c r="J1395" t="s">
        <v>156</v>
      </c>
      <c r="K1395" t="s">
        <v>157</v>
      </c>
      <c r="L1395" t="s">
        <v>158</v>
      </c>
      <c r="M1395" t="s">
        <v>159</v>
      </c>
      <c r="N1395" t="s">
        <v>52</v>
      </c>
      <c r="O1395" t="s">
        <v>833</v>
      </c>
      <c r="P1395" t="s">
        <v>85</v>
      </c>
      <c r="Q1395" t="s">
        <v>299</v>
      </c>
      <c r="R1395" t="s">
        <v>834</v>
      </c>
      <c r="S1395" t="s">
        <v>835</v>
      </c>
      <c r="T1395" t="s">
        <v>836</v>
      </c>
      <c r="U1395" s="10" t="s">
        <v>1061</v>
      </c>
      <c r="V1395" s="10" t="s">
        <v>1075</v>
      </c>
      <c r="W1395" s="10" t="s">
        <v>1075</v>
      </c>
      <c r="X1395" s="10" t="s">
        <v>1068</v>
      </c>
      <c r="Y1395" t="s">
        <v>39</v>
      </c>
      <c r="Z1395" t="s">
        <v>202</v>
      </c>
      <c r="AA1395" t="s">
        <v>53</v>
      </c>
    </row>
    <row r="1396" spans="1:28" x14ac:dyDescent="0.8">
      <c r="A1396">
        <v>394</v>
      </c>
      <c r="B1396">
        <v>490</v>
      </c>
      <c r="C1396" s="2">
        <v>44384</v>
      </c>
      <c r="D1396" t="s">
        <v>306</v>
      </c>
      <c r="E1396" t="s">
        <v>63</v>
      </c>
      <c r="F1396" t="s">
        <v>26</v>
      </c>
      <c r="G1396" t="s">
        <v>45</v>
      </c>
      <c r="H1396" t="s">
        <v>46</v>
      </c>
      <c r="I1396" t="s">
        <v>47</v>
      </c>
      <c r="J1396" t="s">
        <v>48</v>
      </c>
      <c r="K1396" t="s">
        <v>141</v>
      </c>
      <c r="L1396" t="s">
        <v>293</v>
      </c>
      <c r="M1396" t="s">
        <v>294</v>
      </c>
      <c r="N1396" t="s">
        <v>52</v>
      </c>
      <c r="O1396" t="s">
        <v>833</v>
      </c>
      <c r="P1396" t="s">
        <v>85</v>
      </c>
      <c r="Q1396" t="s">
        <v>299</v>
      </c>
      <c r="R1396" t="s">
        <v>834</v>
      </c>
      <c r="S1396" t="s">
        <v>835</v>
      </c>
      <c r="T1396" t="s">
        <v>836</v>
      </c>
      <c r="U1396" s="10" t="s">
        <v>1061</v>
      </c>
      <c r="V1396" s="10" t="s">
        <v>1075</v>
      </c>
      <c r="W1396" s="10" t="s">
        <v>1075</v>
      </c>
      <c r="X1396" s="10" t="s">
        <v>1068</v>
      </c>
      <c r="Y1396" t="s">
        <v>39</v>
      </c>
      <c r="Z1396" t="s">
        <v>40</v>
      </c>
      <c r="AA1396" t="s">
        <v>53</v>
      </c>
      <c r="AB1396" t="s">
        <v>222</v>
      </c>
    </row>
    <row r="1397" spans="1:28" x14ac:dyDescent="0.8">
      <c r="A1397">
        <v>965</v>
      </c>
      <c r="B1397">
        <v>1273</v>
      </c>
      <c r="C1397" s="2">
        <v>44384</v>
      </c>
      <c r="D1397" t="s">
        <v>242</v>
      </c>
      <c r="E1397" t="s">
        <v>150</v>
      </c>
      <c r="F1397" t="s">
        <v>26</v>
      </c>
      <c r="G1397" t="s">
        <v>45</v>
      </c>
      <c r="H1397" t="s">
        <v>68</v>
      </c>
      <c r="I1397" t="s">
        <v>69</v>
      </c>
      <c r="J1397" t="s">
        <v>70</v>
      </c>
      <c r="K1397" t="s">
        <v>71</v>
      </c>
      <c r="L1397" t="s">
        <v>72</v>
      </c>
      <c r="M1397" t="s">
        <v>73</v>
      </c>
      <c r="N1397" t="s">
        <v>61</v>
      </c>
      <c r="O1397" t="s">
        <v>833</v>
      </c>
      <c r="P1397" t="s">
        <v>85</v>
      </c>
      <c r="Q1397" t="s">
        <v>299</v>
      </c>
      <c r="R1397" t="s">
        <v>834</v>
      </c>
      <c r="S1397" t="s">
        <v>835</v>
      </c>
      <c r="T1397" t="s">
        <v>836</v>
      </c>
      <c r="U1397" s="10" t="s">
        <v>1061</v>
      </c>
      <c r="V1397" s="10" t="s">
        <v>1075</v>
      </c>
      <c r="W1397" s="10" t="s">
        <v>1075</v>
      </c>
      <c r="X1397" s="10" t="s">
        <v>1068</v>
      </c>
      <c r="Y1397" t="s">
        <v>39</v>
      </c>
      <c r="Z1397" t="s">
        <v>40</v>
      </c>
      <c r="AA1397" t="s">
        <v>63</v>
      </c>
    </row>
    <row r="1398" spans="1:28" x14ac:dyDescent="0.8">
      <c r="A1398">
        <v>959</v>
      </c>
      <c r="B1398">
        <v>1267</v>
      </c>
      <c r="C1398" s="2">
        <v>44384</v>
      </c>
      <c r="D1398" t="s">
        <v>242</v>
      </c>
      <c r="E1398" t="s">
        <v>150</v>
      </c>
      <c r="F1398" t="s">
        <v>26</v>
      </c>
      <c r="G1398" t="s">
        <v>45</v>
      </c>
      <c r="H1398" t="s">
        <v>68</v>
      </c>
      <c r="I1398" t="s">
        <v>69</v>
      </c>
      <c r="J1398" t="s">
        <v>70</v>
      </c>
      <c r="K1398" t="s">
        <v>71</v>
      </c>
      <c r="L1398" t="s">
        <v>72</v>
      </c>
      <c r="M1398" t="s">
        <v>73</v>
      </c>
      <c r="N1398" t="s">
        <v>61</v>
      </c>
      <c r="O1398" t="s">
        <v>833</v>
      </c>
      <c r="P1398" t="s">
        <v>85</v>
      </c>
      <c r="Q1398" t="s">
        <v>299</v>
      </c>
      <c r="R1398" t="s">
        <v>834</v>
      </c>
      <c r="S1398" t="s">
        <v>835</v>
      </c>
      <c r="T1398" t="s">
        <v>836</v>
      </c>
      <c r="U1398" s="10" t="s">
        <v>1061</v>
      </c>
      <c r="V1398" s="10" t="s">
        <v>1075</v>
      </c>
      <c r="W1398" s="10" t="s">
        <v>1075</v>
      </c>
      <c r="X1398" s="10" t="s">
        <v>1068</v>
      </c>
      <c r="Y1398" t="s">
        <v>39</v>
      </c>
      <c r="Z1398" t="s">
        <v>40</v>
      </c>
      <c r="AA1398" t="s">
        <v>63</v>
      </c>
    </row>
    <row r="1399" spans="1:28" x14ac:dyDescent="0.8">
      <c r="A1399">
        <v>948</v>
      </c>
      <c r="B1399">
        <v>1124</v>
      </c>
      <c r="C1399" s="2">
        <v>44384</v>
      </c>
      <c r="D1399" t="s">
        <v>242</v>
      </c>
      <c r="E1399" t="s">
        <v>150</v>
      </c>
      <c r="F1399" t="s">
        <v>26</v>
      </c>
      <c r="G1399" t="s">
        <v>45</v>
      </c>
      <c r="H1399" t="s">
        <v>68</v>
      </c>
      <c r="I1399" t="s">
        <v>69</v>
      </c>
      <c r="J1399" t="s">
        <v>70</v>
      </c>
      <c r="K1399" t="s">
        <v>71</v>
      </c>
      <c r="L1399" t="s">
        <v>72</v>
      </c>
      <c r="M1399" t="s">
        <v>73</v>
      </c>
      <c r="N1399" t="s">
        <v>61</v>
      </c>
      <c r="O1399" t="s">
        <v>833</v>
      </c>
      <c r="P1399" t="s">
        <v>85</v>
      </c>
      <c r="Q1399" t="s">
        <v>299</v>
      </c>
      <c r="R1399" t="s">
        <v>834</v>
      </c>
      <c r="S1399" t="s">
        <v>835</v>
      </c>
      <c r="T1399" t="s">
        <v>836</v>
      </c>
      <c r="U1399" s="10" t="s">
        <v>1061</v>
      </c>
      <c r="V1399" s="10" t="s">
        <v>1075</v>
      </c>
      <c r="W1399" s="10" t="s">
        <v>1075</v>
      </c>
      <c r="X1399" s="10" t="s">
        <v>1068</v>
      </c>
      <c r="Y1399" t="s">
        <v>39</v>
      </c>
      <c r="Z1399" t="s">
        <v>40</v>
      </c>
      <c r="AA1399" t="s">
        <v>63</v>
      </c>
    </row>
    <row r="1400" spans="1:28" x14ac:dyDescent="0.8">
      <c r="A1400">
        <v>932</v>
      </c>
      <c r="B1400">
        <v>1108</v>
      </c>
      <c r="C1400" s="2">
        <v>44384</v>
      </c>
      <c r="D1400" t="s">
        <v>242</v>
      </c>
      <c r="E1400" t="s">
        <v>150</v>
      </c>
      <c r="F1400" t="s">
        <v>26</v>
      </c>
      <c r="G1400" t="s">
        <v>45</v>
      </c>
      <c r="H1400" t="s">
        <v>68</v>
      </c>
      <c r="I1400" t="s">
        <v>69</v>
      </c>
      <c r="J1400" t="s">
        <v>70</v>
      </c>
      <c r="K1400" t="s">
        <v>71</v>
      </c>
      <c r="L1400" t="s">
        <v>72</v>
      </c>
      <c r="M1400" t="s">
        <v>73</v>
      </c>
      <c r="N1400" t="s">
        <v>61</v>
      </c>
      <c r="O1400" t="s">
        <v>833</v>
      </c>
      <c r="P1400" t="s">
        <v>85</v>
      </c>
      <c r="Q1400" t="s">
        <v>299</v>
      </c>
      <c r="R1400" t="s">
        <v>834</v>
      </c>
      <c r="S1400" t="s">
        <v>835</v>
      </c>
      <c r="T1400" t="s">
        <v>836</v>
      </c>
      <c r="U1400" s="10" t="s">
        <v>1061</v>
      </c>
      <c r="V1400" s="10" t="s">
        <v>1075</v>
      </c>
      <c r="W1400" s="10" t="s">
        <v>1075</v>
      </c>
      <c r="X1400" s="10" t="s">
        <v>1068</v>
      </c>
      <c r="Y1400" t="s">
        <v>39</v>
      </c>
      <c r="Z1400" t="s">
        <v>40</v>
      </c>
      <c r="AA1400" t="s">
        <v>63</v>
      </c>
    </row>
    <row r="1401" spans="1:28" x14ac:dyDescent="0.8">
      <c r="A1401">
        <v>930</v>
      </c>
      <c r="B1401">
        <v>1106</v>
      </c>
      <c r="C1401" s="2">
        <v>44384</v>
      </c>
      <c r="D1401" t="s">
        <v>242</v>
      </c>
      <c r="E1401" t="s">
        <v>25</v>
      </c>
      <c r="F1401" t="s">
        <v>26</v>
      </c>
      <c r="G1401" t="s">
        <v>45</v>
      </c>
      <c r="H1401" t="s">
        <v>68</v>
      </c>
      <c r="I1401" t="s">
        <v>69</v>
      </c>
      <c r="J1401" t="s">
        <v>70</v>
      </c>
      <c r="K1401" t="s">
        <v>71</v>
      </c>
      <c r="L1401" t="s">
        <v>72</v>
      </c>
      <c r="M1401" t="s">
        <v>73</v>
      </c>
      <c r="N1401" t="s">
        <v>61</v>
      </c>
      <c r="O1401" t="s">
        <v>833</v>
      </c>
      <c r="P1401" t="s">
        <v>85</v>
      </c>
      <c r="Q1401" t="s">
        <v>299</v>
      </c>
      <c r="R1401" t="s">
        <v>834</v>
      </c>
      <c r="S1401" t="s">
        <v>835</v>
      </c>
      <c r="T1401" t="s">
        <v>836</v>
      </c>
      <c r="U1401" s="10" t="s">
        <v>1061</v>
      </c>
      <c r="V1401" s="10" t="s">
        <v>1075</v>
      </c>
      <c r="W1401" s="10" t="s">
        <v>1075</v>
      </c>
      <c r="X1401" s="10" t="s">
        <v>1068</v>
      </c>
      <c r="Y1401" t="s">
        <v>39</v>
      </c>
      <c r="Z1401" t="s">
        <v>62</v>
      </c>
      <c r="AA1401" t="s">
        <v>63</v>
      </c>
    </row>
    <row r="1402" spans="1:28" x14ac:dyDescent="0.8">
      <c r="A1402">
        <v>927</v>
      </c>
      <c r="B1402">
        <v>1103</v>
      </c>
      <c r="C1402" s="2">
        <v>44384</v>
      </c>
      <c r="D1402" t="s">
        <v>242</v>
      </c>
      <c r="E1402" t="s">
        <v>25</v>
      </c>
      <c r="F1402" t="s">
        <v>26</v>
      </c>
      <c r="G1402" t="s">
        <v>45</v>
      </c>
      <c r="H1402" t="s">
        <v>68</v>
      </c>
      <c r="I1402" t="s">
        <v>69</v>
      </c>
      <c r="J1402" t="s">
        <v>70</v>
      </c>
      <c r="K1402" t="s">
        <v>71</v>
      </c>
      <c r="L1402" t="s">
        <v>72</v>
      </c>
      <c r="M1402" t="s">
        <v>73</v>
      </c>
      <c r="N1402" t="s">
        <v>61</v>
      </c>
      <c r="O1402" t="s">
        <v>833</v>
      </c>
      <c r="P1402" t="s">
        <v>85</v>
      </c>
      <c r="Q1402" t="s">
        <v>299</v>
      </c>
      <c r="R1402" t="s">
        <v>834</v>
      </c>
      <c r="S1402" t="s">
        <v>835</v>
      </c>
      <c r="T1402" t="s">
        <v>836</v>
      </c>
      <c r="U1402" s="10" t="s">
        <v>1061</v>
      </c>
      <c r="V1402" s="10" t="s">
        <v>1075</v>
      </c>
      <c r="W1402" s="10" t="s">
        <v>1075</v>
      </c>
      <c r="X1402" s="10" t="s">
        <v>1068</v>
      </c>
      <c r="Y1402" t="s">
        <v>39</v>
      </c>
      <c r="Z1402" t="s">
        <v>40</v>
      </c>
      <c r="AA1402" t="s">
        <v>63</v>
      </c>
    </row>
    <row r="1403" spans="1:28" x14ac:dyDescent="0.8">
      <c r="A1403">
        <v>926</v>
      </c>
      <c r="B1403">
        <v>1102</v>
      </c>
      <c r="C1403" s="2">
        <v>44384</v>
      </c>
      <c r="D1403" t="s">
        <v>242</v>
      </c>
      <c r="E1403" t="s">
        <v>150</v>
      </c>
      <c r="F1403" t="s">
        <v>26</v>
      </c>
      <c r="G1403" t="s">
        <v>45</v>
      </c>
      <c r="H1403" t="s">
        <v>68</v>
      </c>
      <c r="I1403" t="s">
        <v>69</v>
      </c>
      <c r="J1403" t="s">
        <v>70</v>
      </c>
      <c r="K1403" t="s">
        <v>71</v>
      </c>
      <c r="L1403" t="s">
        <v>72</v>
      </c>
      <c r="M1403" t="s">
        <v>73</v>
      </c>
      <c r="N1403" t="s">
        <v>61</v>
      </c>
      <c r="O1403" t="s">
        <v>833</v>
      </c>
      <c r="P1403" t="s">
        <v>85</v>
      </c>
      <c r="Q1403" t="s">
        <v>299</v>
      </c>
      <c r="R1403" t="s">
        <v>834</v>
      </c>
      <c r="S1403" t="s">
        <v>835</v>
      </c>
      <c r="T1403" t="s">
        <v>836</v>
      </c>
      <c r="U1403" s="10" t="s">
        <v>1061</v>
      </c>
      <c r="V1403" s="10" t="s">
        <v>1075</v>
      </c>
      <c r="W1403" s="10" t="s">
        <v>1075</v>
      </c>
      <c r="X1403" s="10" t="s">
        <v>1068</v>
      </c>
      <c r="Y1403" t="s">
        <v>39</v>
      </c>
      <c r="Z1403" t="s">
        <v>40</v>
      </c>
      <c r="AA1403" t="s">
        <v>63</v>
      </c>
    </row>
    <row r="1404" spans="1:28" x14ac:dyDescent="0.8">
      <c r="A1404">
        <v>919</v>
      </c>
      <c r="B1404">
        <v>337</v>
      </c>
      <c r="C1404" s="2">
        <v>44384</v>
      </c>
      <c r="D1404" t="s">
        <v>242</v>
      </c>
      <c r="E1404" t="s">
        <v>150</v>
      </c>
      <c r="F1404" t="s">
        <v>26</v>
      </c>
      <c r="G1404" t="s">
        <v>45</v>
      </c>
      <c r="H1404" t="s">
        <v>68</v>
      </c>
      <c r="I1404" t="s">
        <v>69</v>
      </c>
      <c r="J1404" t="s">
        <v>70</v>
      </c>
      <c r="K1404" t="s">
        <v>71</v>
      </c>
      <c r="L1404" t="s">
        <v>72</v>
      </c>
      <c r="M1404" t="s">
        <v>73</v>
      </c>
      <c r="N1404" t="s">
        <v>61</v>
      </c>
      <c r="O1404" t="s">
        <v>833</v>
      </c>
      <c r="P1404" t="s">
        <v>85</v>
      </c>
      <c r="Q1404" t="s">
        <v>299</v>
      </c>
      <c r="R1404" t="s">
        <v>834</v>
      </c>
      <c r="S1404" t="s">
        <v>835</v>
      </c>
      <c r="T1404" t="s">
        <v>836</v>
      </c>
      <c r="U1404" s="10" t="s">
        <v>1061</v>
      </c>
      <c r="V1404" s="10" t="s">
        <v>1075</v>
      </c>
      <c r="W1404" s="10" t="s">
        <v>1075</v>
      </c>
      <c r="X1404" s="10" t="s">
        <v>1068</v>
      </c>
      <c r="Y1404" t="s">
        <v>39</v>
      </c>
      <c r="Z1404" t="s">
        <v>40</v>
      </c>
      <c r="AA1404" t="s">
        <v>63</v>
      </c>
    </row>
    <row r="1405" spans="1:28" x14ac:dyDescent="0.8">
      <c r="A1405">
        <v>913</v>
      </c>
      <c r="B1405">
        <v>1041</v>
      </c>
      <c r="C1405" s="2">
        <v>44384</v>
      </c>
      <c r="D1405" t="s">
        <v>242</v>
      </c>
      <c r="E1405" t="s">
        <v>63</v>
      </c>
      <c r="F1405" t="s">
        <v>26</v>
      </c>
      <c r="G1405" t="s">
        <v>45</v>
      </c>
      <c r="H1405" t="s">
        <v>68</v>
      </c>
      <c r="I1405" t="s">
        <v>69</v>
      </c>
      <c r="J1405" t="s">
        <v>70</v>
      </c>
      <c r="K1405" t="s">
        <v>71</v>
      </c>
      <c r="L1405" t="s">
        <v>72</v>
      </c>
      <c r="M1405" t="s">
        <v>73</v>
      </c>
      <c r="N1405" t="s">
        <v>61</v>
      </c>
      <c r="O1405" t="s">
        <v>833</v>
      </c>
      <c r="P1405" t="s">
        <v>85</v>
      </c>
      <c r="Q1405" t="s">
        <v>299</v>
      </c>
      <c r="R1405" t="s">
        <v>834</v>
      </c>
      <c r="S1405" t="s">
        <v>835</v>
      </c>
      <c r="T1405" t="s">
        <v>836</v>
      </c>
      <c r="U1405" s="10" t="s">
        <v>1061</v>
      </c>
      <c r="V1405" s="10" t="s">
        <v>1075</v>
      </c>
      <c r="W1405" s="10" t="s">
        <v>1075</v>
      </c>
      <c r="X1405" s="10" t="s">
        <v>1068</v>
      </c>
      <c r="Y1405" t="s">
        <v>39</v>
      </c>
      <c r="Z1405" t="s">
        <v>40</v>
      </c>
      <c r="AA1405" t="s">
        <v>63</v>
      </c>
    </row>
    <row r="1406" spans="1:28" x14ac:dyDescent="0.8">
      <c r="A1406">
        <v>416</v>
      </c>
      <c r="B1406">
        <v>1185</v>
      </c>
      <c r="C1406" s="2">
        <v>44384</v>
      </c>
      <c r="D1406" t="s">
        <v>242</v>
      </c>
      <c r="E1406" t="s">
        <v>150</v>
      </c>
      <c r="F1406" t="s">
        <v>26</v>
      </c>
      <c r="G1406" t="s">
        <v>45</v>
      </c>
      <c r="H1406" t="s">
        <v>68</v>
      </c>
      <c r="I1406" t="s">
        <v>69</v>
      </c>
      <c r="J1406" t="s">
        <v>70</v>
      </c>
      <c r="K1406" t="s">
        <v>71</v>
      </c>
      <c r="L1406" t="s">
        <v>72</v>
      </c>
      <c r="M1406" t="s">
        <v>73</v>
      </c>
      <c r="N1406" t="s">
        <v>61</v>
      </c>
      <c r="O1406" t="s">
        <v>833</v>
      </c>
      <c r="P1406" t="s">
        <v>85</v>
      </c>
      <c r="Q1406" t="s">
        <v>299</v>
      </c>
      <c r="R1406" t="s">
        <v>834</v>
      </c>
      <c r="S1406" t="s">
        <v>835</v>
      </c>
      <c r="T1406" t="s">
        <v>836</v>
      </c>
      <c r="U1406" s="10" t="s">
        <v>1061</v>
      </c>
      <c r="V1406" s="10" t="s">
        <v>1075</v>
      </c>
      <c r="W1406" s="10" t="s">
        <v>1075</v>
      </c>
      <c r="X1406" s="10" t="s">
        <v>1068</v>
      </c>
      <c r="Y1406" t="s">
        <v>140</v>
      </c>
      <c r="Z1406" t="s">
        <v>40</v>
      </c>
      <c r="AA1406" t="s">
        <v>53</v>
      </c>
    </row>
    <row r="1407" spans="1:28" x14ac:dyDescent="0.8">
      <c r="A1407">
        <v>414</v>
      </c>
      <c r="B1407">
        <v>1183</v>
      </c>
      <c r="C1407" s="2">
        <v>44384</v>
      </c>
      <c r="D1407" t="s">
        <v>242</v>
      </c>
      <c r="E1407" t="s">
        <v>63</v>
      </c>
      <c r="F1407" t="s">
        <v>26</v>
      </c>
      <c r="G1407" t="s">
        <v>45</v>
      </c>
      <c r="H1407" t="s">
        <v>68</v>
      </c>
      <c r="I1407" t="s">
        <v>69</v>
      </c>
      <c r="J1407" t="s">
        <v>70</v>
      </c>
      <c r="K1407" t="s">
        <v>71</v>
      </c>
      <c r="L1407" t="s">
        <v>72</v>
      </c>
      <c r="M1407" t="s">
        <v>73</v>
      </c>
      <c r="N1407" t="s">
        <v>61</v>
      </c>
      <c r="O1407" t="s">
        <v>833</v>
      </c>
      <c r="P1407" t="s">
        <v>85</v>
      </c>
      <c r="Q1407" t="s">
        <v>299</v>
      </c>
      <c r="R1407" t="s">
        <v>834</v>
      </c>
      <c r="S1407" t="s">
        <v>835</v>
      </c>
      <c r="T1407" t="s">
        <v>836</v>
      </c>
      <c r="U1407" s="10" t="s">
        <v>1061</v>
      </c>
      <c r="V1407" s="10" t="s">
        <v>1075</v>
      </c>
      <c r="W1407" s="10" t="s">
        <v>1075</v>
      </c>
      <c r="X1407" s="10" t="s">
        <v>1068</v>
      </c>
      <c r="Y1407" t="s">
        <v>140</v>
      </c>
      <c r="Z1407" t="s">
        <v>40</v>
      </c>
      <c r="AA1407" t="s">
        <v>53</v>
      </c>
    </row>
    <row r="1408" spans="1:28" x14ac:dyDescent="0.8">
      <c r="A1408">
        <v>412</v>
      </c>
      <c r="B1408">
        <v>1181</v>
      </c>
      <c r="C1408" s="2">
        <v>44384</v>
      </c>
      <c r="D1408" t="s">
        <v>242</v>
      </c>
      <c r="E1408" t="s">
        <v>150</v>
      </c>
      <c r="F1408" t="s">
        <v>26</v>
      </c>
      <c r="G1408" t="s">
        <v>45</v>
      </c>
      <c r="H1408" t="s">
        <v>68</v>
      </c>
      <c r="I1408" t="s">
        <v>69</v>
      </c>
      <c r="J1408" t="s">
        <v>70</v>
      </c>
      <c r="K1408" t="s">
        <v>71</v>
      </c>
      <c r="L1408" t="s">
        <v>72</v>
      </c>
      <c r="M1408" t="s">
        <v>73</v>
      </c>
      <c r="N1408" t="s">
        <v>61</v>
      </c>
      <c r="O1408" t="s">
        <v>833</v>
      </c>
      <c r="P1408" t="s">
        <v>85</v>
      </c>
      <c r="Q1408" t="s">
        <v>299</v>
      </c>
      <c r="R1408" t="s">
        <v>834</v>
      </c>
      <c r="S1408" t="s">
        <v>835</v>
      </c>
      <c r="T1408" t="s">
        <v>836</v>
      </c>
      <c r="U1408" s="10" t="s">
        <v>1061</v>
      </c>
      <c r="V1408" s="10" t="s">
        <v>1075</v>
      </c>
      <c r="W1408" s="10" t="s">
        <v>1075</v>
      </c>
      <c r="X1408" s="10" t="s">
        <v>1068</v>
      </c>
      <c r="Y1408" t="s">
        <v>140</v>
      </c>
      <c r="Z1408" t="s">
        <v>40</v>
      </c>
      <c r="AA1408" t="s">
        <v>53</v>
      </c>
    </row>
    <row r="1409" spans="1:27" x14ac:dyDescent="0.8">
      <c r="A1409">
        <v>411</v>
      </c>
      <c r="B1409">
        <v>464</v>
      </c>
      <c r="C1409" s="2">
        <v>44384</v>
      </c>
      <c r="D1409" t="s">
        <v>242</v>
      </c>
      <c r="E1409" t="s">
        <v>25</v>
      </c>
      <c r="F1409" t="s">
        <v>26</v>
      </c>
      <c r="G1409" t="s">
        <v>45</v>
      </c>
      <c r="H1409" t="s">
        <v>68</v>
      </c>
      <c r="I1409" t="s">
        <v>69</v>
      </c>
      <c r="J1409" t="s">
        <v>70</v>
      </c>
      <c r="K1409" t="s">
        <v>71</v>
      </c>
      <c r="L1409" t="s">
        <v>72</v>
      </c>
      <c r="M1409" t="s">
        <v>73</v>
      </c>
      <c r="N1409" t="s">
        <v>61</v>
      </c>
      <c r="O1409" t="s">
        <v>833</v>
      </c>
      <c r="P1409" t="s">
        <v>85</v>
      </c>
      <c r="Q1409" t="s">
        <v>299</v>
      </c>
      <c r="R1409" t="s">
        <v>834</v>
      </c>
      <c r="S1409" t="s">
        <v>835</v>
      </c>
      <c r="T1409" t="s">
        <v>836</v>
      </c>
      <c r="U1409" s="10" t="s">
        <v>1061</v>
      </c>
      <c r="V1409" s="10" t="s">
        <v>1075</v>
      </c>
      <c r="W1409" s="10" t="s">
        <v>1075</v>
      </c>
      <c r="X1409" s="10" t="s">
        <v>1068</v>
      </c>
      <c r="Y1409" t="s">
        <v>140</v>
      </c>
      <c r="Z1409" t="s">
        <v>62</v>
      </c>
      <c r="AA1409" t="s">
        <v>53</v>
      </c>
    </row>
    <row r="1410" spans="1:27" x14ac:dyDescent="0.8">
      <c r="A1410">
        <v>410</v>
      </c>
      <c r="B1410">
        <v>463</v>
      </c>
      <c r="C1410" s="2">
        <v>44384</v>
      </c>
      <c r="D1410" t="s">
        <v>242</v>
      </c>
      <c r="E1410" t="s">
        <v>25</v>
      </c>
      <c r="F1410" t="s">
        <v>26</v>
      </c>
      <c r="G1410" t="s">
        <v>45</v>
      </c>
      <c r="H1410" t="s">
        <v>68</v>
      </c>
      <c r="I1410" t="s">
        <v>69</v>
      </c>
      <c r="J1410" t="s">
        <v>70</v>
      </c>
      <c r="K1410" t="s">
        <v>71</v>
      </c>
      <c r="L1410" t="s">
        <v>72</v>
      </c>
      <c r="M1410" t="s">
        <v>73</v>
      </c>
      <c r="N1410" t="s">
        <v>61</v>
      </c>
      <c r="O1410" t="s">
        <v>833</v>
      </c>
      <c r="P1410" t="s">
        <v>85</v>
      </c>
      <c r="Q1410" t="s">
        <v>299</v>
      </c>
      <c r="R1410" t="s">
        <v>834</v>
      </c>
      <c r="S1410" t="s">
        <v>835</v>
      </c>
      <c r="T1410" t="s">
        <v>836</v>
      </c>
      <c r="U1410" s="10" t="s">
        <v>1061</v>
      </c>
      <c r="V1410" s="10" t="s">
        <v>1075</v>
      </c>
      <c r="W1410" s="10" t="s">
        <v>1075</v>
      </c>
      <c r="X1410" s="10" t="s">
        <v>1068</v>
      </c>
      <c r="Y1410" t="s">
        <v>140</v>
      </c>
      <c r="Z1410" t="s">
        <v>40</v>
      </c>
      <c r="AA1410" t="s">
        <v>53</v>
      </c>
    </row>
    <row r="1411" spans="1:27" x14ac:dyDescent="0.8">
      <c r="A1411">
        <v>409</v>
      </c>
      <c r="B1411">
        <v>462</v>
      </c>
      <c r="C1411" s="2">
        <v>44384</v>
      </c>
      <c r="D1411" t="s">
        <v>242</v>
      </c>
      <c r="E1411" t="s">
        <v>25</v>
      </c>
      <c r="F1411" t="s">
        <v>26</v>
      </c>
      <c r="G1411" t="s">
        <v>45</v>
      </c>
      <c r="H1411" t="s">
        <v>68</v>
      </c>
      <c r="I1411" t="s">
        <v>69</v>
      </c>
      <c r="J1411" t="s">
        <v>70</v>
      </c>
      <c r="K1411" t="s">
        <v>71</v>
      </c>
      <c r="L1411" t="s">
        <v>72</v>
      </c>
      <c r="M1411" t="s">
        <v>73</v>
      </c>
      <c r="N1411" t="s">
        <v>61</v>
      </c>
      <c r="O1411" t="s">
        <v>833</v>
      </c>
      <c r="P1411" t="s">
        <v>85</v>
      </c>
      <c r="Q1411" t="s">
        <v>299</v>
      </c>
      <c r="R1411" t="s">
        <v>834</v>
      </c>
      <c r="S1411" t="s">
        <v>835</v>
      </c>
      <c r="T1411" t="s">
        <v>836</v>
      </c>
      <c r="U1411" s="10" t="s">
        <v>1061</v>
      </c>
      <c r="V1411" s="10" t="s">
        <v>1075</v>
      </c>
      <c r="W1411" s="10" t="s">
        <v>1075</v>
      </c>
      <c r="X1411" s="10" t="s">
        <v>1068</v>
      </c>
      <c r="Y1411" t="s">
        <v>140</v>
      </c>
      <c r="Z1411" t="s">
        <v>40</v>
      </c>
      <c r="AA1411" t="s">
        <v>53</v>
      </c>
    </row>
    <row r="1412" spans="1:27" x14ac:dyDescent="0.8">
      <c r="A1412">
        <v>408</v>
      </c>
      <c r="B1412">
        <v>461</v>
      </c>
      <c r="C1412" s="2">
        <v>44384</v>
      </c>
      <c r="D1412" t="s">
        <v>242</v>
      </c>
      <c r="E1412" t="s">
        <v>63</v>
      </c>
      <c r="F1412" t="s">
        <v>26</v>
      </c>
      <c r="G1412" t="s">
        <v>45</v>
      </c>
      <c r="H1412" t="s">
        <v>68</v>
      </c>
      <c r="I1412" t="s">
        <v>69</v>
      </c>
      <c r="J1412" t="s">
        <v>70</v>
      </c>
      <c r="K1412" t="s">
        <v>71</v>
      </c>
      <c r="L1412" t="s">
        <v>72</v>
      </c>
      <c r="M1412" t="s">
        <v>73</v>
      </c>
      <c r="N1412" t="s">
        <v>61</v>
      </c>
      <c r="O1412" t="s">
        <v>833</v>
      </c>
      <c r="P1412" t="s">
        <v>85</v>
      </c>
      <c r="Q1412" t="s">
        <v>299</v>
      </c>
      <c r="R1412" t="s">
        <v>834</v>
      </c>
      <c r="S1412" t="s">
        <v>835</v>
      </c>
      <c r="T1412" t="s">
        <v>836</v>
      </c>
      <c r="U1412" s="10" t="s">
        <v>1061</v>
      </c>
      <c r="V1412" s="10" t="s">
        <v>1075</v>
      </c>
      <c r="W1412" s="10" t="s">
        <v>1075</v>
      </c>
      <c r="X1412" s="10" t="s">
        <v>1068</v>
      </c>
      <c r="Y1412" t="s">
        <v>140</v>
      </c>
      <c r="Z1412" t="s">
        <v>40</v>
      </c>
      <c r="AA1412" t="s">
        <v>53</v>
      </c>
    </row>
    <row r="1413" spans="1:27" x14ac:dyDescent="0.8">
      <c r="A1413">
        <v>407</v>
      </c>
      <c r="B1413">
        <v>460</v>
      </c>
      <c r="C1413" s="2">
        <v>44384</v>
      </c>
      <c r="D1413" t="s">
        <v>242</v>
      </c>
      <c r="E1413" t="s">
        <v>150</v>
      </c>
      <c r="F1413" t="s">
        <v>26</v>
      </c>
      <c r="G1413" t="s">
        <v>45</v>
      </c>
      <c r="H1413" t="s">
        <v>68</v>
      </c>
      <c r="I1413" t="s">
        <v>69</v>
      </c>
      <c r="J1413" t="s">
        <v>70</v>
      </c>
      <c r="K1413" t="s">
        <v>71</v>
      </c>
      <c r="L1413" t="s">
        <v>72</v>
      </c>
      <c r="M1413" t="s">
        <v>73</v>
      </c>
      <c r="N1413" t="s">
        <v>61</v>
      </c>
      <c r="O1413" t="s">
        <v>833</v>
      </c>
      <c r="P1413" t="s">
        <v>85</v>
      </c>
      <c r="Q1413" t="s">
        <v>299</v>
      </c>
      <c r="R1413" t="s">
        <v>834</v>
      </c>
      <c r="S1413" t="s">
        <v>835</v>
      </c>
      <c r="T1413" t="s">
        <v>836</v>
      </c>
      <c r="U1413" s="10" t="s">
        <v>1061</v>
      </c>
      <c r="V1413" s="10" t="s">
        <v>1075</v>
      </c>
      <c r="W1413" s="10" t="s">
        <v>1075</v>
      </c>
      <c r="X1413" s="10" t="s">
        <v>1068</v>
      </c>
      <c r="Y1413" t="s">
        <v>140</v>
      </c>
      <c r="Z1413" t="s">
        <v>40</v>
      </c>
      <c r="AA1413" t="s">
        <v>53</v>
      </c>
    </row>
    <row r="1414" spans="1:27" x14ac:dyDescent="0.8">
      <c r="A1414">
        <v>1372</v>
      </c>
      <c r="B1414">
        <v>2069</v>
      </c>
      <c r="C1414" s="2">
        <v>44386</v>
      </c>
      <c r="D1414" t="s">
        <v>67</v>
      </c>
      <c r="E1414" t="s">
        <v>25</v>
      </c>
      <c r="F1414" t="s">
        <v>26</v>
      </c>
      <c r="G1414" t="s">
        <v>45</v>
      </c>
      <c r="H1414" t="s">
        <v>55</v>
      </c>
      <c r="I1414" t="s">
        <v>56</v>
      </c>
      <c r="J1414" t="s">
        <v>57</v>
      </c>
      <c r="K1414" t="s">
        <v>58</v>
      </c>
      <c r="L1414" t="s">
        <v>59</v>
      </c>
      <c r="M1414" t="s">
        <v>60</v>
      </c>
      <c r="N1414" t="s">
        <v>61</v>
      </c>
      <c r="O1414" t="s">
        <v>634</v>
      </c>
      <c r="P1414" t="s">
        <v>85</v>
      </c>
      <c r="Q1414" t="s">
        <v>35</v>
      </c>
      <c r="R1414" t="s">
        <v>635</v>
      </c>
      <c r="S1414" t="s">
        <v>636</v>
      </c>
      <c r="T1414" t="s">
        <v>637</v>
      </c>
      <c r="U1414" s="10" t="s">
        <v>1061</v>
      </c>
      <c r="V1414" s="10" t="s">
        <v>1095</v>
      </c>
      <c r="W1414" s="10" t="s">
        <v>1075</v>
      </c>
      <c r="X1414" s="10" t="s">
        <v>1059</v>
      </c>
      <c r="Y1414" t="s">
        <v>39</v>
      </c>
      <c r="Z1414" t="s">
        <v>40</v>
      </c>
      <c r="AA1414" t="s">
        <v>63</v>
      </c>
    </row>
    <row r="1415" spans="1:27" x14ac:dyDescent="0.8">
      <c r="A1415">
        <v>1345</v>
      </c>
      <c r="B1415">
        <v>2092</v>
      </c>
      <c r="C1415" s="2">
        <v>44386</v>
      </c>
      <c r="D1415" t="s">
        <v>67</v>
      </c>
      <c r="E1415" t="s">
        <v>25</v>
      </c>
      <c r="F1415" t="s">
        <v>26</v>
      </c>
      <c r="G1415" t="s">
        <v>45</v>
      </c>
      <c r="H1415" t="s">
        <v>55</v>
      </c>
      <c r="I1415" t="s">
        <v>249</v>
      </c>
      <c r="J1415" t="s">
        <v>281</v>
      </c>
      <c r="K1415" t="s">
        <v>282</v>
      </c>
      <c r="L1415" t="s">
        <v>112</v>
      </c>
      <c r="M1415" t="s">
        <v>283</v>
      </c>
      <c r="N1415" t="s">
        <v>52</v>
      </c>
      <c r="O1415" t="s">
        <v>634</v>
      </c>
      <c r="P1415" t="s">
        <v>85</v>
      </c>
      <c r="Q1415" t="s">
        <v>35</v>
      </c>
      <c r="R1415" t="s">
        <v>635</v>
      </c>
      <c r="S1415" t="s">
        <v>636</v>
      </c>
      <c r="T1415" t="s">
        <v>637</v>
      </c>
      <c r="U1415" s="10" t="s">
        <v>1061</v>
      </c>
      <c r="V1415" s="10" t="s">
        <v>1095</v>
      </c>
      <c r="W1415" s="10" t="s">
        <v>1075</v>
      </c>
      <c r="X1415" s="10" t="s">
        <v>1059</v>
      </c>
      <c r="Y1415" t="s">
        <v>140</v>
      </c>
      <c r="Z1415" t="s">
        <v>40</v>
      </c>
      <c r="AA1415" t="s">
        <v>63</v>
      </c>
    </row>
    <row r="1416" spans="1:27" x14ac:dyDescent="0.8">
      <c r="A1416">
        <v>1303</v>
      </c>
      <c r="B1416">
        <v>2000</v>
      </c>
      <c r="C1416" s="2">
        <v>44385</v>
      </c>
      <c r="D1416" t="s">
        <v>104</v>
      </c>
      <c r="E1416" t="s">
        <v>25</v>
      </c>
      <c r="F1416" t="s">
        <v>26</v>
      </c>
      <c r="G1416" t="s">
        <v>45</v>
      </c>
      <c r="H1416" t="s">
        <v>68</v>
      </c>
      <c r="I1416" t="s">
        <v>69</v>
      </c>
      <c r="J1416" t="s">
        <v>70</v>
      </c>
      <c r="K1416" t="s">
        <v>71</v>
      </c>
      <c r="L1416" t="s">
        <v>72</v>
      </c>
      <c r="M1416" t="s">
        <v>73</v>
      </c>
      <c r="N1416" t="s">
        <v>61</v>
      </c>
      <c r="O1416" t="s">
        <v>634</v>
      </c>
      <c r="P1416" t="s">
        <v>85</v>
      </c>
      <c r="Q1416" t="s">
        <v>35</v>
      </c>
      <c r="R1416" t="s">
        <v>635</v>
      </c>
      <c r="S1416" t="s">
        <v>636</v>
      </c>
      <c r="T1416" t="s">
        <v>637</v>
      </c>
      <c r="U1416" s="10" t="s">
        <v>1061</v>
      </c>
      <c r="V1416" s="10" t="s">
        <v>1095</v>
      </c>
      <c r="W1416" s="10" t="s">
        <v>1075</v>
      </c>
      <c r="X1416" s="10" t="s">
        <v>1059</v>
      </c>
      <c r="Y1416" t="s">
        <v>39</v>
      </c>
      <c r="Z1416" t="s">
        <v>40</v>
      </c>
      <c r="AA1416" t="s">
        <v>63</v>
      </c>
    </row>
    <row r="1417" spans="1:27" x14ac:dyDescent="0.8">
      <c r="A1417">
        <v>1333</v>
      </c>
      <c r="B1417">
        <v>2416</v>
      </c>
      <c r="C1417" s="2">
        <v>44385</v>
      </c>
      <c r="D1417" t="s">
        <v>104</v>
      </c>
      <c r="E1417" t="s">
        <v>25</v>
      </c>
      <c r="F1417" t="s">
        <v>26</v>
      </c>
      <c r="G1417" t="s">
        <v>45</v>
      </c>
      <c r="H1417" t="s">
        <v>46</v>
      </c>
      <c r="I1417" t="s">
        <v>47</v>
      </c>
      <c r="J1417" t="s">
        <v>48</v>
      </c>
      <c r="K1417" t="s">
        <v>49</v>
      </c>
      <c r="L1417" t="s">
        <v>91</v>
      </c>
      <c r="M1417" t="s">
        <v>92</v>
      </c>
      <c r="N1417" t="s">
        <v>61</v>
      </c>
      <c r="O1417" t="s">
        <v>634</v>
      </c>
      <c r="P1417" t="s">
        <v>85</v>
      </c>
      <c r="Q1417" t="s">
        <v>35</v>
      </c>
      <c r="R1417" t="s">
        <v>635</v>
      </c>
      <c r="S1417" t="s">
        <v>636</v>
      </c>
      <c r="T1417" t="s">
        <v>637</v>
      </c>
      <c r="U1417" s="10" t="s">
        <v>1061</v>
      </c>
      <c r="V1417" s="10" t="s">
        <v>1095</v>
      </c>
      <c r="W1417" s="10" t="s">
        <v>1075</v>
      </c>
      <c r="X1417" s="10" t="s">
        <v>1059</v>
      </c>
      <c r="Y1417" t="s">
        <v>39</v>
      </c>
      <c r="Z1417" t="s">
        <v>40</v>
      </c>
      <c r="AA1417" t="s">
        <v>63</v>
      </c>
    </row>
    <row r="1418" spans="1:27" x14ac:dyDescent="0.8">
      <c r="A1418">
        <v>670</v>
      </c>
      <c r="B1418">
        <v>1055</v>
      </c>
      <c r="C1418" s="2">
        <v>44385</v>
      </c>
      <c r="D1418" t="s">
        <v>133</v>
      </c>
      <c r="E1418" t="s">
        <v>25</v>
      </c>
      <c r="F1418" t="s">
        <v>26</v>
      </c>
      <c r="G1418" t="s">
        <v>45</v>
      </c>
      <c r="H1418" t="s">
        <v>68</v>
      </c>
      <c r="I1418" t="s">
        <v>69</v>
      </c>
      <c r="J1418" t="s">
        <v>70</v>
      </c>
      <c r="K1418" t="s">
        <v>71</v>
      </c>
      <c r="L1418" t="s">
        <v>72</v>
      </c>
      <c r="M1418" t="s">
        <v>73</v>
      </c>
      <c r="N1418" t="s">
        <v>61</v>
      </c>
      <c r="O1418" t="s">
        <v>634</v>
      </c>
      <c r="P1418" t="s">
        <v>85</v>
      </c>
      <c r="Q1418" t="s">
        <v>35</v>
      </c>
      <c r="R1418" t="s">
        <v>635</v>
      </c>
      <c r="S1418" t="s">
        <v>636</v>
      </c>
      <c r="T1418" t="s">
        <v>637</v>
      </c>
      <c r="U1418" s="10" t="s">
        <v>1061</v>
      </c>
      <c r="V1418" s="10" t="s">
        <v>1095</v>
      </c>
      <c r="W1418" s="10" t="s">
        <v>1075</v>
      </c>
      <c r="X1418" s="10" t="s">
        <v>1059</v>
      </c>
      <c r="Y1418" t="s">
        <v>39</v>
      </c>
      <c r="Z1418" t="s">
        <v>62</v>
      </c>
      <c r="AA1418" t="s">
        <v>63</v>
      </c>
    </row>
    <row r="1419" spans="1:27" x14ac:dyDescent="0.8">
      <c r="A1419">
        <v>1353</v>
      </c>
      <c r="B1419">
        <v>2100</v>
      </c>
      <c r="C1419" s="2">
        <v>44386</v>
      </c>
      <c r="D1419" t="s">
        <v>67</v>
      </c>
      <c r="E1419" t="s">
        <v>53</v>
      </c>
      <c r="F1419" t="s">
        <v>26</v>
      </c>
      <c r="G1419" t="s">
        <v>45</v>
      </c>
      <c r="H1419" t="s">
        <v>46</v>
      </c>
      <c r="I1419" t="s">
        <v>47</v>
      </c>
      <c r="J1419" t="s">
        <v>48</v>
      </c>
      <c r="K1419" t="s">
        <v>105</v>
      </c>
      <c r="L1419" t="s">
        <v>106</v>
      </c>
      <c r="M1419" t="s">
        <v>107</v>
      </c>
      <c r="O1419" t="s">
        <v>903</v>
      </c>
      <c r="P1419" t="s">
        <v>34</v>
      </c>
      <c r="Q1419" t="s">
        <v>35</v>
      </c>
      <c r="R1419" t="s">
        <v>904</v>
      </c>
      <c r="S1419" t="s">
        <v>187</v>
      </c>
      <c r="T1419" t="s">
        <v>905</v>
      </c>
      <c r="U1419" s="10" t="s">
        <v>1061</v>
      </c>
      <c r="V1419" s="10" t="s">
        <v>1107</v>
      </c>
      <c r="W1419" s="10" t="s">
        <v>1075</v>
      </c>
      <c r="X1419" s="10" t="s">
        <v>1059</v>
      </c>
      <c r="Y1419" t="s">
        <v>39</v>
      </c>
      <c r="Z1419" t="s">
        <v>40</v>
      </c>
      <c r="AA1419" t="s">
        <v>63</v>
      </c>
    </row>
    <row r="1420" spans="1:27" x14ac:dyDescent="0.8">
      <c r="A1420">
        <v>261</v>
      </c>
      <c r="B1420">
        <v>1467</v>
      </c>
      <c r="C1420" s="2">
        <v>44386</v>
      </c>
      <c r="D1420" t="s">
        <v>43</v>
      </c>
      <c r="E1420" t="s">
        <v>44</v>
      </c>
      <c r="F1420" t="s">
        <v>26</v>
      </c>
      <c r="G1420" t="s">
        <v>45</v>
      </c>
      <c r="H1420" t="s">
        <v>68</v>
      </c>
      <c r="I1420" t="s">
        <v>69</v>
      </c>
      <c r="J1420" t="s">
        <v>70</v>
      </c>
      <c r="K1420" t="s">
        <v>71</v>
      </c>
      <c r="L1420" t="s">
        <v>72</v>
      </c>
      <c r="M1420" t="s">
        <v>73</v>
      </c>
      <c r="N1420" t="s">
        <v>61</v>
      </c>
      <c r="O1420" t="s">
        <v>903</v>
      </c>
      <c r="P1420" t="s">
        <v>34</v>
      </c>
      <c r="Q1420" t="s">
        <v>35</v>
      </c>
      <c r="R1420" t="s">
        <v>904</v>
      </c>
      <c r="S1420" t="s">
        <v>187</v>
      </c>
      <c r="T1420" t="s">
        <v>905</v>
      </c>
      <c r="U1420" s="10" t="s">
        <v>1061</v>
      </c>
      <c r="V1420" s="10" t="s">
        <v>1107</v>
      </c>
      <c r="W1420" s="10" t="s">
        <v>1075</v>
      </c>
      <c r="X1420" s="10" t="s">
        <v>1059</v>
      </c>
      <c r="Y1420" t="s">
        <v>39</v>
      </c>
      <c r="Z1420" t="s">
        <v>40</v>
      </c>
      <c r="AA1420" t="s">
        <v>53</v>
      </c>
    </row>
    <row r="1421" spans="1:27" x14ac:dyDescent="0.8">
      <c r="A1421">
        <v>595</v>
      </c>
      <c r="B1421">
        <v>694</v>
      </c>
      <c r="C1421" s="2">
        <v>44384</v>
      </c>
      <c r="D1421" t="s">
        <v>24</v>
      </c>
      <c r="E1421" t="s">
        <v>25</v>
      </c>
      <c r="F1421" t="s">
        <v>26</v>
      </c>
      <c r="G1421" t="s">
        <v>27</v>
      </c>
      <c r="H1421" t="s">
        <v>114</v>
      </c>
      <c r="I1421" t="s">
        <v>115</v>
      </c>
      <c r="J1421" t="s">
        <v>120</v>
      </c>
      <c r="K1421" t="s">
        <v>121</v>
      </c>
      <c r="L1421" t="s">
        <v>122</v>
      </c>
      <c r="M1421" t="s">
        <v>123</v>
      </c>
      <c r="O1421" t="s">
        <v>166</v>
      </c>
      <c r="P1421" t="s">
        <v>34</v>
      </c>
      <c r="Q1421" t="s">
        <v>167</v>
      </c>
      <c r="R1421" t="s">
        <v>168</v>
      </c>
      <c r="S1421" t="s">
        <v>169</v>
      </c>
      <c r="T1421" t="s">
        <v>170</v>
      </c>
      <c r="U1421" s="10" t="s">
        <v>1061</v>
      </c>
      <c r="V1421" s="10" t="s">
        <v>1070</v>
      </c>
      <c r="W1421" s="10" t="s">
        <v>1075</v>
      </c>
      <c r="X1421" s="10" t="s">
        <v>1059</v>
      </c>
      <c r="Y1421" t="s">
        <v>39</v>
      </c>
      <c r="Z1421" t="s">
        <v>40</v>
      </c>
      <c r="AA1421" t="s">
        <v>63</v>
      </c>
    </row>
    <row r="1422" spans="1:27" x14ac:dyDescent="0.8">
      <c r="A1422">
        <v>1228</v>
      </c>
      <c r="B1422">
        <v>1825</v>
      </c>
      <c r="C1422" s="2">
        <v>44387</v>
      </c>
      <c r="D1422" t="s">
        <v>102</v>
      </c>
      <c r="E1422" t="s">
        <v>150</v>
      </c>
      <c r="F1422" t="s">
        <v>26</v>
      </c>
      <c r="G1422" t="s">
        <v>45</v>
      </c>
      <c r="H1422" t="s">
        <v>68</v>
      </c>
      <c r="I1422" t="s">
        <v>69</v>
      </c>
      <c r="J1422" t="s">
        <v>70</v>
      </c>
      <c r="K1422" t="s">
        <v>71</v>
      </c>
      <c r="L1422" t="s">
        <v>72</v>
      </c>
      <c r="M1422" t="s">
        <v>73</v>
      </c>
      <c r="N1422" t="s">
        <v>61</v>
      </c>
      <c r="O1422" t="s">
        <v>166</v>
      </c>
      <c r="P1422" t="s">
        <v>34</v>
      </c>
      <c r="Q1422" t="s">
        <v>167</v>
      </c>
      <c r="R1422" t="s">
        <v>168</v>
      </c>
      <c r="S1422" t="s">
        <v>169</v>
      </c>
      <c r="T1422" t="s">
        <v>170</v>
      </c>
      <c r="U1422" s="10" t="s">
        <v>1061</v>
      </c>
      <c r="V1422" s="10" t="s">
        <v>1070</v>
      </c>
      <c r="W1422" s="10" t="s">
        <v>1075</v>
      </c>
      <c r="X1422" s="10" t="s">
        <v>1059</v>
      </c>
      <c r="Y1422" t="s">
        <v>39</v>
      </c>
      <c r="Z1422" t="s">
        <v>40</v>
      </c>
      <c r="AA1422" t="s">
        <v>63</v>
      </c>
    </row>
    <row r="1423" spans="1:27" x14ac:dyDescent="0.8">
      <c r="A1423">
        <v>1234</v>
      </c>
      <c r="B1423">
        <v>1831</v>
      </c>
      <c r="C1423" s="2">
        <v>44387</v>
      </c>
      <c r="D1423" t="s">
        <v>102</v>
      </c>
      <c r="E1423" t="s">
        <v>150</v>
      </c>
      <c r="F1423" t="s">
        <v>26</v>
      </c>
      <c r="G1423" t="s">
        <v>45</v>
      </c>
      <c r="H1423" t="s">
        <v>55</v>
      </c>
      <c r="I1423" t="s">
        <v>56</v>
      </c>
      <c r="J1423" t="s">
        <v>57</v>
      </c>
      <c r="K1423" t="s">
        <v>58</v>
      </c>
      <c r="L1423" t="s">
        <v>171</v>
      </c>
      <c r="M1423" t="s">
        <v>172</v>
      </c>
      <c r="N1423" t="s">
        <v>52</v>
      </c>
      <c r="O1423" t="s">
        <v>166</v>
      </c>
      <c r="P1423" t="s">
        <v>34</v>
      </c>
      <c r="Q1423" t="s">
        <v>167</v>
      </c>
      <c r="R1423" t="s">
        <v>168</v>
      </c>
      <c r="S1423" t="s">
        <v>169</v>
      </c>
      <c r="T1423" t="s">
        <v>170</v>
      </c>
      <c r="U1423" s="10" t="s">
        <v>1061</v>
      </c>
      <c r="V1423" s="10" t="s">
        <v>1070</v>
      </c>
      <c r="W1423" s="10" t="s">
        <v>1075</v>
      </c>
      <c r="X1423" s="10" t="s">
        <v>1059</v>
      </c>
      <c r="Y1423" t="s">
        <v>39</v>
      </c>
      <c r="Z1423" t="s">
        <v>40</v>
      </c>
      <c r="AA1423" t="s">
        <v>63</v>
      </c>
    </row>
    <row r="1424" spans="1:27" x14ac:dyDescent="0.8">
      <c r="A1424">
        <v>258</v>
      </c>
      <c r="B1424">
        <v>1464</v>
      </c>
      <c r="C1424" s="2">
        <v>44384</v>
      </c>
      <c r="D1424" t="s">
        <v>24</v>
      </c>
      <c r="E1424" t="s">
        <v>63</v>
      </c>
      <c r="F1424" t="s">
        <v>26</v>
      </c>
      <c r="G1424" t="s">
        <v>27</v>
      </c>
      <c r="H1424" t="s">
        <v>114</v>
      </c>
      <c r="I1424" t="s">
        <v>115</v>
      </c>
      <c r="J1424" t="s">
        <v>174</v>
      </c>
      <c r="K1424" t="s">
        <v>175</v>
      </c>
      <c r="L1424" t="s">
        <v>176</v>
      </c>
      <c r="M1424" t="s">
        <v>177</v>
      </c>
      <c r="O1424" t="s">
        <v>818</v>
      </c>
      <c r="P1424" t="s">
        <v>85</v>
      </c>
      <c r="Q1424" t="s">
        <v>167</v>
      </c>
      <c r="R1424" t="s">
        <v>819</v>
      </c>
      <c r="S1424" t="s">
        <v>820</v>
      </c>
      <c r="T1424" t="s">
        <v>821</v>
      </c>
      <c r="U1424" s="10" t="s">
        <v>1061</v>
      </c>
      <c r="V1424" s="10" t="s">
        <v>1070</v>
      </c>
      <c r="W1424" s="10" t="s">
        <v>1141</v>
      </c>
      <c r="X1424" s="10" t="s">
        <v>1059</v>
      </c>
      <c r="Y1424" t="s">
        <v>39</v>
      </c>
      <c r="Z1424" t="s">
        <v>40</v>
      </c>
      <c r="AA1424" t="s">
        <v>53</v>
      </c>
    </row>
    <row r="1425" spans="1:28" x14ac:dyDescent="0.8">
      <c r="A1425">
        <v>406</v>
      </c>
      <c r="B1425">
        <v>459</v>
      </c>
      <c r="C1425" s="2">
        <v>44384</v>
      </c>
      <c r="D1425" t="s">
        <v>242</v>
      </c>
      <c r="E1425" t="s">
        <v>63</v>
      </c>
      <c r="F1425" t="s">
        <v>26</v>
      </c>
      <c r="G1425" t="s">
        <v>45</v>
      </c>
      <c r="H1425" t="s">
        <v>68</v>
      </c>
      <c r="I1425" t="s">
        <v>69</v>
      </c>
      <c r="J1425" t="s">
        <v>70</v>
      </c>
      <c r="K1425" t="s">
        <v>71</v>
      </c>
      <c r="L1425" t="s">
        <v>72</v>
      </c>
      <c r="M1425" t="s">
        <v>73</v>
      </c>
      <c r="N1425" t="s">
        <v>61</v>
      </c>
      <c r="O1425" t="s">
        <v>1024</v>
      </c>
      <c r="P1425" t="s">
        <v>34</v>
      </c>
      <c r="Q1425" t="s">
        <v>273</v>
      </c>
      <c r="R1425" t="s">
        <v>1025</v>
      </c>
      <c r="S1425" t="s">
        <v>1026</v>
      </c>
      <c r="T1425" t="s">
        <v>1027</v>
      </c>
      <c r="U1425" s="10" t="s">
        <v>1061</v>
      </c>
      <c r="V1425" s="10" t="s">
        <v>1115</v>
      </c>
      <c r="W1425" s="10" t="s">
        <v>1141</v>
      </c>
      <c r="X1425" s="10" t="s">
        <v>1059</v>
      </c>
      <c r="Y1425" t="s">
        <v>140</v>
      </c>
      <c r="Z1425" t="s">
        <v>40</v>
      </c>
      <c r="AA1425" t="s">
        <v>53</v>
      </c>
    </row>
    <row r="1426" spans="1:28" x14ac:dyDescent="0.8">
      <c r="A1426">
        <v>1092</v>
      </c>
      <c r="B1426">
        <v>1192</v>
      </c>
      <c r="C1426" s="2">
        <v>44387</v>
      </c>
      <c r="D1426" t="s">
        <v>54</v>
      </c>
      <c r="E1426" t="s">
        <v>150</v>
      </c>
      <c r="F1426" t="s">
        <v>26</v>
      </c>
      <c r="G1426" t="s">
        <v>45</v>
      </c>
      <c r="H1426" t="s">
        <v>68</v>
      </c>
      <c r="I1426" t="s">
        <v>69</v>
      </c>
      <c r="J1426" t="s">
        <v>70</v>
      </c>
      <c r="K1426" t="s">
        <v>71</v>
      </c>
      <c r="L1426" t="s">
        <v>72</v>
      </c>
      <c r="M1426" t="s">
        <v>73</v>
      </c>
      <c r="N1426" t="s">
        <v>61</v>
      </c>
      <c r="O1426" t="s">
        <v>161</v>
      </c>
      <c r="P1426" t="s">
        <v>34</v>
      </c>
      <c r="Q1426" t="s">
        <v>162</v>
      </c>
      <c r="R1426" t="s">
        <v>163</v>
      </c>
      <c r="S1426" t="s">
        <v>164</v>
      </c>
      <c r="T1426" t="s">
        <v>165</v>
      </c>
      <c r="U1426" s="10" t="s">
        <v>1061</v>
      </c>
      <c r="V1426" s="10" t="s">
        <v>1069</v>
      </c>
      <c r="W1426" s="10" t="s">
        <v>1109</v>
      </c>
      <c r="X1426" s="10" t="s">
        <v>1063</v>
      </c>
      <c r="Y1426" t="s">
        <v>39</v>
      </c>
      <c r="Z1426" t="s">
        <v>40</v>
      </c>
      <c r="AA1426" t="s">
        <v>63</v>
      </c>
    </row>
    <row r="1427" spans="1:28" x14ac:dyDescent="0.8">
      <c r="A1427">
        <v>1487</v>
      </c>
      <c r="B1427">
        <v>2334</v>
      </c>
      <c r="C1427" s="2">
        <v>44388</v>
      </c>
      <c r="D1427" t="s">
        <v>134</v>
      </c>
      <c r="E1427" t="s">
        <v>25</v>
      </c>
      <c r="F1427" t="s">
        <v>26</v>
      </c>
      <c r="G1427" t="s">
        <v>45</v>
      </c>
      <c r="H1427" t="s">
        <v>68</v>
      </c>
      <c r="I1427" t="s">
        <v>69</v>
      </c>
      <c r="J1427" t="s">
        <v>70</v>
      </c>
      <c r="K1427" t="s">
        <v>71</v>
      </c>
      <c r="L1427" t="s">
        <v>72</v>
      </c>
      <c r="M1427" t="s">
        <v>73</v>
      </c>
      <c r="N1427" t="s">
        <v>61</v>
      </c>
      <c r="O1427" t="s">
        <v>267</v>
      </c>
      <c r="P1427" t="s">
        <v>85</v>
      </c>
      <c r="Q1427" t="s">
        <v>244</v>
      </c>
      <c r="R1427" t="s">
        <v>245</v>
      </c>
      <c r="S1427" t="s">
        <v>268</v>
      </c>
      <c r="T1427" t="s">
        <v>269</v>
      </c>
      <c r="U1427" s="10" t="s">
        <v>1061</v>
      </c>
      <c r="V1427" s="10" t="s">
        <v>1076</v>
      </c>
      <c r="W1427" s="10" t="s">
        <v>1075</v>
      </c>
      <c r="X1427" s="10" t="s">
        <v>1059</v>
      </c>
      <c r="Y1427" t="s">
        <v>39</v>
      </c>
      <c r="Z1427" t="s">
        <v>40</v>
      </c>
      <c r="AA1427" t="s">
        <v>63</v>
      </c>
      <c r="AB1427" t="s">
        <v>270</v>
      </c>
    </row>
    <row r="1428" spans="1:28" x14ac:dyDescent="0.8">
      <c r="A1428">
        <v>1508</v>
      </c>
      <c r="B1428">
        <v>2405</v>
      </c>
      <c r="C1428" s="2">
        <v>44388</v>
      </c>
      <c r="D1428" t="s">
        <v>134</v>
      </c>
      <c r="E1428" t="s">
        <v>53</v>
      </c>
      <c r="F1428" t="s">
        <v>26</v>
      </c>
      <c r="G1428" t="s">
        <v>45</v>
      </c>
      <c r="H1428" t="s">
        <v>68</v>
      </c>
      <c r="I1428" t="s">
        <v>69</v>
      </c>
      <c r="J1428" t="s">
        <v>70</v>
      </c>
      <c r="K1428" t="s">
        <v>71</v>
      </c>
      <c r="L1428" t="s">
        <v>72</v>
      </c>
      <c r="M1428" t="s">
        <v>73</v>
      </c>
      <c r="N1428" t="s">
        <v>61</v>
      </c>
      <c r="O1428" t="s">
        <v>267</v>
      </c>
      <c r="P1428" t="s">
        <v>85</v>
      </c>
      <c r="Q1428" t="s">
        <v>244</v>
      </c>
      <c r="R1428" t="s">
        <v>245</v>
      </c>
      <c r="S1428" t="s">
        <v>268</v>
      </c>
      <c r="T1428" t="s">
        <v>269</v>
      </c>
      <c r="U1428" s="10" t="s">
        <v>1061</v>
      </c>
      <c r="V1428" s="10" t="s">
        <v>1076</v>
      </c>
      <c r="W1428" s="10" t="s">
        <v>1075</v>
      </c>
      <c r="X1428" s="10" t="s">
        <v>1059</v>
      </c>
      <c r="Y1428" t="s">
        <v>39</v>
      </c>
      <c r="Z1428" t="s">
        <v>40</v>
      </c>
      <c r="AA1428" t="s">
        <v>63</v>
      </c>
    </row>
    <row r="1429" spans="1:28" x14ac:dyDescent="0.8">
      <c r="A1429">
        <v>1498</v>
      </c>
      <c r="B1429">
        <v>2345</v>
      </c>
      <c r="C1429" s="2">
        <v>44388</v>
      </c>
      <c r="D1429" t="s">
        <v>134</v>
      </c>
      <c r="E1429" t="s">
        <v>63</v>
      </c>
      <c r="F1429" t="s">
        <v>26</v>
      </c>
      <c r="G1429" t="s">
        <v>45</v>
      </c>
      <c r="H1429" t="s">
        <v>68</v>
      </c>
      <c r="I1429" t="s">
        <v>69</v>
      </c>
      <c r="J1429" t="s">
        <v>70</v>
      </c>
      <c r="K1429" t="s">
        <v>71</v>
      </c>
      <c r="L1429" t="s">
        <v>72</v>
      </c>
      <c r="M1429" t="s">
        <v>73</v>
      </c>
      <c r="N1429" t="s">
        <v>61</v>
      </c>
      <c r="O1429" t="s">
        <v>267</v>
      </c>
      <c r="P1429" t="s">
        <v>85</v>
      </c>
      <c r="Q1429" t="s">
        <v>244</v>
      </c>
      <c r="R1429" t="s">
        <v>245</v>
      </c>
      <c r="S1429" t="s">
        <v>268</v>
      </c>
      <c r="T1429" t="s">
        <v>269</v>
      </c>
      <c r="U1429" s="10" t="s">
        <v>1061</v>
      </c>
      <c r="V1429" s="10" t="s">
        <v>1076</v>
      </c>
      <c r="W1429" s="10" t="s">
        <v>1075</v>
      </c>
      <c r="X1429" s="10" t="s">
        <v>1059</v>
      </c>
      <c r="Y1429" t="s">
        <v>39</v>
      </c>
      <c r="Z1429" t="s">
        <v>40</v>
      </c>
      <c r="AA1429" t="s">
        <v>63</v>
      </c>
    </row>
    <row r="1430" spans="1:28" x14ac:dyDescent="0.8">
      <c r="A1430">
        <v>1480</v>
      </c>
      <c r="B1430">
        <v>2327</v>
      </c>
      <c r="C1430" s="2">
        <v>44388</v>
      </c>
      <c r="D1430" t="s">
        <v>134</v>
      </c>
      <c r="E1430" t="s">
        <v>53</v>
      </c>
      <c r="F1430" t="s">
        <v>26</v>
      </c>
      <c r="G1430" t="s">
        <v>45</v>
      </c>
      <c r="H1430" t="s">
        <v>68</v>
      </c>
      <c r="I1430" t="s">
        <v>69</v>
      </c>
      <c r="J1430" t="s">
        <v>70</v>
      </c>
      <c r="K1430" t="s">
        <v>71</v>
      </c>
      <c r="L1430" t="s">
        <v>72</v>
      </c>
      <c r="M1430" t="s">
        <v>73</v>
      </c>
      <c r="N1430" t="s">
        <v>61</v>
      </c>
      <c r="O1430" t="s">
        <v>267</v>
      </c>
      <c r="P1430" t="s">
        <v>85</v>
      </c>
      <c r="Q1430" t="s">
        <v>244</v>
      </c>
      <c r="R1430" t="s">
        <v>245</v>
      </c>
      <c r="S1430" t="s">
        <v>268</v>
      </c>
      <c r="T1430" t="s">
        <v>269</v>
      </c>
      <c r="U1430" s="10" t="s">
        <v>1061</v>
      </c>
      <c r="V1430" s="10" t="s">
        <v>1076</v>
      </c>
      <c r="W1430" s="10" t="s">
        <v>1075</v>
      </c>
      <c r="X1430" s="10" t="s">
        <v>1059</v>
      </c>
      <c r="Y1430" t="s">
        <v>39</v>
      </c>
      <c r="Z1430" t="s">
        <v>40</v>
      </c>
      <c r="AA1430" t="s">
        <v>63</v>
      </c>
    </row>
    <row r="1431" spans="1:28" x14ac:dyDescent="0.8">
      <c r="A1431">
        <v>1473</v>
      </c>
      <c r="B1431">
        <v>2320</v>
      </c>
      <c r="C1431" s="2">
        <v>44388</v>
      </c>
      <c r="D1431" t="s">
        <v>134</v>
      </c>
      <c r="E1431" t="s">
        <v>25</v>
      </c>
      <c r="F1431" t="s">
        <v>26</v>
      </c>
      <c r="G1431" t="s">
        <v>45</v>
      </c>
      <c r="H1431" t="s">
        <v>68</v>
      </c>
      <c r="I1431" t="s">
        <v>69</v>
      </c>
      <c r="J1431" t="s">
        <v>70</v>
      </c>
      <c r="K1431" t="s">
        <v>71</v>
      </c>
      <c r="L1431" t="s">
        <v>72</v>
      </c>
      <c r="M1431" t="s">
        <v>73</v>
      </c>
      <c r="N1431" t="s">
        <v>61</v>
      </c>
      <c r="O1431" t="s">
        <v>267</v>
      </c>
      <c r="P1431" t="s">
        <v>85</v>
      </c>
      <c r="Q1431" t="s">
        <v>244</v>
      </c>
      <c r="R1431" t="s">
        <v>245</v>
      </c>
      <c r="S1431" t="s">
        <v>268</v>
      </c>
      <c r="T1431" t="s">
        <v>269</v>
      </c>
      <c r="U1431" s="10" t="s">
        <v>1061</v>
      </c>
      <c r="V1431" s="10" t="s">
        <v>1076</v>
      </c>
      <c r="W1431" s="10" t="s">
        <v>1075</v>
      </c>
      <c r="X1431" s="10" t="s">
        <v>1059</v>
      </c>
      <c r="Y1431" t="s">
        <v>39</v>
      </c>
      <c r="Z1431" t="s">
        <v>40</v>
      </c>
      <c r="AA1431" t="s">
        <v>63</v>
      </c>
    </row>
    <row r="1432" spans="1:28" x14ac:dyDescent="0.8">
      <c r="A1432">
        <v>1458</v>
      </c>
      <c r="B1432">
        <v>2255</v>
      </c>
      <c r="C1432" s="2">
        <v>44388</v>
      </c>
      <c r="D1432" t="s">
        <v>134</v>
      </c>
      <c r="E1432" t="s">
        <v>53</v>
      </c>
      <c r="F1432" t="s">
        <v>26</v>
      </c>
      <c r="G1432" t="s">
        <v>45</v>
      </c>
      <c r="H1432" t="s">
        <v>68</v>
      </c>
      <c r="I1432" t="s">
        <v>69</v>
      </c>
      <c r="J1432" t="s">
        <v>70</v>
      </c>
      <c r="K1432" t="s">
        <v>71</v>
      </c>
      <c r="L1432" t="s">
        <v>72</v>
      </c>
      <c r="M1432" t="s">
        <v>73</v>
      </c>
      <c r="N1432" t="s">
        <v>61</v>
      </c>
      <c r="O1432" t="s">
        <v>267</v>
      </c>
      <c r="P1432" t="s">
        <v>85</v>
      </c>
      <c r="Q1432" t="s">
        <v>244</v>
      </c>
      <c r="R1432" t="s">
        <v>245</v>
      </c>
      <c r="S1432" t="s">
        <v>268</v>
      </c>
      <c r="T1432" t="s">
        <v>269</v>
      </c>
      <c r="U1432" s="10" t="s">
        <v>1061</v>
      </c>
      <c r="V1432" s="10" t="s">
        <v>1076</v>
      </c>
      <c r="W1432" s="10" t="s">
        <v>1075</v>
      </c>
      <c r="X1432" s="10" t="s">
        <v>1059</v>
      </c>
      <c r="Y1432" t="s">
        <v>39</v>
      </c>
      <c r="Z1432" t="s">
        <v>40</v>
      </c>
      <c r="AA1432" t="s">
        <v>63</v>
      </c>
    </row>
    <row r="1433" spans="1:28" x14ac:dyDescent="0.8">
      <c r="A1433">
        <v>1452</v>
      </c>
      <c r="B1433">
        <v>2249</v>
      </c>
      <c r="C1433" s="2">
        <v>44388</v>
      </c>
      <c r="D1433" t="s">
        <v>134</v>
      </c>
      <c r="E1433" t="s">
        <v>125</v>
      </c>
      <c r="F1433" t="s">
        <v>26</v>
      </c>
      <c r="G1433" t="s">
        <v>45</v>
      </c>
      <c r="H1433" t="s">
        <v>68</v>
      </c>
      <c r="I1433" t="s">
        <v>69</v>
      </c>
      <c r="J1433" t="s">
        <v>70</v>
      </c>
      <c r="K1433" t="s">
        <v>71</v>
      </c>
      <c r="L1433" t="s">
        <v>72</v>
      </c>
      <c r="M1433" t="s">
        <v>73</v>
      </c>
      <c r="N1433" t="s">
        <v>61</v>
      </c>
      <c r="O1433" t="s">
        <v>267</v>
      </c>
      <c r="P1433" t="s">
        <v>85</v>
      </c>
      <c r="Q1433" t="s">
        <v>244</v>
      </c>
      <c r="R1433" t="s">
        <v>245</v>
      </c>
      <c r="S1433" t="s">
        <v>268</v>
      </c>
      <c r="T1433" t="s">
        <v>269</v>
      </c>
      <c r="U1433" s="10" t="s">
        <v>1061</v>
      </c>
      <c r="V1433" s="10" t="s">
        <v>1076</v>
      </c>
      <c r="W1433" s="10" t="s">
        <v>1075</v>
      </c>
      <c r="X1433" s="10" t="s">
        <v>1059</v>
      </c>
      <c r="Y1433" t="s">
        <v>140</v>
      </c>
      <c r="Z1433" t="s">
        <v>40</v>
      </c>
      <c r="AA1433" t="s">
        <v>63</v>
      </c>
    </row>
    <row r="1434" spans="1:28" x14ac:dyDescent="0.8">
      <c r="A1434">
        <v>1787</v>
      </c>
      <c r="B1434">
        <v>1505</v>
      </c>
      <c r="C1434" s="2">
        <v>44388</v>
      </c>
      <c r="D1434" t="s">
        <v>134</v>
      </c>
      <c r="E1434" t="s">
        <v>25</v>
      </c>
      <c r="F1434" t="s">
        <v>26</v>
      </c>
      <c r="G1434" t="s">
        <v>45</v>
      </c>
      <c r="H1434" t="s">
        <v>155</v>
      </c>
      <c r="I1434" t="s">
        <v>69</v>
      </c>
      <c r="J1434" t="s">
        <v>156</v>
      </c>
      <c r="K1434" t="s">
        <v>157</v>
      </c>
      <c r="L1434" t="s">
        <v>158</v>
      </c>
      <c r="M1434" t="s">
        <v>159</v>
      </c>
      <c r="N1434" t="s">
        <v>52</v>
      </c>
      <c r="O1434" t="s">
        <v>267</v>
      </c>
      <c r="P1434" t="s">
        <v>85</v>
      </c>
      <c r="Q1434" t="s">
        <v>244</v>
      </c>
      <c r="R1434" t="s">
        <v>245</v>
      </c>
      <c r="S1434" t="s">
        <v>268</v>
      </c>
      <c r="T1434" t="s">
        <v>269</v>
      </c>
      <c r="U1434" s="10" t="s">
        <v>1061</v>
      </c>
      <c r="V1434" s="10" t="s">
        <v>1076</v>
      </c>
      <c r="W1434" s="10" t="s">
        <v>1075</v>
      </c>
      <c r="X1434" s="10" t="s">
        <v>1059</v>
      </c>
      <c r="Y1434" t="s">
        <v>39</v>
      </c>
      <c r="Z1434" t="s">
        <v>40</v>
      </c>
      <c r="AA1434" t="s">
        <v>41</v>
      </c>
    </row>
    <row r="1435" spans="1:28" x14ac:dyDescent="0.8">
      <c r="A1435">
        <v>1483</v>
      </c>
      <c r="B1435">
        <v>2330</v>
      </c>
      <c r="C1435" s="2">
        <v>44388</v>
      </c>
      <c r="D1435" t="s">
        <v>134</v>
      </c>
      <c r="E1435" t="s">
        <v>25</v>
      </c>
      <c r="F1435" t="s">
        <v>26</v>
      </c>
      <c r="G1435" t="s">
        <v>45</v>
      </c>
      <c r="H1435" t="s">
        <v>55</v>
      </c>
      <c r="I1435" t="s">
        <v>56</v>
      </c>
      <c r="J1435" t="s">
        <v>57</v>
      </c>
      <c r="K1435" t="s">
        <v>58</v>
      </c>
      <c r="L1435" t="s">
        <v>59</v>
      </c>
      <c r="M1435" t="s">
        <v>60</v>
      </c>
      <c r="N1435" t="s">
        <v>61</v>
      </c>
      <c r="O1435" t="s">
        <v>267</v>
      </c>
      <c r="P1435" t="s">
        <v>85</v>
      </c>
      <c r="Q1435" t="s">
        <v>244</v>
      </c>
      <c r="R1435" t="s">
        <v>245</v>
      </c>
      <c r="S1435" t="s">
        <v>268</v>
      </c>
      <c r="T1435" t="s">
        <v>269</v>
      </c>
      <c r="U1435" s="10" t="s">
        <v>1061</v>
      </c>
      <c r="V1435" s="10" t="s">
        <v>1076</v>
      </c>
      <c r="W1435" s="10" t="s">
        <v>1075</v>
      </c>
      <c r="X1435" s="10" t="s">
        <v>1059</v>
      </c>
      <c r="Y1435" t="s">
        <v>39</v>
      </c>
      <c r="Z1435" t="s">
        <v>40</v>
      </c>
      <c r="AA1435" t="s">
        <v>63</v>
      </c>
    </row>
    <row r="1436" spans="1:28" x14ac:dyDescent="0.8">
      <c r="A1436">
        <v>1486</v>
      </c>
      <c r="B1436">
        <v>2333</v>
      </c>
      <c r="C1436" s="2">
        <v>44388</v>
      </c>
      <c r="D1436" t="s">
        <v>134</v>
      </c>
      <c r="E1436" t="s">
        <v>25</v>
      </c>
      <c r="F1436" t="s">
        <v>26</v>
      </c>
      <c r="G1436" t="s">
        <v>45</v>
      </c>
      <c r="H1436" t="s">
        <v>46</v>
      </c>
      <c r="I1436" t="s">
        <v>47</v>
      </c>
      <c r="J1436" t="s">
        <v>48</v>
      </c>
      <c r="K1436" t="s">
        <v>141</v>
      </c>
      <c r="L1436" t="s">
        <v>142</v>
      </c>
      <c r="M1436" t="s">
        <v>143</v>
      </c>
      <c r="N1436" t="s">
        <v>61</v>
      </c>
      <c r="O1436" t="s">
        <v>267</v>
      </c>
      <c r="P1436" t="s">
        <v>85</v>
      </c>
      <c r="Q1436" t="s">
        <v>244</v>
      </c>
      <c r="R1436" t="s">
        <v>245</v>
      </c>
      <c r="S1436" t="s">
        <v>268</v>
      </c>
      <c r="T1436" t="s">
        <v>269</v>
      </c>
      <c r="U1436" s="10" t="s">
        <v>1061</v>
      </c>
      <c r="V1436" s="10" t="s">
        <v>1076</v>
      </c>
      <c r="W1436" s="10" t="s">
        <v>1075</v>
      </c>
      <c r="X1436" s="10" t="s">
        <v>1059</v>
      </c>
      <c r="Y1436" t="s">
        <v>39</v>
      </c>
      <c r="Z1436" t="s">
        <v>40</v>
      </c>
      <c r="AA1436" t="s">
        <v>63</v>
      </c>
      <c r="AB1436" t="s">
        <v>270</v>
      </c>
    </row>
    <row r="1437" spans="1:28" x14ac:dyDescent="0.8">
      <c r="A1437">
        <v>173</v>
      </c>
      <c r="B1437">
        <v>1259</v>
      </c>
      <c r="C1437" s="2">
        <v>44388</v>
      </c>
      <c r="D1437" t="s">
        <v>235</v>
      </c>
      <c r="E1437" t="s">
        <v>125</v>
      </c>
      <c r="F1437" t="s">
        <v>26</v>
      </c>
      <c r="G1437" t="s">
        <v>27</v>
      </c>
      <c r="H1437" t="s">
        <v>114</v>
      </c>
      <c r="I1437" t="s">
        <v>115</v>
      </c>
      <c r="J1437" t="s">
        <v>185</v>
      </c>
      <c r="K1437" t="s">
        <v>186</v>
      </c>
      <c r="L1437" t="s">
        <v>187</v>
      </c>
      <c r="M1437" t="s">
        <v>188</v>
      </c>
      <c r="O1437" t="s">
        <v>271</v>
      </c>
      <c r="P1437" t="s">
        <v>85</v>
      </c>
      <c r="Q1437" t="s">
        <v>244</v>
      </c>
      <c r="R1437" t="s">
        <v>245</v>
      </c>
      <c r="S1437" t="s">
        <v>268</v>
      </c>
      <c r="T1437" t="s">
        <v>269</v>
      </c>
      <c r="U1437" s="10" t="s">
        <v>1061</v>
      </c>
      <c r="V1437" s="10" t="s">
        <v>1076</v>
      </c>
      <c r="W1437" s="10" t="s">
        <v>1075</v>
      </c>
      <c r="X1437" s="10" t="s">
        <v>1059</v>
      </c>
      <c r="Y1437" t="s">
        <v>39</v>
      </c>
      <c r="Z1437" t="s">
        <v>40</v>
      </c>
      <c r="AA1437" t="s">
        <v>53</v>
      </c>
    </row>
    <row r="1438" spans="1:28" x14ac:dyDescent="0.8">
      <c r="A1438">
        <v>867</v>
      </c>
      <c r="B1438">
        <v>947</v>
      </c>
      <c r="C1438" s="2">
        <v>44388</v>
      </c>
      <c r="D1438" t="s">
        <v>189</v>
      </c>
      <c r="E1438" t="s">
        <v>25</v>
      </c>
      <c r="F1438" t="s">
        <v>26</v>
      </c>
      <c r="G1438" t="s">
        <v>27</v>
      </c>
      <c r="H1438" t="s">
        <v>114</v>
      </c>
      <c r="I1438" t="s">
        <v>115</v>
      </c>
      <c r="J1438" t="s">
        <v>174</v>
      </c>
      <c r="K1438" t="s">
        <v>175</v>
      </c>
      <c r="L1438" t="s">
        <v>176</v>
      </c>
      <c r="M1438" t="s">
        <v>177</v>
      </c>
      <c r="O1438" t="s">
        <v>988</v>
      </c>
      <c r="P1438" t="s">
        <v>85</v>
      </c>
      <c r="Q1438" t="s">
        <v>35</v>
      </c>
      <c r="R1438" t="s">
        <v>989</v>
      </c>
      <c r="S1438" t="s">
        <v>990</v>
      </c>
      <c r="T1438" t="s">
        <v>991</v>
      </c>
      <c r="U1438" s="10" t="s">
        <v>1061</v>
      </c>
      <c r="V1438" s="10" t="s">
        <v>1076</v>
      </c>
      <c r="W1438" s="10" t="s">
        <v>1066</v>
      </c>
      <c r="X1438" s="10" t="s">
        <v>1059</v>
      </c>
      <c r="Y1438" t="s">
        <v>39</v>
      </c>
      <c r="Z1438" t="s">
        <v>40</v>
      </c>
      <c r="AA1438" t="s">
        <v>63</v>
      </c>
    </row>
    <row r="1439" spans="1:28" x14ac:dyDescent="0.8">
      <c r="A1439">
        <v>872</v>
      </c>
      <c r="B1439">
        <v>952</v>
      </c>
      <c r="C1439" s="2">
        <v>44388</v>
      </c>
      <c r="D1439" t="s">
        <v>189</v>
      </c>
      <c r="E1439" t="s">
        <v>63</v>
      </c>
      <c r="F1439" t="s">
        <v>26</v>
      </c>
      <c r="G1439" t="s">
        <v>45</v>
      </c>
      <c r="H1439" t="s">
        <v>68</v>
      </c>
      <c r="I1439" t="s">
        <v>69</v>
      </c>
      <c r="J1439" t="s">
        <v>70</v>
      </c>
      <c r="K1439" t="s">
        <v>71</v>
      </c>
      <c r="L1439" t="s">
        <v>72</v>
      </c>
      <c r="M1439" t="s">
        <v>73</v>
      </c>
      <c r="N1439" t="s">
        <v>61</v>
      </c>
      <c r="O1439" t="s">
        <v>988</v>
      </c>
      <c r="P1439" t="s">
        <v>85</v>
      </c>
      <c r="Q1439" t="s">
        <v>35</v>
      </c>
      <c r="R1439" t="s">
        <v>989</v>
      </c>
      <c r="S1439" t="s">
        <v>990</v>
      </c>
      <c r="T1439" t="s">
        <v>991</v>
      </c>
      <c r="U1439" s="10" t="s">
        <v>1061</v>
      </c>
      <c r="V1439" s="10" t="s">
        <v>1076</v>
      </c>
      <c r="W1439" s="10" t="s">
        <v>1066</v>
      </c>
      <c r="X1439" s="10" t="s">
        <v>1059</v>
      </c>
      <c r="Y1439" t="s">
        <v>39</v>
      </c>
      <c r="Z1439" t="s">
        <v>40</v>
      </c>
      <c r="AA1439" t="s">
        <v>63</v>
      </c>
    </row>
    <row r="1440" spans="1:28" x14ac:dyDescent="0.8">
      <c r="A1440">
        <v>978</v>
      </c>
      <c r="B1440">
        <v>1286</v>
      </c>
      <c r="C1440" s="2">
        <v>44385</v>
      </c>
      <c r="D1440" t="s">
        <v>203</v>
      </c>
      <c r="E1440" t="s">
        <v>25</v>
      </c>
      <c r="F1440" t="s">
        <v>26</v>
      </c>
      <c r="G1440" t="s">
        <v>27</v>
      </c>
      <c r="H1440" t="s">
        <v>114</v>
      </c>
      <c r="I1440" t="s">
        <v>115</v>
      </c>
      <c r="J1440" t="s">
        <v>116</v>
      </c>
      <c r="K1440" t="s">
        <v>117</v>
      </c>
      <c r="L1440" t="s">
        <v>195</v>
      </c>
      <c r="M1440" t="s">
        <v>196</v>
      </c>
      <c r="O1440" t="s">
        <v>988</v>
      </c>
      <c r="P1440" t="s">
        <v>85</v>
      </c>
      <c r="Q1440" t="s">
        <v>35</v>
      </c>
      <c r="R1440" t="s">
        <v>989</v>
      </c>
      <c r="S1440" t="s">
        <v>990</v>
      </c>
      <c r="T1440" t="s">
        <v>991</v>
      </c>
      <c r="U1440" s="10" t="s">
        <v>1061</v>
      </c>
      <c r="V1440" s="10" t="s">
        <v>1076</v>
      </c>
      <c r="W1440" s="10" t="s">
        <v>1066</v>
      </c>
      <c r="X1440" s="10" t="s">
        <v>1059</v>
      </c>
      <c r="Y1440" t="s">
        <v>39</v>
      </c>
      <c r="Z1440" t="s">
        <v>40</v>
      </c>
      <c r="AA1440" t="s">
        <v>63</v>
      </c>
    </row>
    <row r="1441" spans="1:28" x14ac:dyDescent="0.8">
      <c r="A1441">
        <v>1151</v>
      </c>
      <c r="B1441">
        <v>1648</v>
      </c>
      <c r="C1441" s="2">
        <v>44384</v>
      </c>
      <c r="D1441" t="s">
        <v>384</v>
      </c>
      <c r="E1441" t="s">
        <v>25</v>
      </c>
      <c r="F1441" t="s">
        <v>26</v>
      </c>
      <c r="G1441" t="s">
        <v>27</v>
      </c>
      <c r="H1441" t="s">
        <v>28</v>
      </c>
      <c r="I1441" t="s">
        <v>109</v>
      </c>
      <c r="J1441" t="s">
        <v>110</v>
      </c>
      <c r="K1441" t="s">
        <v>111</v>
      </c>
      <c r="L1441" t="s">
        <v>112</v>
      </c>
      <c r="M1441" t="s">
        <v>113</v>
      </c>
      <c r="N1441" t="s">
        <v>52</v>
      </c>
      <c r="O1441" t="s">
        <v>988</v>
      </c>
      <c r="P1441" t="s">
        <v>85</v>
      </c>
      <c r="Q1441" t="s">
        <v>35</v>
      </c>
      <c r="R1441" t="s">
        <v>989</v>
      </c>
      <c r="S1441" t="s">
        <v>990</v>
      </c>
      <c r="T1441" t="s">
        <v>991</v>
      </c>
      <c r="U1441" s="10" t="s">
        <v>1061</v>
      </c>
      <c r="V1441" s="10" t="s">
        <v>1076</v>
      </c>
      <c r="W1441" s="10" t="s">
        <v>1066</v>
      </c>
      <c r="X1441" s="10" t="s">
        <v>1059</v>
      </c>
      <c r="Y1441" t="s">
        <v>39</v>
      </c>
      <c r="Z1441" t="s">
        <v>202</v>
      </c>
      <c r="AA1441" t="s">
        <v>63</v>
      </c>
    </row>
    <row r="1442" spans="1:28" x14ac:dyDescent="0.8">
      <c r="A1442">
        <v>424</v>
      </c>
      <c r="B1442">
        <v>1477</v>
      </c>
      <c r="C1442" s="2">
        <v>44384</v>
      </c>
      <c r="D1442" t="s">
        <v>384</v>
      </c>
      <c r="E1442" t="s">
        <v>125</v>
      </c>
      <c r="F1442" t="s">
        <v>26</v>
      </c>
      <c r="G1442" t="s">
        <v>27</v>
      </c>
      <c r="H1442" t="s">
        <v>114</v>
      </c>
      <c r="I1442" t="s">
        <v>115</v>
      </c>
      <c r="J1442" t="s">
        <v>185</v>
      </c>
      <c r="K1442" t="s">
        <v>186</v>
      </c>
      <c r="L1442" t="s">
        <v>992</v>
      </c>
      <c r="M1442" t="s">
        <v>993</v>
      </c>
      <c r="O1442" t="s">
        <v>988</v>
      </c>
      <c r="P1442" t="s">
        <v>85</v>
      </c>
      <c r="Q1442" t="s">
        <v>35</v>
      </c>
      <c r="R1442" t="s">
        <v>989</v>
      </c>
      <c r="S1442" t="s">
        <v>990</v>
      </c>
      <c r="T1442" t="s">
        <v>991</v>
      </c>
      <c r="U1442" s="10" t="s">
        <v>1061</v>
      </c>
      <c r="V1442" s="10" t="s">
        <v>1076</v>
      </c>
      <c r="W1442" s="10" t="s">
        <v>1066</v>
      </c>
      <c r="X1442" s="10" t="s">
        <v>1059</v>
      </c>
      <c r="Y1442" t="s">
        <v>39</v>
      </c>
      <c r="Z1442" t="s">
        <v>40</v>
      </c>
      <c r="AA1442" t="s">
        <v>53</v>
      </c>
    </row>
    <row r="1443" spans="1:28" x14ac:dyDescent="0.8">
      <c r="A1443">
        <v>1139</v>
      </c>
      <c r="B1443">
        <v>1586</v>
      </c>
      <c r="C1443" s="2">
        <v>44384</v>
      </c>
      <c r="D1443" t="s">
        <v>384</v>
      </c>
      <c r="E1443" t="s">
        <v>25</v>
      </c>
      <c r="F1443" t="s">
        <v>26</v>
      </c>
      <c r="G1443" t="s">
        <v>45</v>
      </c>
      <c r="H1443" t="s">
        <v>68</v>
      </c>
      <c r="I1443" t="s">
        <v>69</v>
      </c>
      <c r="J1443" t="s">
        <v>70</v>
      </c>
      <c r="K1443" t="s">
        <v>71</v>
      </c>
      <c r="L1443" t="s">
        <v>72</v>
      </c>
      <c r="M1443" t="s">
        <v>73</v>
      </c>
      <c r="N1443" t="s">
        <v>61</v>
      </c>
      <c r="O1443" t="s">
        <v>988</v>
      </c>
      <c r="P1443" t="s">
        <v>85</v>
      </c>
      <c r="Q1443" t="s">
        <v>35</v>
      </c>
      <c r="R1443" t="s">
        <v>989</v>
      </c>
      <c r="S1443" t="s">
        <v>990</v>
      </c>
      <c r="T1443" t="s">
        <v>991</v>
      </c>
      <c r="U1443" s="10" t="s">
        <v>1061</v>
      </c>
      <c r="V1443" s="10" t="s">
        <v>1076</v>
      </c>
      <c r="W1443" s="10" t="s">
        <v>1066</v>
      </c>
      <c r="X1443" s="10" t="s">
        <v>1059</v>
      </c>
      <c r="Y1443" t="s">
        <v>39</v>
      </c>
      <c r="Z1443" t="s">
        <v>40</v>
      </c>
      <c r="AA1443" t="s">
        <v>63</v>
      </c>
    </row>
    <row r="1444" spans="1:28" x14ac:dyDescent="0.8">
      <c r="A1444">
        <v>242</v>
      </c>
      <c r="B1444">
        <v>1217</v>
      </c>
      <c r="C1444" s="2">
        <v>44384</v>
      </c>
      <c r="D1444" t="s">
        <v>151</v>
      </c>
      <c r="E1444" t="s">
        <v>25</v>
      </c>
      <c r="F1444" t="s">
        <v>26</v>
      </c>
      <c r="G1444" t="s">
        <v>27</v>
      </c>
      <c r="H1444" t="s">
        <v>114</v>
      </c>
      <c r="I1444" t="s">
        <v>115</v>
      </c>
      <c r="J1444" t="s">
        <v>994</v>
      </c>
      <c r="K1444" t="s">
        <v>995</v>
      </c>
      <c r="L1444" t="s">
        <v>112</v>
      </c>
      <c r="M1444" t="s">
        <v>996</v>
      </c>
      <c r="N1444" t="s">
        <v>61</v>
      </c>
      <c r="O1444" t="s">
        <v>988</v>
      </c>
      <c r="P1444" t="s">
        <v>85</v>
      </c>
      <c r="Q1444" t="s">
        <v>35</v>
      </c>
      <c r="R1444" t="s">
        <v>989</v>
      </c>
      <c r="S1444" t="s">
        <v>990</v>
      </c>
      <c r="T1444" t="s">
        <v>991</v>
      </c>
      <c r="U1444" s="10" t="s">
        <v>1061</v>
      </c>
      <c r="V1444" s="10" t="s">
        <v>1076</v>
      </c>
      <c r="W1444" s="10" t="s">
        <v>1066</v>
      </c>
      <c r="X1444" s="10" t="s">
        <v>1059</v>
      </c>
      <c r="Y1444" t="s">
        <v>39</v>
      </c>
      <c r="Z1444" t="s">
        <v>40</v>
      </c>
      <c r="AA1444" t="s">
        <v>53</v>
      </c>
    </row>
    <row r="1445" spans="1:28" x14ac:dyDescent="0.8">
      <c r="A1445">
        <v>558</v>
      </c>
      <c r="B1445">
        <v>189</v>
      </c>
      <c r="C1445" s="2">
        <v>44388</v>
      </c>
      <c r="D1445" t="s">
        <v>124</v>
      </c>
      <c r="E1445" t="s">
        <v>25</v>
      </c>
      <c r="F1445" t="s">
        <v>26</v>
      </c>
      <c r="G1445" t="s">
        <v>27</v>
      </c>
      <c r="H1445" t="s">
        <v>114</v>
      </c>
      <c r="I1445" t="s">
        <v>115</v>
      </c>
      <c r="J1445" t="s">
        <v>120</v>
      </c>
      <c r="K1445" t="s">
        <v>121</v>
      </c>
      <c r="L1445" t="s">
        <v>122</v>
      </c>
      <c r="M1445" t="s">
        <v>123</v>
      </c>
      <c r="O1445" t="s">
        <v>988</v>
      </c>
      <c r="P1445" t="s">
        <v>85</v>
      </c>
      <c r="Q1445" t="s">
        <v>35</v>
      </c>
      <c r="R1445" t="s">
        <v>989</v>
      </c>
      <c r="S1445" t="s">
        <v>990</v>
      </c>
      <c r="T1445" t="s">
        <v>991</v>
      </c>
      <c r="U1445" s="10" t="s">
        <v>1061</v>
      </c>
      <c r="V1445" s="10" t="s">
        <v>1076</v>
      </c>
      <c r="W1445" s="10" t="s">
        <v>1066</v>
      </c>
      <c r="X1445" s="10" t="s">
        <v>1059</v>
      </c>
      <c r="Y1445" t="s">
        <v>39</v>
      </c>
      <c r="Z1445" t="s">
        <v>40</v>
      </c>
      <c r="AA1445" t="s">
        <v>63</v>
      </c>
    </row>
    <row r="1446" spans="1:28" x14ac:dyDescent="0.8">
      <c r="A1446">
        <v>963</v>
      </c>
      <c r="B1446">
        <v>1271</v>
      </c>
      <c r="C1446" s="2">
        <v>44384</v>
      </c>
      <c r="D1446" t="s">
        <v>242</v>
      </c>
      <c r="E1446" t="s">
        <v>25</v>
      </c>
      <c r="F1446" t="s">
        <v>26</v>
      </c>
      <c r="G1446" t="s">
        <v>27</v>
      </c>
      <c r="H1446" t="s">
        <v>114</v>
      </c>
      <c r="I1446" t="s">
        <v>115</v>
      </c>
      <c r="J1446" t="s">
        <v>174</v>
      </c>
      <c r="K1446" t="s">
        <v>175</v>
      </c>
      <c r="L1446" t="s">
        <v>176</v>
      </c>
      <c r="M1446" t="s">
        <v>177</v>
      </c>
      <c r="O1446" t="s">
        <v>988</v>
      </c>
      <c r="P1446" t="s">
        <v>85</v>
      </c>
      <c r="Q1446" t="s">
        <v>35</v>
      </c>
      <c r="R1446" t="s">
        <v>989</v>
      </c>
      <c r="S1446" t="s">
        <v>990</v>
      </c>
      <c r="T1446" t="s">
        <v>991</v>
      </c>
      <c r="U1446" s="10" t="s">
        <v>1061</v>
      </c>
      <c r="V1446" s="10" t="s">
        <v>1076</v>
      </c>
      <c r="W1446" s="10" t="s">
        <v>1066</v>
      </c>
      <c r="X1446" s="10" t="s">
        <v>1059</v>
      </c>
      <c r="Y1446" t="s">
        <v>39</v>
      </c>
      <c r="Z1446" t="s">
        <v>40</v>
      </c>
      <c r="AA1446" t="s">
        <v>63</v>
      </c>
      <c r="AB1446" t="s">
        <v>997</v>
      </c>
    </row>
    <row r="1447" spans="1:28" x14ac:dyDescent="0.8">
      <c r="A1447">
        <v>962</v>
      </c>
      <c r="B1447">
        <v>1270</v>
      </c>
      <c r="C1447" s="2">
        <v>44384</v>
      </c>
      <c r="D1447" t="s">
        <v>242</v>
      </c>
      <c r="E1447" t="s">
        <v>25</v>
      </c>
      <c r="F1447" t="s">
        <v>26</v>
      </c>
      <c r="G1447" t="s">
        <v>27</v>
      </c>
      <c r="H1447" t="s">
        <v>114</v>
      </c>
      <c r="I1447" t="s">
        <v>115</v>
      </c>
      <c r="J1447" t="s">
        <v>174</v>
      </c>
      <c r="K1447" t="s">
        <v>175</v>
      </c>
      <c r="L1447" t="s">
        <v>176</v>
      </c>
      <c r="M1447" t="s">
        <v>177</v>
      </c>
      <c r="O1447" t="s">
        <v>988</v>
      </c>
      <c r="P1447" t="s">
        <v>85</v>
      </c>
      <c r="Q1447" t="s">
        <v>35</v>
      </c>
      <c r="R1447" t="s">
        <v>989</v>
      </c>
      <c r="S1447" t="s">
        <v>990</v>
      </c>
      <c r="T1447" t="s">
        <v>991</v>
      </c>
      <c r="U1447" s="10" t="s">
        <v>1061</v>
      </c>
      <c r="V1447" s="10" t="s">
        <v>1076</v>
      </c>
      <c r="W1447" s="10" t="s">
        <v>1066</v>
      </c>
      <c r="X1447" s="10" t="s">
        <v>1059</v>
      </c>
      <c r="Y1447" t="s">
        <v>39</v>
      </c>
      <c r="Z1447" t="s">
        <v>40</v>
      </c>
      <c r="AA1447" t="s">
        <v>63</v>
      </c>
      <c r="AB1447" t="s">
        <v>997</v>
      </c>
    </row>
    <row r="1448" spans="1:28" x14ac:dyDescent="0.8">
      <c r="A1448">
        <v>219</v>
      </c>
      <c r="B1448">
        <v>1045</v>
      </c>
      <c r="C1448" s="2">
        <v>44388</v>
      </c>
      <c r="D1448" t="s">
        <v>328</v>
      </c>
      <c r="E1448" t="s">
        <v>25</v>
      </c>
      <c r="F1448" t="s">
        <v>26</v>
      </c>
      <c r="G1448" t="s">
        <v>27</v>
      </c>
      <c r="H1448" t="s">
        <v>114</v>
      </c>
      <c r="I1448" t="s">
        <v>115</v>
      </c>
      <c r="J1448" t="s">
        <v>116</v>
      </c>
      <c r="K1448" t="s">
        <v>117</v>
      </c>
      <c r="L1448" t="s">
        <v>195</v>
      </c>
      <c r="M1448" t="s">
        <v>196</v>
      </c>
      <c r="O1448" t="s">
        <v>966</v>
      </c>
      <c r="P1448" t="s">
        <v>326</v>
      </c>
      <c r="Q1448" t="s">
        <v>35</v>
      </c>
      <c r="R1448" t="s">
        <v>967</v>
      </c>
      <c r="S1448" t="s">
        <v>131</v>
      </c>
      <c r="T1448" t="s">
        <v>968</v>
      </c>
      <c r="U1448" s="10" t="s">
        <v>1064</v>
      </c>
      <c r="V1448" s="10" t="s">
        <v>1076</v>
      </c>
      <c r="W1448" s="10" t="s">
        <v>1075</v>
      </c>
      <c r="X1448" s="10" t="s">
        <v>1059</v>
      </c>
      <c r="Y1448" t="s">
        <v>39</v>
      </c>
      <c r="Z1448" t="s">
        <v>40</v>
      </c>
      <c r="AA1448" t="s">
        <v>53</v>
      </c>
    </row>
    <row r="1449" spans="1:28" x14ac:dyDescent="0.8">
      <c r="A1449">
        <v>1696</v>
      </c>
      <c r="B1449">
        <v>575</v>
      </c>
      <c r="C1449" s="2">
        <v>44388</v>
      </c>
      <c r="D1449" t="s">
        <v>328</v>
      </c>
      <c r="E1449" t="s">
        <v>63</v>
      </c>
      <c r="F1449" t="s">
        <v>26</v>
      </c>
      <c r="G1449" t="s">
        <v>45</v>
      </c>
      <c r="H1449" t="s">
        <v>46</v>
      </c>
      <c r="I1449" t="s">
        <v>47</v>
      </c>
      <c r="J1449" t="s">
        <v>48</v>
      </c>
      <c r="K1449" t="s">
        <v>141</v>
      </c>
      <c r="L1449" t="s">
        <v>112</v>
      </c>
      <c r="M1449" t="s">
        <v>382</v>
      </c>
      <c r="N1449" t="s">
        <v>61</v>
      </c>
      <c r="O1449" t="s">
        <v>966</v>
      </c>
      <c r="P1449" t="s">
        <v>326</v>
      </c>
      <c r="Q1449" t="s">
        <v>35</v>
      </c>
      <c r="R1449" t="s">
        <v>967</v>
      </c>
      <c r="S1449" t="s">
        <v>131</v>
      </c>
      <c r="T1449" t="s">
        <v>968</v>
      </c>
      <c r="U1449" s="10" t="s">
        <v>1064</v>
      </c>
      <c r="V1449" s="10" t="s">
        <v>1076</v>
      </c>
      <c r="W1449" s="10" t="s">
        <v>1075</v>
      </c>
      <c r="X1449" s="10" t="s">
        <v>1059</v>
      </c>
      <c r="Y1449" t="s">
        <v>39</v>
      </c>
      <c r="Z1449" t="s">
        <v>40</v>
      </c>
      <c r="AA1449" t="s">
        <v>41</v>
      </c>
    </row>
    <row r="1450" spans="1:28" x14ac:dyDescent="0.8">
      <c r="A1450">
        <v>1018</v>
      </c>
      <c r="B1450">
        <v>1374</v>
      </c>
      <c r="C1450" s="2">
        <v>44385</v>
      </c>
      <c r="D1450" t="s">
        <v>203</v>
      </c>
      <c r="E1450" t="s">
        <v>63</v>
      </c>
      <c r="F1450" t="s">
        <v>26</v>
      </c>
      <c r="G1450" t="s">
        <v>45</v>
      </c>
      <c r="H1450" t="s">
        <v>46</v>
      </c>
      <c r="I1450" t="s">
        <v>47</v>
      </c>
      <c r="J1450" t="s">
        <v>48</v>
      </c>
      <c r="K1450" t="s">
        <v>141</v>
      </c>
      <c r="L1450" t="s">
        <v>112</v>
      </c>
      <c r="M1450" t="s">
        <v>382</v>
      </c>
      <c r="N1450" t="s">
        <v>61</v>
      </c>
      <c r="O1450" t="s">
        <v>966</v>
      </c>
      <c r="P1450" t="s">
        <v>326</v>
      </c>
      <c r="Q1450" t="s">
        <v>35</v>
      </c>
      <c r="R1450" t="s">
        <v>967</v>
      </c>
      <c r="S1450" t="s">
        <v>131</v>
      </c>
      <c r="T1450" t="s">
        <v>968</v>
      </c>
      <c r="U1450" s="10" t="s">
        <v>1064</v>
      </c>
      <c r="V1450" s="10" t="s">
        <v>1076</v>
      </c>
      <c r="W1450" s="10" t="s">
        <v>1075</v>
      </c>
      <c r="X1450" s="10" t="s">
        <v>1059</v>
      </c>
      <c r="Y1450" t="s">
        <v>39</v>
      </c>
      <c r="Z1450" t="s">
        <v>40</v>
      </c>
      <c r="AA1450" t="s">
        <v>63</v>
      </c>
    </row>
    <row r="1451" spans="1:28" x14ac:dyDescent="0.8">
      <c r="A1451">
        <v>519</v>
      </c>
      <c r="B1451">
        <v>59</v>
      </c>
      <c r="C1451" s="2">
        <v>44386</v>
      </c>
      <c r="D1451" t="s">
        <v>93</v>
      </c>
      <c r="E1451" t="s">
        <v>25</v>
      </c>
      <c r="F1451" t="s">
        <v>26</v>
      </c>
      <c r="G1451" t="s">
        <v>94</v>
      </c>
      <c r="H1451" t="s">
        <v>95</v>
      </c>
      <c r="I1451" t="s">
        <v>96</v>
      </c>
      <c r="J1451" t="s">
        <v>404</v>
      </c>
      <c r="K1451" t="s">
        <v>405</v>
      </c>
      <c r="L1451" t="s">
        <v>406</v>
      </c>
      <c r="M1451" t="s">
        <v>407</v>
      </c>
      <c r="N1451" t="s">
        <v>395</v>
      </c>
      <c r="O1451" t="s">
        <v>408</v>
      </c>
      <c r="P1451" t="s">
        <v>34</v>
      </c>
      <c r="Q1451" t="s">
        <v>35</v>
      </c>
      <c r="R1451" t="s">
        <v>409</v>
      </c>
      <c r="S1451" t="s">
        <v>410</v>
      </c>
      <c r="T1451" t="s">
        <v>411</v>
      </c>
      <c r="U1451" s="10" t="s">
        <v>1055</v>
      </c>
      <c r="V1451" s="10" t="s">
        <v>1082</v>
      </c>
      <c r="W1451" s="10" t="s">
        <v>1141</v>
      </c>
      <c r="X1451" s="10" t="s">
        <v>1068</v>
      </c>
      <c r="Y1451" t="s">
        <v>39</v>
      </c>
      <c r="Z1451" t="s">
        <v>40</v>
      </c>
      <c r="AA1451" t="s">
        <v>63</v>
      </c>
    </row>
  </sheetData>
  <sortState xmlns:xlrd2="http://schemas.microsoft.com/office/spreadsheetml/2017/richdata2" ref="A2:AD1453">
    <sortCondition ref="V2:V1453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AD9E-A46E-4F2F-B013-00669C82490A}">
  <dimension ref="A1:U15"/>
  <sheetViews>
    <sheetView tabSelected="1" zoomScale="90" workbookViewId="0">
      <selection activeCell="T2" sqref="T2"/>
    </sheetView>
  </sheetViews>
  <sheetFormatPr defaultRowHeight="16" x14ac:dyDescent="0.8"/>
  <cols>
    <col min="1" max="1" width="15.7890625" bestFit="1" customWidth="1"/>
    <col min="2" max="2" width="15.0390625" bestFit="1" customWidth="1"/>
    <col min="3" max="3" width="11.08203125" bestFit="1" customWidth="1"/>
    <col min="4" max="4" width="11.70703125" bestFit="1" customWidth="1"/>
    <col min="5" max="5" width="12.2890625" bestFit="1" customWidth="1"/>
    <col min="6" max="6" width="8.70703125" bestFit="1" customWidth="1"/>
    <col min="7" max="7" width="11.0390625" bestFit="1" customWidth="1"/>
    <col min="8" max="8" width="12.95703125" bestFit="1" customWidth="1"/>
    <col min="9" max="9" width="9" bestFit="1" customWidth="1"/>
    <col min="10" max="10" width="9.70703125" bestFit="1" customWidth="1"/>
    <col min="11" max="11" width="10.2890625" bestFit="1" customWidth="1"/>
    <col min="12" max="12" width="8.5" bestFit="1" customWidth="1"/>
    <col min="13" max="13" width="11.625" bestFit="1" customWidth="1"/>
    <col min="14" max="14" width="13.95703125" bestFit="1" customWidth="1"/>
    <col min="15" max="15" width="6.5390625" bestFit="1" customWidth="1"/>
    <col min="16" max="16" width="10.1640625" bestFit="1" customWidth="1"/>
    <col min="17" max="17" width="9.0390625" bestFit="1" customWidth="1"/>
    <col min="18" max="18" width="11.83203125" bestFit="1" customWidth="1"/>
    <col min="19" max="19" width="16.95703125" bestFit="1" customWidth="1"/>
    <col min="20" max="20" width="12.5390625" bestFit="1" customWidth="1"/>
    <col min="21" max="21" width="10.5390625" bestFit="1" customWidth="1"/>
    <col min="22" max="22" width="10.58203125" bestFit="1" customWidth="1"/>
    <col min="23" max="23" width="9.9140625" bestFit="1" customWidth="1"/>
    <col min="24" max="24" width="11.7890625" bestFit="1" customWidth="1"/>
    <col min="25" max="25" width="7.5390625" bestFit="1" customWidth="1"/>
    <col min="26" max="26" width="15.5" bestFit="1" customWidth="1"/>
    <col min="27" max="27" width="10.5390625" bestFit="1" customWidth="1"/>
    <col min="28" max="28" width="11.7890625" bestFit="1" customWidth="1"/>
    <col min="29" max="29" width="16.25" bestFit="1" customWidth="1"/>
    <col min="30" max="30" width="16.1640625" bestFit="1" customWidth="1"/>
    <col min="31" max="31" width="16.08203125" bestFit="1" customWidth="1"/>
    <col min="32" max="32" width="16.2890625" bestFit="1" customWidth="1"/>
    <col min="33" max="33" width="16" bestFit="1" customWidth="1"/>
    <col min="34" max="34" width="15.95703125" bestFit="1" customWidth="1"/>
    <col min="35" max="35" width="16.33203125" bestFit="1" customWidth="1"/>
    <col min="36" max="36" width="16.2890625" bestFit="1" customWidth="1"/>
    <col min="37" max="37" width="16.125" bestFit="1" customWidth="1"/>
    <col min="38" max="38" width="15.875" bestFit="1" customWidth="1"/>
    <col min="39" max="39" width="18.75" bestFit="1" customWidth="1"/>
    <col min="40" max="40" width="21.0390625" bestFit="1" customWidth="1"/>
    <col min="41" max="41" width="17.08203125" bestFit="1" customWidth="1"/>
    <col min="42" max="42" width="18.25" bestFit="1" customWidth="1"/>
    <col min="43" max="43" width="13.83203125" bestFit="1" customWidth="1"/>
    <col min="44" max="44" width="13.75" bestFit="1" customWidth="1"/>
    <col min="45" max="45" width="19.125" bestFit="1" customWidth="1"/>
    <col min="46" max="46" width="14.5390625" bestFit="1" customWidth="1"/>
    <col min="47" max="47" width="14.45703125" bestFit="1" customWidth="1"/>
    <col min="48" max="48" width="14.375" bestFit="1" customWidth="1"/>
    <col min="49" max="49" width="17.20703125" bestFit="1" customWidth="1"/>
    <col min="50" max="50" width="20.4140625" bestFit="1" customWidth="1"/>
    <col min="51" max="51" width="16.08203125" bestFit="1" customWidth="1"/>
    <col min="52" max="52" width="19.5" bestFit="1" customWidth="1"/>
    <col min="53" max="53" width="16.95703125" bestFit="1" customWidth="1"/>
    <col min="54" max="54" width="12.5390625" bestFit="1" customWidth="1"/>
    <col min="55" max="55" width="10.5390625" bestFit="1" customWidth="1"/>
    <col min="56" max="56" width="14.83203125" bestFit="1" customWidth="1"/>
    <col min="57" max="57" width="13.33203125" bestFit="1" customWidth="1"/>
    <col min="58" max="58" width="16.2890625" bestFit="1" customWidth="1"/>
    <col min="59" max="59" width="12.5" bestFit="1" customWidth="1"/>
    <col min="60" max="60" width="12.4140625" bestFit="1" customWidth="1"/>
    <col min="61" max="61" width="11.5" bestFit="1" customWidth="1"/>
    <col min="62" max="62" width="15.45703125" bestFit="1" customWidth="1"/>
    <col min="63" max="63" width="11.75" bestFit="1" customWidth="1"/>
    <col min="64" max="64" width="11.6640625" bestFit="1" customWidth="1"/>
    <col min="65" max="65" width="11.58203125" bestFit="1" customWidth="1"/>
    <col min="66" max="66" width="11.7890625" bestFit="1" customWidth="1"/>
    <col min="67" max="67" width="11.5" bestFit="1" customWidth="1"/>
    <col min="68" max="68" width="11.7890625" bestFit="1" customWidth="1"/>
    <col min="69" max="69" width="16.25" bestFit="1" customWidth="1"/>
    <col min="70" max="70" width="16.1640625" bestFit="1" customWidth="1"/>
    <col min="71" max="71" width="16.08203125" bestFit="1" customWidth="1"/>
    <col min="72" max="72" width="16.2890625" bestFit="1" customWidth="1"/>
    <col min="73" max="73" width="16" bestFit="1" customWidth="1"/>
    <col min="74" max="74" width="15.95703125" bestFit="1" customWidth="1"/>
    <col min="75" max="75" width="16.33203125" bestFit="1" customWidth="1"/>
    <col min="76" max="76" width="16.2890625" bestFit="1" customWidth="1"/>
    <col min="77" max="77" width="16.125" bestFit="1" customWidth="1"/>
    <col min="78" max="78" width="15.875" bestFit="1" customWidth="1"/>
    <col min="79" max="79" width="18.75" bestFit="1" customWidth="1"/>
    <col min="80" max="80" width="21.0390625" bestFit="1" customWidth="1"/>
    <col min="81" max="81" width="17.08203125" bestFit="1" customWidth="1"/>
    <col min="82" max="82" width="18.25" bestFit="1" customWidth="1"/>
    <col min="83" max="83" width="13.83203125" bestFit="1" customWidth="1"/>
    <col min="84" max="84" width="13.75" bestFit="1" customWidth="1"/>
    <col min="85" max="85" width="19.125" bestFit="1" customWidth="1"/>
    <col min="86" max="86" width="14.5390625" bestFit="1" customWidth="1"/>
    <col min="87" max="87" width="14.45703125" bestFit="1" customWidth="1"/>
    <col min="88" max="88" width="14.375" bestFit="1" customWidth="1"/>
    <col min="89" max="89" width="17.20703125" bestFit="1" customWidth="1"/>
    <col min="90" max="90" width="20.4140625" bestFit="1" customWidth="1"/>
    <col min="91" max="91" width="16.08203125" bestFit="1" customWidth="1"/>
    <col min="92" max="92" width="19.5" bestFit="1" customWidth="1"/>
    <col min="93" max="93" width="16.95703125" bestFit="1" customWidth="1"/>
    <col min="94" max="94" width="12.5390625" bestFit="1" customWidth="1"/>
    <col min="95" max="95" width="10.5390625" bestFit="1" customWidth="1"/>
    <col min="96" max="96" width="18.83203125" bestFit="1" customWidth="1"/>
    <col min="97" max="97" width="15.5" bestFit="1" customWidth="1"/>
    <col min="98" max="98" width="12.6640625" bestFit="1" customWidth="1"/>
    <col min="99" max="99" width="12.5390625" bestFit="1" customWidth="1"/>
    <col min="100" max="100" width="10.45703125" bestFit="1" customWidth="1"/>
    <col min="101" max="101" width="18.95703125" bestFit="1" customWidth="1"/>
    <col min="102" max="102" width="16.45703125" bestFit="1" customWidth="1"/>
    <col min="103" max="103" width="14.83203125" bestFit="1" customWidth="1"/>
    <col min="104" max="104" width="15.5" bestFit="1" customWidth="1"/>
    <col min="105" max="105" width="10.5390625" bestFit="1" customWidth="1"/>
  </cols>
  <sheetData>
    <row r="1" spans="1:21" x14ac:dyDescent="0.8">
      <c r="A1" s="18" t="s">
        <v>1140</v>
      </c>
      <c r="B1" s="18" t="s">
        <v>1139</v>
      </c>
    </row>
    <row r="2" spans="1:21" x14ac:dyDescent="0.8">
      <c r="B2" t="s">
        <v>27</v>
      </c>
      <c r="M2" t="s">
        <v>1148</v>
      </c>
      <c r="N2" t="s">
        <v>45</v>
      </c>
      <c r="S2" t="s">
        <v>1129</v>
      </c>
      <c r="T2" t="s">
        <v>94</v>
      </c>
      <c r="U2" t="s">
        <v>1054</v>
      </c>
    </row>
    <row r="3" spans="1:21" x14ac:dyDescent="0.8">
      <c r="A3" s="18" t="s">
        <v>1052</v>
      </c>
      <c r="B3" t="s">
        <v>214</v>
      </c>
      <c r="C3" t="s">
        <v>374</v>
      </c>
      <c r="D3" t="s">
        <v>109</v>
      </c>
      <c r="E3" t="s">
        <v>496</v>
      </c>
      <c r="F3" t="s">
        <v>223</v>
      </c>
      <c r="G3" t="s">
        <v>378</v>
      </c>
      <c r="H3" t="s">
        <v>493</v>
      </c>
      <c r="I3" t="s">
        <v>115</v>
      </c>
      <c r="J3" t="s">
        <v>29</v>
      </c>
      <c r="K3" t="s">
        <v>983</v>
      </c>
      <c r="L3" t="s">
        <v>588</v>
      </c>
      <c r="N3" t="s">
        <v>749</v>
      </c>
      <c r="O3" t="s">
        <v>69</v>
      </c>
      <c r="P3" t="s">
        <v>56</v>
      </c>
      <c r="Q3" t="s">
        <v>47</v>
      </c>
      <c r="R3" t="s">
        <v>249</v>
      </c>
    </row>
    <row r="4" spans="1:21" x14ac:dyDescent="0.8">
      <c r="A4" s="4" t="s">
        <v>1059</v>
      </c>
      <c r="B4" s="21">
        <v>9</v>
      </c>
      <c r="C4" s="21">
        <v>1</v>
      </c>
      <c r="D4" s="21">
        <v>32</v>
      </c>
      <c r="E4" s="21">
        <v>1</v>
      </c>
      <c r="F4" s="21">
        <v>6</v>
      </c>
      <c r="G4" s="21"/>
      <c r="H4" s="21"/>
      <c r="I4" s="21">
        <v>97</v>
      </c>
      <c r="J4" s="21">
        <v>16</v>
      </c>
      <c r="K4" s="21"/>
      <c r="L4" s="21">
        <v>1</v>
      </c>
      <c r="M4" s="21">
        <v>163</v>
      </c>
      <c r="N4" s="21"/>
      <c r="O4" s="21">
        <v>343</v>
      </c>
      <c r="P4" s="21">
        <v>43</v>
      </c>
      <c r="Q4" s="21">
        <v>164</v>
      </c>
      <c r="R4" s="21">
        <v>13</v>
      </c>
      <c r="S4" s="21">
        <v>563</v>
      </c>
      <c r="T4" s="21">
        <v>22</v>
      </c>
      <c r="U4" s="21">
        <v>748</v>
      </c>
    </row>
    <row r="5" spans="1:21" x14ac:dyDescent="0.8">
      <c r="A5" s="4" t="s">
        <v>1097</v>
      </c>
      <c r="B5" s="21"/>
      <c r="C5" s="21"/>
      <c r="D5" s="21">
        <v>1</v>
      </c>
      <c r="E5" s="21"/>
      <c r="F5" s="21"/>
      <c r="G5" s="21"/>
      <c r="H5" s="21"/>
      <c r="I5" s="21">
        <v>1</v>
      </c>
      <c r="J5" s="21"/>
      <c r="K5" s="21"/>
      <c r="L5" s="21"/>
      <c r="M5" s="21">
        <v>2</v>
      </c>
      <c r="N5" s="21"/>
      <c r="O5" s="21">
        <v>7</v>
      </c>
      <c r="P5" s="21"/>
      <c r="Q5" s="21"/>
      <c r="R5" s="21"/>
      <c r="S5" s="21">
        <v>7</v>
      </c>
      <c r="T5" s="21"/>
      <c r="U5" s="21">
        <v>9</v>
      </c>
    </row>
    <row r="6" spans="1:21" x14ac:dyDescent="0.8">
      <c r="A6" s="4" t="s">
        <v>1080</v>
      </c>
      <c r="B6" s="21">
        <v>1</v>
      </c>
      <c r="C6" s="21"/>
      <c r="D6" s="21">
        <v>8</v>
      </c>
      <c r="E6" s="21"/>
      <c r="F6" s="21">
        <v>1</v>
      </c>
      <c r="G6" s="21"/>
      <c r="H6" s="21"/>
      <c r="I6" s="21">
        <v>7</v>
      </c>
      <c r="J6" s="21">
        <v>1</v>
      </c>
      <c r="K6" s="21"/>
      <c r="L6" s="21"/>
      <c r="M6" s="21">
        <v>18</v>
      </c>
      <c r="N6" s="21"/>
      <c r="O6" s="21">
        <v>64</v>
      </c>
      <c r="P6" s="21">
        <v>1</v>
      </c>
      <c r="Q6" s="21">
        <v>6</v>
      </c>
      <c r="R6" s="21">
        <v>2</v>
      </c>
      <c r="S6" s="21">
        <v>73</v>
      </c>
      <c r="T6" s="21">
        <v>2</v>
      </c>
      <c r="U6" s="21">
        <v>93</v>
      </c>
    </row>
    <row r="7" spans="1:21" x14ac:dyDescent="0.8">
      <c r="A7" s="4" t="s">
        <v>1063</v>
      </c>
      <c r="B7" s="21">
        <v>3</v>
      </c>
      <c r="C7" s="21"/>
      <c r="D7" s="21">
        <v>3</v>
      </c>
      <c r="E7" s="21"/>
      <c r="F7" s="21">
        <v>1</v>
      </c>
      <c r="G7" s="21"/>
      <c r="H7" s="21"/>
      <c r="I7" s="21">
        <v>5</v>
      </c>
      <c r="J7" s="21"/>
      <c r="K7" s="21">
        <v>1</v>
      </c>
      <c r="L7" s="21"/>
      <c r="M7" s="21">
        <v>13</v>
      </c>
      <c r="N7" s="21"/>
      <c r="O7" s="21">
        <v>31</v>
      </c>
      <c r="P7" s="21">
        <v>5</v>
      </c>
      <c r="Q7" s="21">
        <v>17</v>
      </c>
      <c r="R7" s="21">
        <v>1</v>
      </c>
      <c r="S7" s="21">
        <v>54</v>
      </c>
      <c r="T7" s="21">
        <v>4</v>
      </c>
      <c r="U7" s="21">
        <v>71</v>
      </c>
    </row>
    <row r="8" spans="1:21" x14ac:dyDescent="0.8">
      <c r="A8" s="4" t="s">
        <v>1068</v>
      </c>
      <c r="B8" s="21">
        <v>2</v>
      </c>
      <c r="C8" s="21">
        <v>7</v>
      </c>
      <c r="D8" s="21">
        <v>9</v>
      </c>
      <c r="E8" s="21">
        <v>1</v>
      </c>
      <c r="F8" s="21">
        <v>2</v>
      </c>
      <c r="G8" s="21">
        <v>1</v>
      </c>
      <c r="H8" s="21">
        <v>1</v>
      </c>
      <c r="I8" s="21">
        <v>12</v>
      </c>
      <c r="J8" s="21">
        <v>1</v>
      </c>
      <c r="K8" s="21"/>
      <c r="L8" s="21"/>
      <c r="M8" s="21">
        <v>36</v>
      </c>
      <c r="N8" s="21">
        <v>1</v>
      </c>
      <c r="O8" s="21">
        <v>336</v>
      </c>
      <c r="P8" s="21">
        <v>14</v>
      </c>
      <c r="Q8" s="21">
        <v>66</v>
      </c>
      <c r="R8" s="21">
        <v>4</v>
      </c>
      <c r="S8" s="21">
        <v>421</v>
      </c>
      <c r="T8" s="21">
        <v>22</v>
      </c>
      <c r="U8" s="21">
        <v>479</v>
      </c>
    </row>
    <row r="9" spans="1:21" x14ac:dyDescent="0.8">
      <c r="A9" s="4" t="s">
        <v>1064</v>
      </c>
      <c r="B9" s="21"/>
      <c r="C9" s="21"/>
      <c r="D9" s="21">
        <v>1</v>
      </c>
      <c r="E9" s="21"/>
      <c r="F9" s="21"/>
      <c r="G9" s="21"/>
      <c r="H9" s="21"/>
      <c r="I9" s="21">
        <v>1</v>
      </c>
      <c r="J9" s="21"/>
      <c r="K9" s="21"/>
      <c r="L9" s="21"/>
      <c r="M9" s="21">
        <v>2</v>
      </c>
      <c r="N9" s="21"/>
      <c r="O9" s="21">
        <v>36</v>
      </c>
      <c r="P9" s="21"/>
      <c r="Q9" s="21">
        <v>7</v>
      </c>
      <c r="R9" s="21">
        <v>3</v>
      </c>
      <c r="S9" s="21">
        <v>46</v>
      </c>
      <c r="T9" s="21">
        <v>2</v>
      </c>
      <c r="U9" s="21">
        <v>50</v>
      </c>
    </row>
    <row r="10" spans="1:21" x14ac:dyDescent="0.8">
      <c r="A10" s="4" t="s">
        <v>1054</v>
      </c>
      <c r="B10" s="21">
        <v>15</v>
      </c>
      <c r="C10" s="21">
        <v>8</v>
      </c>
      <c r="D10" s="21">
        <v>54</v>
      </c>
      <c r="E10" s="21">
        <v>2</v>
      </c>
      <c r="F10" s="21">
        <v>10</v>
      </c>
      <c r="G10" s="21">
        <v>1</v>
      </c>
      <c r="H10" s="21">
        <v>1</v>
      </c>
      <c r="I10" s="21">
        <v>123</v>
      </c>
      <c r="J10" s="21">
        <v>18</v>
      </c>
      <c r="K10" s="21">
        <v>1</v>
      </c>
      <c r="L10" s="21">
        <v>1</v>
      </c>
      <c r="M10" s="21">
        <v>234</v>
      </c>
      <c r="N10" s="21">
        <v>1</v>
      </c>
      <c r="O10" s="21">
        <v>817</v>
      </c>
      <c r="P10" s="21">
        <v>63</v>
      </c>
      <c r="Q10" s="21">
        <v>260</v>
      </c>
      <c r="R10" s="21">
        <v>23</v>
      </c>
      <c r="S10" s="21">
        <v>1164</v>
      </c>
      <c r="T10" s="21">
        <v>52</v>
      </c>
      <c r="U10" s="21">
        <v>1450</v>
      </c>
    </row>
    <row r="14" spans="1:21" x14ac:dyDescent="0.8">
      <c r="O14">
        <f>817/1164</f>
        <v>0.70189003436426112</v>
      </c>
      <c r="Q14">
        <f>260/1164</f>
        <v>0.22336769759450173</v>
      </c>
    </row>
    <row r="15" spans="1:21" x14ac:dyDescent="0.8">
      <c r="H15">
        <f>123/234</f>
        <v>0.52564102564102566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15F8-6197-BD4C-BDD0-8274A99D7DA7}">
  <dimension ref="A3:AH43"/>
  <sheetViews>
    <sheetView zoomScale="40" zoomScaleNormal="170" workbookViewId="0">
      <selection activeCell="J23" sqref="J23"/>
    </sheetView>
  </sheetViews>
  <sheetFormatPr defaultColWidth="10.6640625" defaultRowHeight="16" x14ac:dyDescent="0.8"/>
  <cols>
    <col min="1" max="1" width="12.1640625" bestFit="1" customWidth="1"/>
    <col min="5" max="5" width="13.33203125" bestFit="1" customWidth="1"/>
    <col min="7" max="7" width="13.1640625" customWidth="1"/>
    <col min="24" max="24" width="12.0390625" bestFit="1" customWidth="1"/>
  </cols>
  <sheetData>
    <row r="3" spans="1:22" x14ac:dyDescent="0.8">
      <c r="B3" t="s">
        <v>27</v>
      </c>
      <c r="C3" t="s">
        <v>45</v>
      </c>
      <c r="D3" t="s">
        <v>94</v>
      </c>
      <c r="F3" t="s">
        <v>1054</v>
      </c>
      <c r="G3" t="s">
        <v>1122</v>
      </c>
      <c r="Q3" s="19" t="s">
        <v>1059</v>
      </c>
      <c r="R3" s="19" t="s">
        <v>1068</v>
      </c>
      <c r="S3" s="19" t="s">
        <v>1080</v>
      </c>
      <c r="T3" s="19" t="s">
        <v>1097</v>
      </c>
      <c r="U3" s="19" t="s">
        <v>1063</v>
      </c>
      <c r="V3" t="s">
        <v>1134</v>
      </c>
    </row>
    <row r="4" spans="1:22" x14ac:dyDescent="0.8">
      <c r="A4" t="s">
        <v>1059</v>
      </c>
      <c r="B4">
        <v>163</v>
      </c>
      <c r="C4">
        <v>563</v>
      </c>
      <c r="D4">
        <v>22</v>
      </c>
      <c r="F4">
        <v>748</v>
      </c>
      <c r="G4">
        <f>F4/1400</f>
        <v>0.53428571428571425</v>
      </c>
      <c r="Q4">
        <v>0.20647807033541901</v>
      </c>
      <c r="R4">
        <v>0.61159716323882696</v>
      </c>
      <c r="S4">
        <v>0.14535535071309799</v>
      </c>
      <c r="T4">
        <v>2.11819143448197E-2</v>
      </c>
      <c r="U4">
        <v>1.53875013678358E-2</v>
      </c>
      <c r="V4">
        <f>Q4+R4+S4+T4+U4</f>
        <v>0.99999999999999956</v>
      </c>
    </row>
    <row r="5" spans="1:22" x14ac:dyDescent="0.8">
      <c r="A5" t="s">
        <v>1097</v>
      </c>
      <c r="B5">
        <v>2</v>
      </c>
      <c r="C5">
        <v>7</v>
      </c>
      <c r="D5">
        <v>0</v>
      </c>
      <c r="F5">
        <v>9</v>
      </c>
      <c r="G5">
        <f>F5/1400</f>
        <v>6.4285714285714285E-3</v>
      </c>
      <c r="Q5">
        <v>0.16666666666666699</v>
      </c>
      <c r="R5">
        <v>0.40596610529671201</v>
      </c>
      <c r="S5">
        <v>7.4022915227824103E-3</v>
      </c>
      <c r="T5">
        <v>0.191069436327897</v>
      </c>
      <c r="U5">
        <v>0.22889550018594301</v>
      </c>
      <c r="V5">
        <f t="shared" ref="V5:V26" si="0">Q5+R5+S5+T5+U5</f>
        <v>1.0000000000000013</v>
      </c>
    </row>
    <row r="6" spans="1:22" x14ac:dyDescent="0.8">
      <c r="A6" t="s">
        <v>1080</v>
      </c>
      <c r="B6">
        <v>18</v>
      </c>
      <c r="C6">
        <v>73</v>
      </c>
      <c r="D6">
        <v>2</v>
      </c>
      <c r="F6">
        <v>93</v>
      </c>
      <c r="G6">
        <f>F6/1400</f>
        <v>6.6428571428571434E-2</v>
      </c>
      <c r="Q6">
        <v>0.101312514369683</v>
      </c>
      <c r="R6">
        <v>0.85909213590971301</v>
      </c>
      <c r="S6">
        <v>2.9089236982316499E-3</v>
      </c>
      <c r="T6">
        <v>3.2607935064026303E-2</v>
      </c>
      <c r="U6">
        <v>4.0784909583454097E-3</v>
      </c>
      <c r="V6">
        <f t="shared" si="0"/>
        <v>0.99999999999999944</v>
      </c>
    </row>
    <row r="7" spans="1:22" x14ac:dyDescent="0.8">
      <c r="A7" t="s">
        <v>1063</v>
      </c>
      <c r="B7">
        <v>13</v>
      </c>
      <c r="C7">
        <v>54</v>
      </c>
      <c r="D7">
        <v>4</v>
      </c>
      <c r="F7">
        <v>71</v>
      </c>
      <c r="G7">
        <f>F7/1400</f>
        <v>5.0714285714285712E-2</v>
      </c>
      <c r="Q7">
        <v>0.62677467900483497</v>
      </c>
      <c r="R7">
        <v>0.32257692677147698</v>
      </c>
      <c r="S7">
        <v>5.0648394223687998E-2</v>
      </c>
      <c r="T7">
        <v>0</v>
      </c>
      <c r="U7">
        <v>0</v>
      </c>
      <c r="V7">
        <f t="shared" si="0"/>
        <v>1</v>
      </c>
    </row>
    <row r="8" spans="1:22" x14ac:dyDescent="0.8">
      <c r="A8" t="s">
        <v>1068</v>
      </c>
      <c r="B8">
        <v>36</v>
      </c>
      <c r="C8">
        <v>421</v>
      </c>
      <c r="D8">
        <v>22</v>
      </c>
      <c r="F8">
        <v>479</v>
      </c>
      <c r="G8">
        <f>F8/1400</f>
        <v>0.34214285714285714</v>
      </c>
      <c r="Q8">
        <v>0.31973746151473698</v>
      </c>
      <c r="R8">
        <v>0.335131566843965</v>
      </c>
      <c r="S8">
        <v>0.27386897966030199</v>
      </c>
      <c r="T8">
        <v>4.7340255720709302E-2</v>
      </c>
      <c r="U8">
        <v>2.3921736260287499E-2</v>
      </c>
      <c r="V8">
        <f t="shared" si="0"/>
        <v>1.0000000000000009</v>
      </c>
    </row>
    <row r="9" spans="1:22" x14ac:dyDescent="0.8">
      <c r="A9" t="s">
        <v>1064</v>
      </c>
      <c r="B9">
        <v>2</v>
      </c>
      <c r="C9">
        <v>46</v>
      </c>
      <c r="D9">
        <v>2</v>
      </c>
      <c r="F9">
        <v>50</v>
      </c>
      <c r="Q9">
        <v>0.32517174326988402</v>
      </c>
      <c r="R9">
        <v>0.40725863426253001</v>
      </c>
      <c r="S9">
        <v>9.8140933772027206E-2</v>
      </c>
      <c r="T9">
        <v>4.4468218243475098E-2</v>
      </c>
      <c r="U9">
        <v>0.124960470452083</v>
      </c>
      <c r="V9">
        <f t="shared" si="0"/>
        <v>0.99999999999999944</v>
      </c>
    </row>
    <row r="10" spans="1:22" x14ac:dyDescent="0.8">
      <c r="A10" t="s">
        <v>1053</v>
      </c>
      <c r="Q10">
        <v>0.244083418984782</v>
      </c>
      <c r="R10">
        <v>0.60208879015947803</v>
      </c>
      <c r="S10">
        <v>0.153827790855741</v>
      </c>
      <c r="T10">
        <v>0</v>
      </c>
      <c r="U10">
        <v>0</v>
      </c>
      <c r="V10">
        <f t="shared" si="0"/>
        <v>1.0000000000000011</v>
      </c>
    </row>
    <row r="11" spans="1:22" x14ac:dyDescent="0.8">
      <c r="A11" t="s">
        <v>1054</v>
      </c>
      <c r="B11">
        <v>234</v>
      </c>
      <c r="C11">
        <v>1164</v>
      </c>
      <c r="D11">
        <v>52</v>
      </c>
      <c r="F11">
        <v>1450</v>
      </c>
      <c r="Q11">
        <v>0.188113471440846</v>
      </c>
      <c r="R11">
        <v>0.48030305881172303</v>
      </c>
      <c r="S11">
        <v>0.17439679881586301</v>
      </c>
      <c r="T11">
        <v>0.11816910330467099</v>
      </c>
      <c r="U11">
        <v>3.9017567626896503E-2</v>
      </c>
      <c r="V11">
        <f t="shared" si="0"/>
        <v>0.99999999999999956</v>
      </c>
    </row>
    <row r="12" spans="1:22" x14ac:dyDescent="0.8">
      <c r="A12" t="s">
        <v>1119</v>
      </c>
      <c r="B12">
        <f>B11-B9</f>
        <v>232</v>
      </c>
      <c r="C12">
        <f>C11-C9</f>
        <v>1118</v>
      </c>
      <c r="D12">
        <f>D11-D9</f>
        <v>50</v>
      </c>
      <c r="F12">
        <f>F11-F9</f>
        <v>1400</v>
      </c>
      <c r="Q12">
        <v>0.35784491189772499</v>
      </c>
      <c r="R12">
        <v>0.35686689829198798</v>
      </c>
      <c r="S12">
        <v>0.209316525187903</v>
      </c>
      <c r="T12">
        <v>4.9662558289070603E-2</v>
      </c>
      <c r="U12">
        <v>2.6309106333313501E-2</v>
      </c>
      <c r="V12">
        <f t="shared" si="0"/>
        <v>1</v>
      </c>
    </row>
    <row r="13" spans="1:22" x14ac:dyDescent="0.8">
      <c r="Q13">
        <v>0.74710151566046701</v>
      </c>
      <c r="R13">
        <v>0.19995215846744199</v>
      </c>
      <c r="S13">
        <v>8.6929082562270301E-3</v>
      </c>
      <c r="T13">
        <v>4.4253417615863003E-2</v>
      </c>
      <c r="U13">
        <v>0</v>
      </c>
      <c r="V13">
        <f t="shared" si="0"/>
        <v>0.999999999999999</v>
      </c>
    </row>
    <row r="14" spans="1:22" x14ac:dyDescent="0.8">
      <c r="Q14">
        <v>0.47981718591912897</v>
      </c>
      <c r="R14">
        <v>0.46806684575934099</v>
      </c>
      <c r="S14">
        <v>3.2173882705927498E-2</v>
      </c>
      <c r="T14">
        <v>1.9942085615602002E-2</v>
      </c>
      <c r="U14">
        <v>0</v>
      </c>
      <c r="V14">
        <f t="shared" si="0"/>
        <v>0.99999999999999944</v>
      </c>
    </row>
    <row r="15" spans="1:22" x14ac:dyDescent="0.8">
      <c r="Q15">
        <v>0.29817615434859102</v>
      </c>
      <c r="R15">
        <v>0.670803396472893</v>
      </c>
      <c r="S15">
        <v>0</v>
      </c>
      <c r="T15">
        <v>8.86298547957594E-3</v>
      </c>
      <c r="U15">
        <v>2.2157463698939901E-2</v>
      </c>
      <c r="V15">
        <f t="shared" si="0"/>
        <v>0.99999999999999989</v>
      </c>
    </row>
    <row r="16" spans="1:22" x14ac:dyDescent="0.8">
      <c r="Q16">
        <v>0.41495088850566098</v>
      </c>
      <c r="R16">
        <v>0.501147184524256</v>
      </c>
      <c r="S16">
        <v>4.9576366499212703E-2</v>
      </c>
      <c r="T16">
        <v>3.43255604708705E-2</v>
      </c>
      <c r="U16">
        <v>0</v>
      </c>
      <c r="V16">
        <f t="shared" si="0"/>
        <v>1.0000000000000002</v>
      </c>
    </row>
    <row r="17" spans="1:34" x14ac:dyDescent="0.8">
      <c r="Q17">
        <v>0.409488720591975</v>
      </c>
      <c r="R17">
        <v>0.24571556167544301</v>
      </c>
      <c r="S17">
        <v>0.29131699571401098</v>
      </c>
      <c r="T17">
        <v>5.01355265687898E-2</v>
      </c>
      <c r="U17">
        <v>3.3431954497807402E-3</v>
      </c>
      <c r="V17">
        <f t="shared" si="0"/>
        <v>0.99999999999999956</v>
      </c>
    </row>
    <row r="18" spans="1:34" x14ac:dyDescent="0.8">
      <c r="Q18">
        <v>0.35033549454511997</v>
      </c>
      <c r="R18">
        <v>0.41583647380738598</v>
      </c>
      <c r="S18">
        <v>0.161998967709092</v>
      </c>
      <c r="T18">
        <v>1.47207511683978E-2</v>
      </c>
      <c r="U18">
        <v>5.7108312770004201E-2</v>
      </c>
      <c r="V18">
        <f t="shared" si="0"/>
        <v>0.99999999999999989</v>
      </c>
      <c r="X18" t="s">
        <v>1116</v>
      </c>
      <c r="AB18" t="s">
        <v>1120</v>
      </c>
      <c r="AF18" t="s">
        <v>1121</v>
      </c>
    </row>
    <row r="19" spans="1:34" x14ac:dyDescent="0.8">
      <c r="A19" t="s">
        <v>1116</v>
      </c>
      <c r="E19" t="s">
        <v>1120</v>
      </c>
      <c r="I19" t="s">
        <v>1121</v>
      </c>
      <c r="Q19">
        <v>0.27867614341584501</v>
      </c>
      <c r="R19">
        <v>0.41604412074658698</v>
      </c>
      <c r="S19">
        <v>0.245070373059179</v>
      </c>
      <c r="T19">
        <v>4.9120629493454498E-2</v>
      </c>
      <c r="U19">
        <v>1.10887332849348E-2</v>
      </c>
      <c r="V19">
        <f t="shared" si="0"/>
        <v>1.0000000000000002</v>
      </c>
    </row>
    <row r="20" spans="1:34" x14ac:dyDescent="0.8">
      <c r="Q20">
        <v>7.6949592978548503E-2</v>
      </c>
      <c r="R20">
        <v>0.33820698432901097</v>
      </c>
      <c r="S20">
        <v>0.53745392835361805</v>
      </c>
      <c r="T20">
        <v>6.7934134118208603E-3</v>
      </c>
      <c r="U20">
        <v>4.0596080927001302E-2</v>
      </c>
      <c r="V20">
        <f t="shared" si="0"/>
        <v>0.99999999999999967</v>
      </c>
      <c r="Y20" t="s">
        <v>1117</v>
      </c>
      <c r="Z20" t="s">
        <v>1118</v>
      </c>
      <c r="AC20" t="s">
        <v>1117</v>
      </c>
      <c r="AD20" t="s">
        <v>1118</v>
      </c>
      <c r="AG20" t="s">
        <v>1117</v>
      </c>
      <c r="AH20" t="s">
        <v>1118</v>
      </c>
    </row>
    <row r="21" spans="1:34" x14ac:dyDescent="0.8">
      <c r="B21" t="s">
        <v>1117</v>
      </c>
      <c r="C21" t="s">
        <v>1118</v>
      </c>
      <c r="F21" t="s">
        <v>1117</v>
      </c>
      <c r="G21" t="s">
        <v>1118</v>
      </c>
      <c r="J21" t="s">
        <v>1117</v>
      </c>
      <c r="K21" t="s">
        <v>1118</v>
      </c>
      <c r="Q21">
        <v>0.10575698395177</v>
      </c>
      <c r="R21">
        <v>0.46874203956865101</v>
      </c>
      <c r="S21">
        <v>3.4155557442472603E-2</v>
      </c>
      <c r="T21">
        <v>8.0304831451133596E-2</v>
      </c>
      <c r="U21">
        <v>0.31104058758597303</v>
      </c>
      <c r="V21">
        <f t="shared" si="0"/>
        <v>1.0000000000000002</v>
      </c>
      <c r="X21" t="s">
        <v>1059</v>
      </c>
      <c r="Y21">
        <v>163</v>
      </c>
      <c r="Z21">
        <f>232*Q28</f>
        <v>72.783390610272562</v>
      </c>
      <c r="AB21" t="s">
        <v>1059</v>
      </c>
      <c r="AC21">
        <v>563</v>
      </c>
      <c r="AD21">
        <f>1118*Q28</f>
        <v>350.74064957881342</v>
      </c>
      <c r="AF21" t="s">
        <v>1059</v>
      </c>
      <c r="AG21">
        <v>22</v>
      </c>
      <c r="AH21">
        <f>50*Q28</f>
        <v>15.68607556255874</v>
      </c>
    </row>
    <row r="22" spans="1:34" x14ac:dyDescent="0.8">
      <c r="A22" t="s">
        <v>1059</v>
      </c>
      <c r="B22">
        <v>163</v>
      </c>
      <c r="C22">
        <f>232*G4</f>
        <v>123.9542857142857</v>
      </c>
      <c r="E22" t="s">
        <v>1059</v>
      </c>
      <c r="F22">
        <v>563</v>
      </c>
      <c r="G22">
        <f>1118*G4</f>
        <v>597.33142857142855</v>
      </c>
      <c r="I22" t="s">
        <v>1059</v>
      </c>
      <c r="J22">
        <v>22</v>
      </c>
      <c r="K22">
        <f>50*G4</f>
        <v>26.714285714285712</v>
      </c>
      <c r="Q22">
        <v>0.48114990836427801</v>
      </c>
      <c r="R22">
        <v>0.30936411525950702</v>
      </c>
      <c r="S22">
        <v>0.12520989857700801</v>
      </c>
      <c r="T22">
        <v>6.9374478252108601E-2</v>
      </c>
      <c r="U22">
        <v>1.49015995470988E-2</v>
      </c>
      <c r="V22">
        <f t="shared" si="0"/>
        <v>1.0000000000000007</v>
      </c>
      <c r="X22" t="s">
        <v>1097</v>
      </c>
      <c r="Y22">
        <v>2</v>
      </c>
      <c r="Z22">
        <f>232*T28</f>
        <v>11.080194199988918</v>
      </c>
      <c r="AB22" t="s">
        <v>1097</v>
      </c>
      <c r="AC22">
        <v>7</v>
      </c>
      <c r="AD22">
        <f>1118*T28</f>
        <v>53.39507377408453</v>
      </c>
      <c r="AF22" t="s">
        <v>1097</v>
      </c>
      <c r="AG22">
        <v>0</v>
      </c>
      <c r="AH22">
        <f>50*T28</f>
        <v>2.3879728879286461</v>
      </c>
    </row>
    <row r="23" spans="1:34" x14ac:dyDescent="0.8">
      <c r="A23" t="s">
        <v>1097</v>
      </c>
      <c r="B23">
        <v>2</v>
      </c>
      <c r="C23">
        <f>232*G5</f>
        <v>1.4914285714285713</v>
      </c>
      <c r="E23" t="s">
        <v>1097</v>
      </c>
      <c r="F23">
        <v>7</v>
      </c>
      <c r="G23">
        <f>1118*G5</f>
        <v>7.1871428571428568</v>
      </c>
      <c r="I23" t="s">
        <v>1097</v>
      </c>
      <c r="J23">
        <v>0</v>
      </c>
      <c r="K23">
        <f>50*G5</f>
        <v>0.3214285714285714</v>
      </c>
      <c r="Q23">
        <v>0.31190054134063899</v>
      </c>
      <c r="R23">
        <v>0.52106573080986196</v>
      </c>
      <c r="S23">
        <v>8.9640518779805001E-2</v>
      </c>
      <c r="T23">
        <v>6.5969548843011205E-2</v>
      </c>
      <c r="U23">
        <v>1.1423660226682701E-2</v>
      </c>
      <c r="V23">
        <f t="shared" si="0"/>
        <v>0.99999999999999989</v>
      </c>
      <c r="X23" t="s">
        <v>1080</v>
      </c>
      <c r="Y23">
        <v>18</v>
      </c>
      <c r="Z23">
        <f>232*S28</f>
        <v>28.049574799940693</v>
      </c>
      <c r="AB23" t="s">
        <v>1080</v>
      </c>
      <c r="AC23">
        <v>73</v>
      </c>
      <c r="AD23">
        <f>1118*S28</f>
        <v>135.16993373419697</v>
      </c>
      <c r="AF23" t="s">
        <v>1080</v>
      </c>
      <c r="AG23">
        <v>2</v>
      </c>
      <c r="AH23">
        <f>50*S28</f>
        <v>6.0451669827458394</v>
      </c>
    </row>
    <row r="24" spans="1:34" x14ac:dyDescent="0.8">
      <c r="A24" t="s">
        <v>1080</v>
      </c>
      <c r="B24">
        <v>18</v>
      </c>
      <c r="C24">
        <f>232*G6</f>
        <v>15.411428571428573</v>
      </c>
      <c r="E24" t="s">
        <v>1080</v>
      </c>
      <c r="F24">
        <v>73</v>
      </c>
      <c r="G24">
        <f>1118*G6</f>
        <v>74.267142857142858</v>
      </c>
      <c r="I24" t="s">
        <v>1080</v>
      </c>
      <c r="J24">
        <v>2</v>
      </c>
      <c r="K24">
        <f>50*G6</f>
        <v>3.3214285714285716</v>
      </c>
      <c r="Q24">
        <v>0.48433864471509502</v>
      </c>
      <c r="R24">
        <v>0.41011569505287299</v>
      </c>
      <c r="S24">
        <v>6.0655658787849599E-2</v>
      </c>
      <c r="T24">
        <v>4.4890001444182301E-2</v>
      </c>
      <c r="U24">
        <v>0</v>
      </c>
      <c r="V24">
        <f t="shared" si="0"/>
        <v>1</v>
      </c>
      <c r="X24" t="s">
        <v>1063</v>
      </c>
      <c r="Y24">
        <v>13</v>
      </c>
      <c r="Z24">
        <f>232*U28</f>
        <v>14.369992035195402</v>
      </c>
      <c r="AB24" t="s">
        <v>1063</v>
      </c>
      <c r="AC24">
        <v>54</v>
      </c>
      <c r="AD24">
        <f>1118*U28</f>
        <v>69.248496100639912</v>
      </c>
      <c r="AF24" t="s">
        <v>1063</v>
      </c>
      <c r="AG24">
        <v>4</v>
      </c>
      <c r="AH24">
        <f>50*U28</f>
        <v>3.0969810420679744</v>
      </c>
    </row>
    <row r="25" spans="1:34" x14ac:dyDescent="0.8">
      <c r="A25" t="s">
        <v>1063</v>
      </c>
      <c r="B25">
        <v>13</v>
      </c>
      <c r="C25">
        <f>232*G7</f>
        <v>11.765714285714285</v>
      </c>
      <c r="E25" t="s">
        <v>1063</v>
      </c>
      <c r="F25">
        <v>54</v>
      </c>
      <c r="G25">
        <f>1118*G7</f>
        <v>56.698571428571427</v>
      </c>
      <c r="I25" t="s">
        <v>1063</v>
      </c>
      <c r="J25">
        <v>4</v>
      </c>
      <c r="K25">
        <f>50*G7</f>
        <v>2.5357142857142856</v>
      </c>
      <c r="Q25">
        <v>0.138461363842731</v>
      </c>
      <c r="R25">
        <v>0.47625533460455799</v>
      </c>
      <c r="S25">
        <v>2.8965767729047499E-2</v>
      </c>
      <c r="T25">
        <v>4.3448651593571197E-2</v>
      </c>
      <c r="U25">
        <v>0.31286888223009202</v>
      </c>
      <c r="V25">
        <f t="shared" si="0"/>
        <v>0.99999999999999956</v>
      </c>
      <c r="X25" t="s">
        <v>1068</v>
      </c>
      <c r="Y25">
        <v>36</v>
      </c>
      <c r="Z25">
        <f>232*R28</f>
        <v>105.71684835460245</v>
      </c>
      <c r="AB25" t="s">
        <v>1068</v>
      </c>
      <c r="AC25">
        <v>421</v>
      </c>
      <c r="AD25">
        <f>1118*R28</f>
        <v>509.44584681226524</v>
      </c>
      <c r="AF25" t="s">
        <v>1068</v>
      </c>
      <c r="AG25">
        <v>22</v>
      </c>
      <c r="AH25">
        <f>50*R28</f>
        <v>22.783803524698804</v>
      </c>
    </row>
    <row r="26" spans="1:34" x14ac:dyDescent="0.8">
      <c r="A26" t="s">
        <v>1068</v>
      </c>
      <c r="B26">
        <v>36</v>
      </c>
      <c r="C26">
        <f>232*G8</f>
        <v>79.377142857142857</v>
      </c>
      <c r="E26" t="s">
        <v>1068</v>
      </c>
      <c r="F26">
        <v>421</v>
      </c>
      <c r="G26">
        <f>1118*G8</f>
        <v>382.5157142857143</v>
      </c>
      <c r="I26" t="s">
        <v>1068</v>
      </c>
      <c r="J26">
        <v>22</v>
      </c>
      <c r="K26">
        <f>50*G8</f>
        <v>17.107142857142858</v>
      </c>
      <c r="Q26">
        <v>0.102308683112592</v>
      </c>
      <c r="R26">
        <v>0.65835270069722496</v>
      </c>
      <c r="S26">
        <v>0</v>
      </c>
      <c r="T26">
        <v>6.18262257441268E-2</v>
      </c>
      <c r="U26">
        <v>0.17751239044605599</v>
      </c>
      <c r="V26">
        <f t="shared" si="0"/>
        <v>0.99999999999999978</v>
      </c>
    </row>
    <row r="27" spans="1:34" x14ac:dyDescent="0.8">
      <c r="X27">
        <f>CHITEST(Y21:Y25,Z21:Z25)</f>
        <v>1.7365879018555833E-35</v>
      </c>
      <c r="AB27">
        <f>CHITEST(AC21:AC25,AD21:AD25)</f>
        <v>1.3112419253170707E-45</v>
      </c>
      <c r="AF27">
        <f>CHITEST(AG21:AG25,AH21:AH25)</f>
        <v>9.4305771675794681E-2</v>
      </c>
    </row>
    <row r="28" spans="1:34" x14ac:dyDescent="0.8">
      <c r="A28" s="6">
        <f>CHITEST(B22:B26,C22:C26)</f>
        <v>2.0363571034271045E-7</v>
      </c>
      <c r="E28" s="5">
        <f>CHITEST(F22:F26,G22:G26)</f>
        <v>0.19915120647242274</v>
      </c>
      <c r="I28">
        <f>CHITEST(J22:J26,K22:K26)</f>
        <v>0.41637760416259217</v>
      </c>
      <c r="Q28" s="19">
        <f>AVERAGE(Q4:Q26)</f>
        <v>0.31372151125117481</v>
      </c>
      <c r="R28" s="19">
        <f>AVERAGE(R4:R26)</f>
        <v>0.45567607049397607</v>
      </c>
      <c r="S28" s="19">
        <f>AVERAGE(S4:S26)</f>
        <v>0.12090333965491679</v>
      </c>
      <c r="T28" s="19">
        <f>AVERAGE(T4:T26)</f>
        <v>4.7759457758572925E-2</v>
      </c>
      <c r="U28" s="19">
        <f>AVERAGE(U4:U26)</f>
        <v>6.193962084135949E-2</v>
      </c>
      <c r="V28">
        <f>SUM(Q28:U28)</f>
        <v>1</v>
      </c>
    </row>
    <row r="34" spans="1:27" x14ac:dyDescent="0.8">
      <c r="A34" s="7" t="s">
        <v>1125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27" x14ac:dyDescent="0.8">
      <c r="A35" s="7" t="s">
        <v>1126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27" x14ac:dyDescent="0.8">
      <c r="A36" s="7" t="s">
        <v>1127</v>
      </c>
      <c r="B36" s="7"/>
      <c r="C36" s="7"/>
      <c r="D36" s="7"/>
      <c r="E36" s="7"/>
      <c r="F36" s="7"/>
      <c r="G36" s="7"/>
      <c r="H36" s="7"/>
      <c r="I36" s="7"/>
      <c r="J36" s="7"/>
      <c r="K36" s="7"/>
      <c r="N36" s="9"/>
      <c r="O36" s="9" t="s">
        <v>373</v>
      </c>
      <c r="P36" s="9" t="s">
        <v>155</v>
      </c>
      <c r="Q36" s="9" t="s">
        <v>95</v>
      </c>
      <c r="R36" s="9" t="s">
        <v>79</v>
      </c>
      <c r="S36" s="9" t="s">
        <v>68</v>
      </c>
      <c r="T36" s="9" t="s">
        <v>114</v>
      </c>
      <c r="U36" s="9" t="s">
        <v>389</v>
      </c>
      <c r="V36" s="9" t="s">
        <v>55</v>
      </c>
      <c r="W36" s="9" t="s">
        <v>28</v>
      </c>
      <c r="X36" s="9" t="s">
        <v>748</v>
      </c>
      <c r="Y36" s="9" t="s">
        <v>476</v>
      </c>
      <c r="Z36" s="9" t="s">
        <v>46</v>
      </c>
      <c r="AA36" s="9" t="s">
        <v>1054</v>
      </c>
    </row>
    <row r="37" spans="1:27" x14ac:dyDescent="0.8">
      <c r="A37" s="7" t="s">
        <v>1128</v>
      </c>
      <c r="B37" s="7"/>
      <c r="C37" s="7"/>
      <c r="D37" s="7"/>
      <c r="E37" s="7"/>
      <c r="F37" s="7"/>
      <c r="G37" s="7"/>
      <c r="H37" s="7"/>
      <c r="I37" s="7"/>
      <c r="J37" s="7"/>
      <c r="K37" s="7"/>
      <c r="N37" s="4" t="s">
        <v>1059</v>
      </c>
      <c r="O37">
        <v>1</v>
      </c>
      <c r="P37">
        <v>75</v>
      </c>
      <c r="Q37">
        <v>21</v>
      </c>
      <c r="R37">
        <v>3</v>
      </c>
      <c r="S37">
        <v>217</v>
      </c>
      <c r="T37">
        <v>97</v>
      </c>
      <c r="U37">
        <v>1</v>
      </c>
      <c r="V37">
        <v>104</v>
      </c>
      <c r="W37">
        <v>65</v>
      </c>
      <c r="Z37">
        <v>164</v>
      </c>
      <c r="AA37">
        <v>748</v>
      </c>
    </row>
    <row r="38" spans="1:27" x14ac:dyDescent="0.8">
      <c r="N38" s="4" t="s">
        <v>1097</v>
      </c>
      <c r="P38">
        <v>2</v>
      </c>
      <c r="R38">
        <v>3</v>
      </c>
      <c r="S38">
        <v>2</v>
      </c>
      <c r="T38">
        <v>1</v>
      </c>
      <c r="W38">
        <v>1</v>
      </c>
      <c r="AA38">
        <v>9</v>
      </c>
    </row>
    <row r="39" spans="1:27" x14ac:dyDescent="0.8">
      <c r="N39" s="4" t="s">
        <v>1080</v>
      </c>
      <c r="P39">
        <v>19</v>
      </c>
      <c r="Q39">
        <v>2</v>
      </c>
      <c r="R39">
        <v>5</v>
      </c>
      <c r="S39">
        <v>37</v>
      </c>
      <c r="T39">
        <v>7</v>
      </c>
      <c r="V39">
        <v>6</v>
      </c>
      <c r="W39">
        <v>11</v>
      </c>
      <c r="Z39">
        <v>6</v>
      </c>
      <c r="AA39">
        <v>93</v>
      </c>
    </row>
    <row r="40" spans="1:27" x14ac:dyDescent="0.8">
      <c r="N40" s="4" t="s">
        <v>1063</v>
      </c>
      <c r="P40">
        <v>11</v>
      </c>
      <c r="Q40">
        <v>4</v>
      </c>
      <c r="S40">
        <v>20</v>
      </c>
      <c r="T40">
        <v>5</v>
      </c>
      <c r="V40">
        <v>6</v>
      </c>
      <c r="W40">
        <v>8</v>
      </c>
      <c r="Z40">
        <v>17</v>
      </c>
      <c r="AA40">
        <v>71</v>
      </c>
    </row>
    <row r="41" spans="1:27" x14ac:dyDescent="0.8">
      <c r="N41" s="4" t="s">
        <v>1068</v>
      </c>
      <c r="O41">
        <v>7</v>
      </c>
      <c r="P41">
        <v>116</v>
      </c>
      <c r="Q41">
        <v>20</v>
      </c>
      <c r="R41">
        <v>1</v>
      </c>
      <c r="S41">
        <v>164</v>
      </c>
      <c r="T41">
        <v>12</v>
      </c>
      <c r="U41">
        <v>2</v>
      </c>
      <c r="V41">
        <v>27</v>
      </c>
      <c r="W41">
        <v>17</v>
      </c>
      <c r="X41">
        <v>1</v>
      </c>
      <c r="Y41">
        <v>46</v>
      </c>
      <c r="Z41">
        <v>66</v>
      </c>
      <c r="AA41">
        <v>479</v>
      </c>
    </row>
    <row r="42" spans="1:27" x14ac:dyDescent="0.8">
      <c r="N42" s="4" t="s">
        <v>1064</v>
      </c>
      <c r="P42">
        <v>8</v>
      </c>
      <c r="Q42">
        <v>1</v>
      </c>
      <c r="R42">
        <v>3</v>
      </c>
      <c r="S42">
        <v>24</v>
      </c>
      <c r="T42">
        <v>1</v>
      </c>
      <c r="U42">
        <v>1</v>
      </c>
      <c r="V42">
        <v>4</v>
      </c>
      <c r="W42">
        <v>1</v>
      </c>
      <c r="Z42">
        <v>7</v>
      </c>
      <c r="AA42">
        <v>50</v>
      </c>
    </row>
    <row r="43" spans="1:27" x14ac:dyDescent="0.8">
      <c r="N43" s="15" t="s">
        <v>1054</v>
      </c>
      <c r="O43" s="16">
        <v>8</v>
      </c>
      <c r="P43" s="16">
        <v>231</v>
      </c>
      <c r="Q43" s="16">
        <v>48</v>
      </c>
      <c r="R43" s="16">
        <v>15</v>
      </c>
      <c r="S43" s="16">
        <v>464</v>
      </c>
      <c r="T43" s="16">
        <v>123</v>
      </c>
      <c r="U43" s="16">
        <v>4</v>
      </c>
      <c r="V43" s="16">
        <v>147</v>
      </c>
      <c r="W43" s="16">
        <v>103</v>
      </c>
      <c r="X43" s="16">
        <v>1</v>
      </c>
      <c r="Y43" s="16">
        <v>46</v>
      </c>
      <c r="Z43" s="16">
        <v>260</v>
      </c>
      <c r="AA43" s="16">
        <v>1450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36DA-9549-3941-8AE8-39C665460739}">
  <dimension ref="A2:M27"/>
  <sheetViews>
    <sheetView zoomScale="70" zoomScaleNormal="170" workbookViewId="0">
      <selection activeCell="A20" sqref="A20"/>
    </sheetView>
  </sheetViews>
  <sheetFormatPr defaultColWidth="10.6640625" defaultRowHeight="16" x14ac:dyDescent="0.8"/>
  <cols>
    <col min="1" max="1" width="12.1640625" bestFit="1" customWidth="1"/>
  </cols>
  <sheetData>
    <row r="2" spans="1:13" x14ac:dyDescent="0.8">
      <c r="B2" t="s">
        <v>27</v>
      </c>
      <c r="C2" t="s">
        <v>45</v>
      </c>
      <c r="D2" t="s">
        <v>94</v>
      </c>
      <c r="F2" t="s">
        <v>1054</v>
      </c>
      <c r="G2" t="s">
        <v>1124</v>
      </c>
    </row>
    <row r="3" spans="1:13" x14ac:dyDescent="0.8">
      <c r="A3" t="s">
        <v>1055</v>
      </c>
      <c r="B3">
        <v>6</v>
      </c>
      <c r="C3">
        <v>159</v>
      </c>
      <c r="D3">
        <v>1</v>
      </c>
      <c r="F3">
        <v>166</v>
      </c>
      <c r="G3">
        <f>F3/1299</f>
        <v>0.12779060816012316</v>
      </c>
    </row>
    <row r="4" spans="1:13" x14ac:dyDescent="0.8">
      <c r="A4" t="s">
        <v>1061</v>
      </c>
      <c r="B4">
        <v>212</v>
      </c>
      <c r="C4">
        <v>874</v>
      </c>
      <c r="D4">
        <v>47</v>
      </c>
      <c r="F4">
        <v>1133</v>
      </c>
      <c r="G4">
        <f>F4/1299</f>
        <v>0.87220939183987678</v>
      </c>
    </row>
    <row r="5" spans="1:13" x14ac:dyDescent="0.8">
      <c r="A5" t="s">
        <v>1064</v>
      </c>
      <c r="B5">
        <v>16</v>
      </c>
      <c r="C5">
        <v>131</v>
      </c>
      <c r="D5">
        <v>4</v>
      </c>
      <c r="F5">
        <v>151</v>
      </c>
    </row>
    <row r="7" spans="1:13" x14ac:dyDescent="0.8">
      <c r="A7" t="s">
        <v>1054</v>
      </c>
      <c r="B7">
        <v>234</v>
      </c>
      <c r="C7">
        <v>1164</v>
      </c>
      <c r="D7">
        <v>52</v>
      </c>
      <c r="F7">
        <v>1450</v>
      </c>
    </row>
    <row r="8" spans="1:13" x14ac:dyDescent="0.8">
      <c r="A8" t="s">
        <v>1123</v>
      </c>
      <c r="B8">
        <f>SUM(B3:B4)</f>
        <v>218</v>
      </c>
      <c r="C8">
        <f>SUM(C3:C4)</f>
        <v>1033</v>
      </c>
      <c r="D8">
        <f>SUM(D3:D4)</f>
        <v>48</v>
      </c>
      <c r="F8">
        <f>SUM(F3:F4)</f>
        <v>1299</v>
      </c>
    </row>
    <row r="10" spans="1:13" x14ac:dyDescent="0.8">
      <c r="G10">
        <v>2.5000000000000001E-2</v>
      </c>
    </row>
    <row r="11" spans="1:13" x14ac:dyDescent="0.8">
      <c r="G11">
        <v>0.97499999999999998</v>
      </c>
    </row>
    <row r="13" spans="1:13" x14ac:dyDescent="0.8">
      <c r="A13" t="s">
        <v>1116</v>
      </c>
      <c r="F13" t="s">
        <v>1120</v>
      </c>
      <c r="K13" t="s">
        <v>1121</v>
      </c>
    </row>
    <row r="15" spans="1:13" x14ac:dyDescent="0.8">
      <c r="B15" t="s">
        <v>1117</v>
      </c>
      <c r="C15" t="s">
        <v>1118</v>
      </c>
      <c r="G15" t="s">
        <v>1117</v>
      </c>
      <c r="H15" t="s">
        <v>1118</v>
      </c>
      <c r="L15" t="s">
        <v>1117</v>
      </c>
      <c r="M15" t="s">
        <v>1118</v>
      </c>
    </row>
    <row r="16" spans="1:13" x14ac:dyDescent="0.8">
      <c r="A16" t="s">
        <v>1055</v>
      </c>
      <c r="B16">
        <v>6</v>
      </c>
      <c r="C16">
        <f>218*G10</f>
        <v>5.45</v>
      </c>
      <c r="F16" t="s">
        <v>1055</v>
      </c>
      <c r="G16">
        <v>159</v>
      </c>
      <c r="H16">
        <f>1033*G10</f>
        <v>25.825000000000003</v>
      </c>
      <c r="K16" t="s">
        <v>1055</v>
      </c>
      <c r="L16">
        <v>1</v>
      </c>
      <c r="M16">
        <f>48*G10</f>
        <v>1.2000000000000002</v>
      </c>
    </row>
    <row r="17" spans="1:13" x14ac:dyDescent="0.8">
      <c r="A17" t="s">
        <v>1061</v>
      </c>
      <c r="B17">
        <v>212</v>
      </c>
      <c r="C17">
        <f>218*G11</f>
        <v>212.54999999999998</v>
      </c>
      <c r="F17" t="s">
        <v>1061</v>
      </c>
      <c r="G17">
        <v>874</v>
      </c>
      <c r="H17">
        <f>1033*G11</f>
        <v>1007.175</v>
      </c>
      <c r="K17" t="s">
        <v>1061</v>
      </c>
      <c r="L17">
        <v>47</v>
      </c>
      <c r="M17">
        <f>48*G11</f>
        <v>46.8</v>
      </c>
    </row>
    <row r="19" spans="1:13" x14ac:dyDescent="0.8">
      <c r="A19" t="s">
        <v>1130</v>
      </c>
      <c r="F19" t="s">
        <v>1130</v>
      </c>
      <c r="K19" t="s">
        <v>1130</v>
      </c>
    </row>
    <row r="20" spans="1:13" x14ac:dyDescent="0.8">
      <c r="A20" s="13">
        <f>CHITEST(B16:B17,C16:C17)</f>
        <v>0.81141930509950966</v>
      </c>
      <c r="B20" t="s">
        <v>1131</v>
      </c>
      <c r="F20">
        <f>CHITEST(G16:G17,H16:H17)</f>
        <v>3.3539693947340393E-155</v>
      </c>
      <c r="G20" t="s">
        <v>1131</v>
      </c>
      <c r="K20">
        <f>CHITEST(L16:L17,M16:M17)</f>
        <v>0.8533074196871151</v>
      </c>
      <c r="L20" t="s">
        <v>1131</v>
      </c>
    </row>
    <row r="24" spans="1:13" x14ac:dyDescent="0.8">
      <c r="A24" s="7" t="s">
        <v>1125</v>
      </c>
    </row>
    <row r="25" spans="1:13" x14ac:dyDescent="0.8">
      <c r="A25" s="7" t="s">
        <v>1126</v>
      </c>
    </row>
    <row r="26" spans="1:13" x14ac:dyDescent="0.8">
      <c r="A26" s="7" t="s">
        <v>1127</v>
      </c>
    </row>
    <row r="27" spans="1:13" x14ac:dyDescent="0.8">
      <c r="A27" s="7" t="s">
        <v>1128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DB39-93D7-564F-8462-0BB4CBB915BF}">
  <dimension ref="A1:BA21"/>
  <sheetViews>
    <sheetView zoomScale="53" zoomScaleNormal="180" workbookViewId="0">
      <selection activeCell="C3" sqref="C3"/>
    </sheetView>
  </sheetViews>
  <sheetFormatPr defaultColWidth="10.6640625" defaultRowHeight="16" x14ac:dyDescent="0.8"/>
  <cols>
    <col min="2" max="2" width="12.5" bestFit="1" customWidth="1"/>
    <col min="6" max="6" width="11.6640625" bestFit="1" customWidth="1"/>
    <col min="8" max="8" width="10.6640625" customWidth="1"/>
  </cols>
  <sheetData>
    <row r="1" spans="1:53" x14ac:dyDescent="0.8">
      <c r="A1" s="8"/>
      <c r="B1" s="8"/>
      <c r="C1" s="8"/>
      <c r="D1" s="8" t="s">
        <v>45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11" t="s">
        <v>1129</v>
      </c>
      <c r="BA1" s="8" t="s">
        <v>1054</v>
      </c>
    </row>
    <row r="2" spans="1:53" x14ac:dyDescent="0.8">
      <c r="A2" s="9" t="s">
        <v>1052</v>
      </c>
      <c r="B2" s="9" t="s">
        <v>73</v>
      </c>
      <c r="C2" s="9" t="s">
        <v>1132</v>
      </c>
      <c r="D2" s="9" t="s">
        <v>107</v>
      </c>
      <c r="E2" s="9" t="s">
        <v>647</v>
      </c>
      <c r="F2" s="9" t="s">
        <v>682</v>
      </c>
      <c r="G2" s="9" t="s">
        <v>932</v>
      </c>
      <c r="H2" s="9" t="s">
        <v>501</v>
      </c>
      <c r="I2" s="9" t="s">
        <v>233</v>
      </c>
      <c r="J2" s="9" t="s">
        <v>452</v>
      </c>
      <c r="K2" s="9" t="s">
        <v>587</v>
      </c>
      <c r="L2" s="9" t="s">
        <v>159</v>
      </c>
      <c r="M2" s="9" t="s">
        <v>287</v>
      </c>
      <c r="N2" s="9" t="s">
        <v>291</v>
      </c>
      <c r="O2" s="9" t="s">
        <v>322</v>
      </c>
      <c r="P2" s="9" t="s">
        <v>51</v>
      </c>
      <c r="Q2" s="9" t="s">
        <v>92</v>
      </c>
      <c r="R2" s="9" t="s">
        <v>283</v>
      </c>
      <c r="S2" s="9" t="s">
        <v>1010</v>
      </c>
      <c r="T2" s="9" t="s">
        <v>817</v>
      </c>
      <c r="U2" s="9" t="s">
        <v>522</v>
      </c>
      <c r="V2" s="9" t="s">
        <v>488</v>
      </c>
      <c r="W2" s="9" t="s">
        <v>60</v>
      </c>
      <c r="X2" s="9" t="s">
        <v>66</v>
      </c>
      <c r="Y2" s="9" t="s">
        <v>172</v>
      </c>
      <c r="Z2" s="9" t="s">
        <v>556</v>
      </c>
      <c r="AA2" s="9" t="s">
        <v>519</v>
      </c>
      <c r="AB2" s="9" t="s">
        <v>382</v>
      </c>
      <c r="AC2" s="9" t="s">
        <v>346</v>
      </c>
      <c r="AD2" s="9" t="s">
        <v>396</v>
      </c>
      <c r="AE2" s="9" t="s">
        <v>550</v>
      </c>
      <c r="AF2" s="9" t="s">
        <v>182</v>
      </c>
      <c r="AG2" s="9" t="s">
        <v>294</v>
      </c>
      <c r="AH2" s="9" t="s">
        <v>143</v>
      </c>
      <c r="AI2" s="9" t="s">
        <v>945</v>
      </c>
      <c r="AJ2" s="9" t="s">
        <v>184</v>
      </c>
      <c r="AK2" s="9" t="s">
        <v>304</v>
      </c>
      <c r="AL2" s="9" t="s">
        <v>684</v>
      </c>
      <c r="AM2" s="9" t="s">
        <v>253</v>
      </c>
      <c r="AN2" s="9" t="s">
        <v>324</v>
      </c>
      <c r="AO2" s="9" t="s">
        <v>610</v>
      </c>
      <c r="AP2" s="9" t="s">
        <v>317</v>
      </c>
      <c r="AQ2" s="9" t="s">
        <v>458</v>
      </c>
      <c r="AR2" s="9" t="s">
        <v>594</v>
      </c>
      <c r="AS2" s="9" t="s">
        <v>457</v>
      </c>
      <c r="AT2" s="9" t="s">
        <v>460</v>
      </c>
      <c r="AU2" s="9" t="s">
        <v>297</v>
      </c>
      <c r="AV2" s="9" t="s">
        <v>479</v>
      </c>
      <c r="AW2" s="9" t="s">
        <v>464</v>
      </c>
      <c r="AX2" s="9" t="s">
        <v>83</v>
      </c>
      <c r="AY2" s="9" t="s">
        <v>639</v>
      </c>
      <c r="AZ2" s="12"/>
      <c r="BA2" s="9"/>
    </row>
    <row r="3" spans="1:53" x14ac:dyDescent="0.8">
      <c r="A3" s="4" t="s">
        <v>1055</v>
      </c>
      <c r="B3">
        <v>48</v>
      </c>
      <c r="C3">
        <f>SUM(D3:AY3)</f>
        <v>111</v>
      </c>
      <c r="D3">
        <v>1</v>
      </c>
      <c r="I3">
        <v>3</v>
      </c>
      <c r="K3">
        <v>1</v>
      </c>
      <c r="L3">
        <v>26</v>
      </c>
      <c r="M3">
        <v>2</v>
      </c>
      <c r="N3">
        <v>1</v>
      </c>
      <c r="P3">
        <v>18</v>
      </c>
      <c r="Q3">
        <v>12</v>
      </c>
      <c r="W3">
        <v>4</v>
      </c>
      <c r="X3">
        <v>2</v>
      </c>
      <c r="AC3">
        <v>2</v>
      </c>
      <c r="AD3">
        <v>1</v>
      </c>
      <c r="AE3">
        <v>1</v>
      </c>
      <c r="AG3">
        <v>2</v>
      </c>
      <c r="AH3">
        <v>12</v>
      </c>
      <c r="AN3">
        <v>1</v>
      </c>
      <c r="AR3">
        <v>4</v>
      </c>
      <c r="AS3">
        <v>5</v>
      </c>
      <c r="AT3">
        <v>2</v>
      </c>
      <c r="AU3">
        <v>10</v>
      </c>
      <c r="AY3">
        <v>1</v>
      </c>
      <c r="AZ3" s="14">
        <v>159</v>
      </c>
      <c r="BA3">
        <v>159</v>
      </c>
    </row>
    <row r="4" spans="1:53" x14ac:dyDescent="0.8">
      <c r="A4" s="4" t="s">
        <v>1061</v>
      </c>
      <c r="B4">
        <v>373</v>
      </c>
      <c r="C4">
        <f>SUM(D4:AY4)</f>
        <v>501</v>
      </c>
      <c r="D4">
        <v>14</v>
      </c>
      <c r="E4">
        <v>1</v>
      </c>
      <c r="F4">
        <v>5</v>
      </c>
      <c r="G4">
        <v>1</v>
      </c>
      <c r="H4">
        <v>7</v>
      </c>
      <c r="I4">
        <v>16</v>
      </c>
      <c r="J4">
        <v>1</v>
      </c>
      <c r="L4">
        <v>156</v>
      </c>
      <c r="M4">
        <v>3</v>
      </c>
      <c r="N4">
        <v>2</v>
      </c>
      <c r="O4">
        <v>2</v>
      </c>
      <c r="P4">
        <v>13</v>
      </c>
      <c r="Q4">
        <v>74</v>
      </c>
      <c r="R4">
        <v>3</v>
      </c>
      <c r="S4">
        <v>1</v>
      </c>
      <c r="U4">
        <v>3</v>
      </c>
      <c r="V4">
        <v>7</v>
      </c>
      <c r="W4">
        <v>14</v>
      </c>
      <c r="X4">
        <v>12</v>
      </c>
      <c r="Y4">
        <v>7</v>
      </c>
      <c r="Z4">
        <v>1</v>
      </c>
      <c r="AA4">
        <v>3</v>
      </c>
      <c r="AB4">
        <v>6</v>
      </c>
      <c r="AC4">
        <v>3</v>
      </c>
      <c r="AD4">
        <v>3</v>
      </c>
      <c r="AE4">
        <v>1</v>
      </c>
      <c r="AF4">
        <v>3</v>
      </c>
      <c r="AG4">
        <v>20</v>
      </c>
      <c r="AH4">
        <v>33</v>
      </c>
      <c r="AI4">
        <v>1</v>
      </c>
      <c r="AJ4">
        <v>1</v>
      </c>
      <c r="AK4">
        <v>1</v>
      </c>
      <c r="AL4">
        <v>2</v>
      </c>
      <c r="AM4">
        <v>2</v>
      </c>
      <c r="AN4">
        <v>4</v>
      </c>
      <c r="AO4">
        <v>1</v>
      </c>
      <c r="AP4">
        <v>2</v>
      </c>
      <c r="AQ4">
        <v>1</v>
      </c>
      <c r="AS4">
        <v>5</v>
      </c>
      <c r="AT4">
        <v>1</v>
      </c>
      <c r="AU4">
        <v>7</v>
      </c>
      <c r="AV4">
        <v>46</v>
      </c>
      <c r="AW4">
        <v>2</v>
      </c>
      <c r="AX4">
        <v>4</v>
      </c>
      <c r="AY4">
        <v>6</v>
      </c>
      <c r="AZ4" s="14">
        <v>874</v>
      </c>
      <c r="BA4">
        <v>874</v>
      </c>
    </row>
    <row r="5" spans="1:53" x14ac:dyDescent="0.8">
      <c r="A5" s="4" t="s">
        <v>1064</v>
      </c>
      <c r="B5">
        <v>43</v>
      </c>
      <c r="D5">
        <v>3</v>
      </c>
      <c r="I5">
        <v>2</v>
      </c>
      <c r="J5">
        <v>1</v>
      </c>
      <c r="L5">
        <v>18</v>
      </c>
      <c r="M5">
        <v>3</v>
      </c>
      <c r="N5">
        <v>3</v>
      </c>
      <c r="P5">
        <v>10</v>
      </c>
      <c r="Q5">
        <v>15</v>
      </c>
      <c r="R5">
        <v>1</v>
      </c>
      <c r="T5">
        <v>1</v>
      </c>
      <c r="W5">
        <v>2</v>
      </c>
      <c r="X5">
        <v>5</v>
      </c>
      <c r="Y5">
        <v>3</v>
      </c>
      <c r="AB5">
        <v>2</v>
      </c>
      <c r="AG5">
        <v>5</v>
      </c>
      <c r="AH5">
        <v>3</v>
      </c>
      <c r="AL5">
        <v>1</v>
      </c>
      <c r="AN5">
        <v>2</v>
      </c>
      <c r="AT5">
        <v>1</v>
      </c>
      <c r="AU5">
        <v>1</v>
      </c>
      <c r="AW5">
        <v>1</v>
      </c>
      <c r="AY5">
        <v>4</v>
      </c>
      <c r="AZ5" s="14">
        <v>131</v>
      </c>
      <c r="BA5">
        <v>131</v>
      </c>
    </row>
    <row r="6" spans="1:53" x14ac:dyDescent="0.8">
      <c r="A6" s="15" t="s">
        <v>1054</v>
      </c>
      <c r="B6" s="16">
        <v>464</v>
      </c>
      <c r="C6" s="16"/>
      <c r="D6" s="16">
        <v>18</v>
      </c>
      <c r="E6" s="16">
        <v>1</v>
      </c>
      <c r="F6" s="16">
        <v>5</v>
      </c>
      <c r="G6" s="16">
        <v>1</v>
      </c>
      <c r="H6" s="16">
        <v>7</v>
      </c>
      <c r="I6" s="16">
        <v>21</v>
      </c>
      <c r="J6" s="16">
        <v>2</v>
      </c>
      <c r="K6" s="16">
        <v>1</v>
      </c>
      <c r="L6" s="16">
        <v>200</v>
      </c>
      <c r="M6" s="16">
        <v>8</v>
      </c>
      <c r="N6" s="16">
        <v>6</v>
      </c>
      <c r="O6" s="16">
        <v>2</v>
      </c>
      <c r="P6" s="16">
        <v>41</v>
      </c>
      <c r="Q6" s="16">
        <v>101</v>
      </c>
      <c r="R6" s="16">
        <v>4</v>
      </c>
      <c r="S6" s="16">
        <v>1</v>
      </c>
      <c r="T6" s="16">
        <v>1</v>
      </c>
      <c r="U6" s="16">
        <v>3</v>
      </c>
      <c r="V6" s="16">
        <v>7</v>
      </c>
      <c r="W6" s="16">
        <v>20</v>
      </c>
      <c r="X6" s="16">
        <v>19</v>
      </c>
      <c r="Y6" s="16">
        <v>10</v>
      </c>
      <c r="Z6" s="16">
        <v>1</v>
      </c>
      <c r="AA6" s="16">
        <v>3</v>
      </c>
      <c r="AB6" s="16">
        <v>8</v>
      </c>
      <c r="AC6" s="16">
        <v>5</v>
      </c>
      <c r="AD6" s="16">
        <v>4</v>
      </c>
      <c r="AE6" s="16">
        <v>2</v>
      </c>
      <c r="AF6" s="16">
        <v>3</v>
      </c>
      <c r="AG6" s="16">
        <v>27</v>
      </c>
      <c r="AH6" s="16">
        <v>48</v>
      </c>
      <c r="AI6" s="16">
        <v>1</v>
      </c>
      <c r="AJ6" s="16">
        <v>1</v>
      </c>
      <c r="AK6" s="16">
        <v>1</v>
      </c>
      <c r="AL6" s="16">
        <v>3</v>
      </c>
      <c r="AM6" s="16">
        <v>2</v>
      </c>
      <c r="AN6" s="16">
        <v>7</v>
      </c>
      <c r="AO6" s="16">
        <v>1</v>
      </c>
      <c r="AP6" s="16">
        <v>2</v>
      </c>
      <c r="AQ6" s="16">
        <v>1</v>
      </c>
      <c r="AR6" s="16">
        <v>4</v>
      </c>
      <c r="AS6" s="16">
        <v>10</v>
      </c>
      <c r="AT6" s="16">
        <v>4</v>
      </c>
      <c r="AU6" s="16">
        <v>18</v>
      </c>
      <c r="AV6" s="16">
        <v>46</v>
      </c>
      <c r="AW6" s="16">
        <v>3</v>
      </c>
      <c r="AX6" s="16">
        <v>4</v>
      </c>
      <c r="AY6" s="16">
        <v>11</v>
      </c>
      <c r="AZ6" s="16">
        <v>1164</v>
      </c>
      <c r="BA6" s="16">
        <v>1164</v>
      </c>
    </row>
    <row r="10" spans="1:53" x14ac:dyDescent="0.8">
      <c r="A10" t="s">
        <v>1146</v>
      </c>
      <c r="B10" s="17" t="s">
        <v>73</v>
      </c>
      <c r="C10" t="s">
        <v>1133</v>
      </c>
      <c r="D10" t="s">
        <v>1124</v>
      </c>
    </row>
    <row r="11" spans="1:53" x14ac:dyDescent="0.8">
      <c r="A11" t="s">
        <v>1055</v>
      </c>
      <c r="B11">
        <v>48</v>
      </c>
      <c r="C11">
        <v>111</v>
      </c>
      <c r="D11">
        <v>0.12779060816012316</v>
      </c>
    </row>
    <row r="12" spans="1:53" x14ac:dyDescent="0.8">
      <c r="A12" t="s">
        <v>1061</v>
      </c>
      <c r="B12">
        <v>373</v>
      </c>
      <c r="C12">
        <v>501</v>
      </c>
      <c r="D12">
        <v>0.87220939183987678</v>
      </c>
    </row>
    <row r="14" spans="1:53" x14ac:dyDescent="0.8">
      <c r="A14" t="s">
        <v>1134</v>
      </c>
      <c r="B14">
        <f>B12+B11</f>
        <v>421</v>
      </c>
      <c r="C14">
        <f>C12+C11</f>
        <v>612</v>
      </c>
    </row>
    <row r="17" spans="1:8" x14ac:dyDescent="0.8">
      <c r="A17" t="s">
        <v>1135</v>
      </c>
      <c r="B17" t="s">
        <v>1138</v>
      </c>
      <c r="C17" t="s">
        <v>1137</v>
      </c>
      <c r="F17" t="s">
        <v>1136</v>
      </c>
      <c r="G17" t="s">
        <v>1138</v>
      </c>
      <c r="H17" t="s">
        <v>1137</v>
      </c>
    </row>
    <row r="18" spans="1:8" x14ac:dyDescent="0.8">
      <c r="A18" t="s">
        <v>1055</v>
      </c>
      <c r="B18">
        <v>48</v>
      </c>
      <c r="C18">
        <f>B14*D11</f>
        <v>53.799846035411854</v>
      </c>
      <c r="F18" t="s">
        <v>1055</v>
      </c>
      <c r="G18">
        <v>111</v>
      </c>
      <c r="H18">
        <f>612*D11</f>
        <v>78.207852193995379</v>
      </c>
    </row>
    <row r="19" spans="1:8" x14ac:dyDescent="0.8">
      <c r="A19" t="s">
        <v>1061</v>
      </c>
      <c r="B19">
        <v>373</v>
      </c>
      <c r="C19">
        <f>B14*D12</f>
        <v>367.20015396458814</v>
      </c>
      <c r="F19" t="s">
        <v>1061</v>
      </c>
      <c r="G19">
        <v>501</v>
      </c>
      <c r="H19">
        <f>C14*D12</f>
        <v>533.79214780600455</v>
      </c>
    </row>
    <row r="21" spans="1:8" x14ac:dyDescent="0.8">
      <c r="A21">
        <f>CHITEST(B18:B19,C18:C19)</f>
        <v>0.39717756602826204</v>
      </c>
      <c r="F21" s="13">
        <f>CHITEST(G18:G19,H18:H19)</f>
        <v>7.1751952547581473E-5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51D6-13C0-7D48-B143-9A54DAF8BB19}">
  <dimension ref="A1:K19"/>
  <sheetViews>
    <sheetView zoomScale="53" zoomScaleNormal="102" workbookViewId="0">
      <selection activeCell="L21" sqref="L21"/>
    </sheetView>
  </sheetViews>
  <sheetFormatPr defaultColWidth="10.6640625" defaultRowHeight="16" x14ac:dyDescent="0.8"/>
  <cols>
    <col min="2" max="2" width="11.70703125" bestFit="1" customWidth="1"/>
    <col min="5" max="5" width="10.70703125" bestFit="1" customWidth="1"/>
    <col min="9" max="9" width="12.0390625" bestFit="1" customWidth="1"/>
  </cols>
  <sheetData>
    <row r="1" spans="1:11" x14ac:dyDescent="0.8">
      <c r="A1" s="9" t="s">
        <v>1052</v>
      </c>
      <c r="B1" s="9" t="s">
        <v>1087</v>
      </c>
      <c r="C1" s="9" t="s">
        <v>1142</v>
      </c>
      <c r="D1" s="9" t="s">
        <v>1085</v>
      </c>
      <c r="E1" s="9" t="s">
        <v>1110</v>
      </c>
      <c r="F1" s="9" t="s">
        <v>1065</v>
      </c>
      <c r="G1" s="9" t="s">
        <v>1109</v>
      </c>
      <c r="H1" s="9" t="s">
        <v>1066</v>
      </c>
      <c r="I1" s="9" t="s">
        <v>1075</v>
      </c>
      <c r="J1" s="9" t="s">
        <v>1054</v>
      </c>
    </row>
    <row r="2" spans="1:11" x14ac:dyDescent="0.8">
      <c r="A2" s="4" t="s">
        <v>27</v>
      </c>
      <c r="B2">
        <v>2</v>
      </c>
      <c r="C2">
        <v>3</v>
      </c>
      <c r="D2">
        <v>8</v>
      </c>
      <c r="E2">
        <v>1</v>
      </c>
      <c r="F2">
        <v>6</v>
      </c>
      <c r="G2">
        <v>4</v>
      </c>
      <c r="H2">
        <v>137</v>
      </c>
      <c r="I2">
        <v>41</v>
      </c>
      <c r="J2">
        <f>SUM(B2:I2)</f>
        <v>202</v>
      </c>
    </row>
    <row r="3" spans="1:11" x14ac:dyDescent="0.8">
      <c r="A3" s="4" t="s">
        <v>45</v>
      </c>
      <c r="B3">
        <v>107</v>
      </c>
      <c r="C3">
        <v>2</v>
      </c>
      <c r="D3">
        <v>105</v>
      </c>
      <c r="E3">
        <v>13</v>
      </c>
      <c r="F3">
        <v>172</v>
      </c>
      <c r="G3">
        <v>7</v>
      </c>
      <c r="H3">
        <v>225</v>
      </c>
      <c r="I3">
        <v>303</v>
      </c>
      <c r="J3">
        <f>SUM(B3:I3)</f>
        <v>934</v>
      </c>
    </row>
    <row r="4" spans="1:11" x14ac:dyDescent="0.8">
      <c r="A4" s="4" t="s">
        <v>94</v>
      </c>
      <c r="B4">
        <v>1</v>
      </c>
      <c r="C4">
        <v>0</v>
      </c>
      <c r="D4">
        <v>3</v>
      </c>
      <c r="E4">
        <v>0</v>
      </c>
      <c r="F4">
        <v>12</v>
      </c>
      <c r="G4">
        <v>0</v>
      </c>
      <c r="H4">
        <v>18</v>
      </c>
      <c r="I4">
        <v>6</v>
      </c>
      <c r="J4">
        <f>SUM(B4:I4)</f>
        <v>40</v>
      </c>
    </row>
    <row r="5" spans="1:11" x14ac:dyDescent="0.8">
      <c r="A5" s="15" t="s">
        <v>1054</v>
      </c>
      <c r="B5" s="16">
        <f>SUM(B2:B4)</f>
        <v>110</v>
      </c>
      <c r="C5" s="16">
        <v>5</v>
      </c>
      <c r="D5" s="16">
        <v>116</v>
      </c>
      <c r="E5" s="16">
        <v>14</v>
      </c>
      <c r="F5" s="16">
        <v>190</v>
      </c>
      <c r="G5" s="16">
        <v>11</v>
      </c>
      <c r="H5" s="16">
        <v>380</v>
      </c>
      <c r="I5" s="16">
        <v>350</v>
      </c>
      <c r="J5" s="16">
        <f>SUM(J2:J4)</f>
        <v>1176</v>
      </c>
    </row>
    <row r="6" spans="1:11" x14ac:dyDescent="0.8">
      <c r="A6" s="8" t="s">
        <v>1144</v>
      </c>
      <c r="B6">
        <f>B5/1176</f>
        <v>9.3537414965986401E-2</v>
      </c>
      <c r="C6">
        <f>C5/1176</f>
        <v>4.2517006802721092E-3</v>
      </c>
      <c r="D6">
        <f t="shared" ref="D6:I6" si="0">D5/1176</f>
        <v>9.8639455782312924E-2</v>
      </c>
      <c r="E6">
        <f t="shared" si="0"/>
        <v>1.1904761904761904E-2</v>
      </c>
      <c r="F6">
        <f t="shared" si="0"/>
        <v>0.16156462585034015</v>
      </c>
      <c r="G6">
        <f t="shared" si="0"/>
        <v>9.3537414965986394E-3</v>
      </c>
      <c r="H6">
        <f t="shared" si="0"/>
        <v>0.3231292517006803</v>
      </c>
      <c r="I6">
        <f t="shared" si="0"/>
        <v>0.29761904761904762</v>
      </c>
    </row>
    <row r="8" spans="1:11" x14ac:dyDescent="0.8">
      <c r="A8" t="s">
        <v>27</v>
      </c>
      <c r="E8" t="s">
        <v>94</v>
      </c>
      <c r="I8" t="s">
        <v>45</v>
      </c>
    </row>
    <row r="9" spans="1:11" x14ac:dyDescent="0.8">
      <c r="B9" t="s">
        <v>1117</v>
      </c>
      <c r="C9" t="s">
        <v>1118</v>
      </c>
      <c r="F9" t="s">
        <v>1117</v>
      </c>
      <c r="G9" t="s">
        <v>1118</v>
      </c>
      <c r="J9" t="s">
        <v>1117</v>
      </c>
      <c r="K9" t="s">
        <v>1118</v>
      </c>
    </row>
    <row r="10" spans="1:11" x14ac:dyDescent="0.8">
      <c r="A10" t="s">
        <v>1087</v>
      </c>
      <c r="B10">
        <v>2</v>
      </c>
      <c r="C10">
        <f>202*B6</f>
        <v>18.894557823129254</v>
      </c>
      <c r="E10" t="s">
        <v>1087</v>
      </c>
      <c r="F10">
        <v>1</v>
      </c>
      <c r="G10">
        <f>40*B6</f>
        <v>3.7414965986394559</v>
      </c>
      <c r="I10" t="s">
        <v>1087</v>
      </c>
      <c r="J10">
        <v>107</v>
      </c>
      <c r="K10">
        <f>934*B6</f>
        <v>87.363945578231295</v>
      </c>
    </row>
    <row r="11" spans="1:11" x14ac:dyDescent="0.8">
      <c r="A11" t="s">
        <v>1142</v>
      </c>
      <c r="B11">
        <v>3</v>
      </c>
      <c r="C11">
        <f>202*C6</f>
        <v>0.85884353741496611</v>
      </c>
      <c r="E11" t="s">
        <v>1142</v>
      </c>
      <c r="F11">
        <v>0</v>
      </c>
      <c r="G11">
        <f>40*C6</f>
        <v>0.17006802721088438</v>
      </c>
      <c r="I11" t="s">
        <v>1142</v>
      </c>
      <c r="J11">
        <v>2</v>
      </c>
      <c r="K11">
        <f>934*C6</f>
        <v>3.97108843537415</v>
      </c>
    </row>
    <row r="12" spans="1:11" x14ac:dyDescent="0.8">
      <c r="A12" t="s">
        <v>1085</v>
      </c>
      <c r="B12">
        <v>8</v>
      </c>
      <c r="C12">
        <f>202*D6</f>
        <v>19.92517006802721</v>
      </c>
      <c r="E12" t="s">
        <v>1085</v>
      </c>
      <c r="F12">
        <v>3</v>
      </c>
      <c r="G12">
        <f>40*D6</f>
        <v>3.9455782312925169</v>
      </c>
      <c r="I12" t="s">
        <v>1085</v>
      </c>
      <c r="J12">
        <v>105</v>
      </c>
      <c r="K12">
        <f>934*D6</f>
        <v>92.129251700680271</v>
      </c>
    </row>
    <row r="13" spans="1:11" x14ac:dyDescent="0.8">
      <c r="A13" t="s">
        <v>1110</v>
      </c>
      <c r="B13">
        <v>1</v>
      </c>
      <c r="C13">
        <f>202*E6</f>
        <v>2.4047619047619047</v>
      </c>
      <c r="E13" t="s">
        <v>1110</v>
      </c>
      <c r="F13">
        <v>0</v>
      </c>
      <c r="G13">
        <f>40*E6</f>
        <v>0.47619047619047616</v>
      </c>
      <c r="I13" t="s">
        <v>1110</v>
      </c>
      <c r="J13">
        <v>13</v>
      </c>
      <c r="K13">
        <f>934*E6</f>
        <v>11.119047619047619</v>
      </c>
    </row>
    <row r="14" spans="1:11" x14ac:dyDescent="0.8">
      <c r="A14" t="s">
        <v>1065</v>
      </c>
      <c r="B14">
        <v>6</v>
      </c>
      <c r="C14">
        <f>202*F6</f>
        <v>32.636054421768712</v>
      </c>
      <c r="E14" t="s">
        <v>1065</v>
      </c>
      <c r="F14">
        <v>12</v>
      </c>
      <c r="G14">
        <f>40*F6</f>
        <v>6.462585034013606</v>
      </c>
      <c r="I14" t="s">
        <v>1065</v>
      </c>
      <c r="J14">
        <v>172</v>
      </c>
      <c r="K14">
        <f>934*F6</f>
        <v>150.90136054421771</v>
      </c>
    </row>
    <row r="15" spans="1:11" x14ac:dyDescent="0.8">
      <c r="A15" t="s">
        <v>1109</v>
      </c>
      <c r="B15">
        <v>4</v>
      </c>
      <c r="C15">
        <f>202*G6</f>
        <v>1.8894557823129252</v>
      </c>
      <c r="E15" t="s">
        <v>1109</v>
      </c>
      <c r="F15">
        <v>0</v>
      </c>
      <c r="G15">
        <f>40*G6</f>
        <v>0.37414965986394555</v>
      </c>
      <c r="I15" t="s">
        <v>1109</v>
      </c>
      <c r="J15">
        <v>7</v>
      </c>
      <c r="K15">
        <f>934*G6</f>
        <v>8.7363945578231288</v>
      </c>
    </row>
    <row r="16" spans="1:11" x14ac:dyDescent="0.8">
      <c r="A16" t="s">
        <v>1066</v>
      </c>
      <c r="B16">
        <v>137</v>
      </c>
      <c r="C16">
        <f>202*H6</f>
        <v>65.272108843537424</v>
      </c>
      <c r="E16" t="s">
        <v>1066</v>
      </c>
      <c r="F16">
        <v>18</v>
      </c>
      <c r="G16">
        <f>40*H6</f>
        <v>12.925170068027212</v>
      </c>
      <c r="I16" t="s">
        <v>1066</v>
      </c>
      <c r="J16">
        <v>225</v>
      </c>
      <c r="K16">
        <f>934*H6</f>
        <v>301.80272108843542</v>
      </c>
    </row>
    <row r="17" spans="1:11" x14ac:dyDescent="0.8">
      <c r="A17" t="s">
        <v>1075</v>
      </c>
      <c r="B17">
        <v>41</v>
      </c>
      <c r="C17">
        <f>202*I6</f>
        <v>60.11904761904762</v>
      </c>
      <c r="E17" t="s">
        <v>1075</v>
      </c>
      <c r="F17">
        <v>6</v>
      </c>
      <c r="G17">
        <f>40*I6</f>
        <v>11.904761904761905</v>
      </c>
      <c r="I17" t="s">
        <v>1075</v>
      </c>
      <c r="J17">
        <v>303</v>
      </c>
      <c r="K17">
        <f>934*I6</f>
        <v>277.97619047619048</v>
      </c>
    </row>
    <row r="19" spans="1:11" x14ac:dyDescent="0.8">
      <c r="A19" t="s">
        <v>1145</v>
      </c>
      <c r="B19">
        <f>_xlfn.CHISQ.TEST(B10:B17,C10:C17)</f>
        <v>1.779922863110157E-26</v>
      </c>
      <c r="F19">
        <f>_xlfn.CHISQ.TEST(F10:F17,G10:G17)</f>
        <v>7.4037274303578621E-2</v>
      </c>
      <c r="J19">
        <f>_xlfn.CHISQ.TEST(J10:J17,K10:K17)</f>
        <v>3.1419208014562401E-5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9A08-5E73-49A9-9FCF-06A37DAE0777}">
  <dimension ref="A1:AZ11"/>
  <sheetViews>
    <sheetView zoomScale="77" zoomScaleNormal="100" workbookViewId="0">
      <selection activeCell="A5" sqref="A5:XFD5"/>
    </sheetView>
  </sheetViews>
  <sheetFormatPr defaultRowHeight="16" x14ac:dyDescent="0.8"/>
  <sheetData>
    <row r="1" spans="1:52" x14ac:dyDescent="0.8">
      <c r="A1" s="8"/>
      <c r="B1" s="8"/>
      <c r="C1" s="8"/>
      <c r="D1" s="8" t="s">
        <v>45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8">
      <c r="A2" s="9" t="s">
        <v>1052</v>
      </c>
      <c r="B2" s="9" t="s">
        <v>73</v>
      </c>
      <c r="C2" s="9" t="s">
        <v>1147</v>
      </c>
      <c r="D2" s="9" t="s">
        <v>107</v>
      </c>
      <c r="E2" s="9" t="s">
        <v>751</v>
      </c>
      <c r="F2" s="9" t="s">
        <v>647</v>
      </c>
      <c r="G2" s="9" t="s">
        <v>682</v>
      </c>
      <c r="H2" s="9" t="s">
        <v>932</v>
      </c>
      <c r="I2" s="9" t="s">
        <v>501</v>
      </c>
      <c r="J2" s="9" t="s">
        <v>233</v>
      </c>
      <c r="K2" s="9" t="s">
        <v>452</v>
      </c>
      <c r="L2" s="9" t="s">
        <v>587</v>
      </c>
      <c r="M2" s="9" t="s">
        <v>159</v>
      </c>
      <c r="N2" s="9" t="s">
        <v>287</v>
      </c>
      <c r="O2" s="9" t="s">
        <v>291</v>
      </c>
      <c r="P2" s="9" t="s">
        <v>322</v>
      </c>
      <c r="Q2" s="9" t="s">
        <v>51</v>
      </c>
      <c r="R2" s="9" t="s">
        <v>92</v>
      </c>
      <c r="S2" s="9" t="s">
        <v>283</v>
      </c>
      <c r="T2" s="9" t="s">
        <v>1010</v>
      </c>
      <c r="U2" s="9" t="s">
        <v>817</v>
      </c>
      <c r="V2" s="9" t="s">
        <v>522</v>
      </c>
      <c r="W2" s="9" t="s">
        <v>488</v>
      </c>
      <c r="X2" s="9" t="s">
        <v>60</v>
      </c>
      <c r="Y2" s="9" t="s">
        <v>66</v>
      </c>
      <c r="Z2" s="9" t="s">
        <v>172</v>
      </c>
      <c r="AA2" s="9" t="s">
        <v>556</v>
      </c>
      <c r="AB2" s="9" t="s">
        <v>519</v>
      </c>
      <c r="AC2" s="9" t="s">
        <v>382</v>
      </c>
      <c r="AD2" s="9" t="s">
        <v>346</v>
      </c>
      <c r="AE2" s="9" t="s">
        <v>396</v>
      </c>
      <c r="AF2" s="9" t="s">
        <v>550</v>
      </c>
      <c r="AG2" s="9" t="s">
        <v>182</v>
      </c>
      <c r="AH2" s="9" t="s">
        <v>294</v>
      </c>
      <c r="AI2" s="9" t="s">
        <v>143</v>
      </c>
      <c r="AJ2" s="9" t="s">
        <v>945</v>
      </c>
      <c r="AK2" s="9" t="s">
        <v>184</v>
      </c>
      <c r="AL2" s="9" t="s">
        <v>304</v>
      </c>
      <c r="AM2" s="9" t="s">
        <v>684</v>
      </c>
      <c r="AN2" s="9" t="s">
        <v>253</v>
      </c>
      <c r="AO2" s="9" t="s">
        <v>324</v>
      </c>
      <c r="AP2" s="9" t="s">
        <v>610</v>
      </c>
      <c r="AQ2" s="9" t="s">
        <v>317</v>
      </c>
      <c r="AR2" s="9" t="s">
        <v>458</v>
      </c>
      <c r="AS2" s="9" t="s">
        <v>594</v>
      </c>
      <c r="AT2" s="9" t="s">
        <v>457</v>
      </c>
      <c r="AU2" s="9" t="s">
        <v>460</v>
      </c>
      <c r="AV2" s="9" t="s">
        <v>297</v>
      </c>
      <c r="AW2" s="9" t="s">
        <v>479</v>
      </c>
      <c r="AX2" s="9" t="s">
        <v>464</v>
      </c>
      <c r="AY2" s="9" t="s">
        <v>83</v>
      </c>
      <c r="AZ2" s="9" t="s">
        <v>639</v>
      </c>
    </row>
    <row r="3" spans="1:52" x14ac:dyDescent="0.8">
      <c r="A3" s="4" t="s">
        <v>1087</v>
      </c>
      <c r="B3">
        <v>86</v>
      </c>
      <c r="C3">
        <f>SUM(D3:AZ3)</f>
        <v>21</v>
      </c>
      <c r="I3">
        <v>1</v>
      </c>
      <c r="J3">
        <v>4</v>
      </c>
      <c r="M3">
        <v>7</v>
      </c>
      <c r="O3">
        <v>1</v>
      </c>
      <c r="P3">
        <v>2</v>
      </c>
      <c r="R3">
        <v>3</v>
      </c>
      <c r="AI3">
        <v>2</v>
      </c>
      <c r="AQ3">
        <v>1</v>
      </c>
    </row>
    <row r="4" spans="1:52" x14ac:dyDescent="0.8">
      <c r="A4" s="4" t="s">
        <v>1142</v>
      </c>
      <c r="B4">
        <v>1</v>
      </c>
      <c r="C4">
        <f t="shared" ref="C4:C10" si="0">SUM(D4:AZ4)</f>
        <v>1</v>
      </c>
      <c r="M4">
        <v>1</v>
      </c>
    </row>
    <row r="5" spans="1:52" x14ac:dyDescent="0.8">
      <c r="A5" s="4" t="s">
        <v>1085</v>
      </c>
      <c r="B5">
        <v>18</v>
      </c>
      <c r="C5">
        <f t="shared" si="0"/>
        <v>87</v>
      </c>
      <c r="J5">
        <v>2</v>
      </c>
      <c r="M5">
        <v>16</v>
      </c>
      <c r="N5">
        <v>2</v>
      </c>
      <c r="O5">
        <v>1</v>
      </c>
      <c r="R5">
        <v>7</v>
      </c>
      <c r="W5">
        <v>1</v>
      </c>
      <c r="AE5">
        <v>1</v>
      </c>
      <c r="AF5">
        <v>1</v>
      </c>
      <c r="AH5">
        <v>1</v>
      </c>
      <c r="AI5">
        <v>11</v>
      </c>
      <c r="AW5">
        <v>44</v>
      </c>
    </row>
    <row r="6" spans="1:52" x14ac:dyDescent="0.8">
      <c r="A6" s="4" t="s">
        <v>1110</v>
      </c>
      <c r="B6">
        <v>8</v>
      </c>
      <c r="C6">
        <f t="shared" si="0"/>
        <v>5</v>
      </c>
      <c r="D6">
        <v>1</v>
      </c>
      <c r="M6">
        <v>2</v>
      </c>
      <c r="R6">
        <v>1</v>
      </c>
      <c r="AD6">
        <v>1</v>
      </c>
    </row>
    <row r="7" spans="1:52" x14ac:dyDescent="0.8">
      <c r="A7" s="4" t="s">
        <v>1065</v>
      </c>
      <c r="B7">
        <v>65</v>
      </c>
      <c r="C7">
        <f t="shared" si="0"/>
        <v>107</v>
      </c>
      <c r="D7">
        <v>1</v>
      </c>
      <c r="G7">
        <v>5</v>
      </c>
      <c r="H7">
        <v>1</v>
      </c>
      <c r="I7">
        <v>3</v>
      </c>
      <c r="J7">
        <v>4</v>
      </c>
      <c r="M7">
        <v>74</v>
      </c>
      <c r="N7">
        <v>1</v>
      </c>
      <c r="R7">
        <v>4</v>
      </c>
      <c r="V7">
        <v>1</v>
      </c>
      <c r="Y7">
        <v>3</v>
      </c>
      <c r="Z7">
        <v>1</v>
      </c>
      <c r="AI7">
        <v>1</v>
      </c>
      <c r="AM7">
        <v>1</v>
      </c>
      <c r="AO7">
        <v>1</v>
      </c>
      <c r="AW7">
        <v>2</v>
      </c>
      <c r="AY7">
        <v>1</v>
      </c>
      <c r="AZ7">
        <v>3</v>
      </c>
    </row>
    <row r="8" spans="1:52" x14ac:dyDescent="0.8">
      <c r="A8" s="4" t="s">
        <v>1109</v>
      </c>
      <c r="B8">
        <v>5</v>
      </c>
      <c r="C8">
        <f t="shared" si="0"/>
        <v>2</v>
      </c>
      <c r="AT8">
        <v>2</v>
      </c>
    </row>
    <row r="9" spans="1:52" x14ac:dyDescent="0.8">
      <c r="A9" s="4" t="s">
        <v>1066</v>
      </c>
      <c r="B9">
        <v>69</v>
      </c>
      <c r="C9">
        <f t="shared" si="0"/>
        <v>156</v>
      </c>
      <c r="D9">
        <v>1</v>
      </c>
      <c r="F9">
        <v>1</v>
      </c>
      <c r="J9">
        <v>3</v>
      </c>
      <c r="M9">
        <v>11</v>
      </c>
      <c r="N9">
        <v>2</v>
      </c>
      <c r="Q9">
        <v>4</v>
      </c>
      <c r="R9">
        <v>58</v>
      </c>
      <c r="S9">
        <v>2</v>
      </c>
      <c r="V9">
        <v>2</v>
      </c>
      <c r="W9">
        <v>3</v>
      </c>
      <c r="X9">
        <v>12</v>
      </c>
      <c r="Y9">
        <v>6</v>
      </c>
      <c r="Z9">
        <v>3</v>
      </c>
      <c r="AB9">
        <v>1</v>
      </c>
      <c r="AC9">
        <v>1</v>
      </c>
      <c r="AD9">
        <v>1</v>
      </c>
      <c r="AE9">
        <v>1</v>
      </c>
      <c r="AG9">
        <v>2</v>
      </c>
      <c r="AH9">
        <v>15</v>
      </c>
      <c r="AI9">
        <v>19</v>
      </c>
      <c r="AK9">
        <v>1</v>
      </c>
      <c r="AL9">
        <v>1</v>
      </c>
      <c r="AN9">
        <v>1</v>
      </c>
      <c r="AQ9">
        <v>1</v>
      </c>
      <c r="AY9">
        <v>1</v>
      </c>
      <c r="AZ9">
        <v>3</v>
      </c>
    </row>
    <row r="10" spans="1:52" x14ac:dyDescent="0.8">
      <c r="A10" s="4" t="s">
        <v>1075</v>
      </c>
      <c r="B10">
        <v>124</v>
      </c>
      <c r="C10">
        <f t="shared" si="0"/>
        <v>179</v>
      </c>
      <c r="D10">
        <v>3</v>
      </c>
      <c r="I10">
        <v>1</v>
      </c>
      <c r="J10">
        <v>3</v>
      </c>
      <c r="L10">
        <v>1</v>
      </c>
      <c r="M10">
        <v>47</v>
      </c>
      <c r="N10">
        <v>3</v>
      </c>
      <c r="O10">
        <v>3</v>
      </c>
      <c r="Q10">
        <v>28</v>
      </c>
      <c r="R10">
        <v>18</v>
      </c>
      <c r="S10">
        <v>2</v>
      </c>
      <c r="W10">
        <v>3</v>
      </c>
      <c r="X10">
        <v>4</v>
      </c>
      <c r="Y10">
        <v>8</v>
      </c>
      <c r="Z10">
        <v>4</v>
      </c>
      <c r="AA10">
        <v>1</v>
      </c>
      <c r="AB10">
        <v>2</v>
      </c>
      <c r="AC10">
        <v>7</v>
      </c>
      <c r="AE10">
        <v>1</v>
      </c>
      <c r="AF10">
        <v>1</v>
      </c>
      <c r="AG10">
        <v>1</v>
      </c>
      <c r="AH10">
        <v>3</v>
      </c>
      <c r="AI10">
        <v>10</v>
      </c>
      <c r="AJ10">
        <v>1</v>
      </c>
      <c r="AN10">
        <v>1</v>
      </c>
      <c r="AO10">
        <v>1</v>
      </c>
      <c r="AP10">
        <v>1</v>
      </c>
      <c r="AS10">
        <v>4</v>
      </c>
      <c r="AT10">
        <v>4</v>
      </c>
      <c r="AU10">
        <v>2</v>
      </c>
      <c r="AV10">
        <v>11</v>
      </c>
    </row>
    <row r="11" spans="1:52" x14ac:dyDescent="0.8">
      <c r="A11" s="15" t="s">
        <v>1054</v>
      </c>
      <c r="B11" s="16">
        <v>464</v>
      </c>
      <c r="C11" s="16">
        <f>SUM(C3:C10)</f>
        <v>558</v>
      </c>
      <c r="D11" s="16">
        <v>18</v>
      </c>
      <c r="E11" s="16">
        <v>1</v>
      </c>
      <c r="F11" s="16">
        <v>1</v>
      </c>
      <c r="G11" s="16">
        <v>5</v>
      </c>
      <c r="H11" s="16">
        <v>1</v>
      </c>
      <c r="I11" s="16">
        <v>7</v>
      </c>
      <c r="J11" s="16">
        <v>21</v>
      </c>
      <c r="K11" s="16">
        <v>2</v>
      </c>
      <c r="L11" s="16">
        <v>1</v>
      </c>
      <c r="M11" s="16">
        <v>200</v>
      </c>
      <c r="N11" s="16">
        <v>8</v>
      </c>
      <c r="O11" s="16">
        <v>6</v>
      </c>
      <c r="P11" s="16">
        <v>2</v>
      </c>
      <c r="Q11" s="16">
        <v>41</v>
      </c>
      <c r="R11" s="16">
        <v>101</v>
      </c>
      <c r="S11" s="16">
        <v>4</v>
      </c>
      <c r="T11" s="16">
        <v>1</v>
      </c>
      <c r="U11" s="16">
        <v>1</v>
      </c>
      <c r="V11" s="16">
        <v>3</v>
      </c>
      <c r="W11" s="16">
        <v>7</v>
      </c>
      <c r="X11" s="16">
        <v>20</v>
      </c>
      <c r="Y11" s="16">
        <v>19</v>
      </c>
      <c r="Z11" s="16">
        <v>10</v>
      </c>
      <c r="AA11" s="16">
        <v>1</v>
      </c>
      <c r="AB11" s="16">
        <v>3</v>
      </c>
      <c r="AC11" s="16">
        <v>8</v>
      </c>
      <c r="AD11" s="16">
        <v>5</v>
      </c>
      <c r="AE11" s="16">
        <v>4</v>
      </c>
      <c r="AF11" s="16">
        <v>2</v>
      </c>
      <c r="AG11" s="16">
        <v>3</v>
      </c>
      <c r="AH11" s="16">
        <v>27</v>
      </c>
      <c r="AI11" s="16">
        <v>48</v>
      </c>
      <c r="AJ11" s="16">
        <v>1</v>
      </c>
      <c r="AK11" s="16">
        <v>1</v>
      </c>
      <c r="AL11" s="16">
        <v>1</v>
      </c>
      <c r="AM11" s="16">
        <v>3</v>
      </c>
      <c r="AN11" s="16">
        <v>2</v>
      </c>
      <c r="AO11" s="16">
        <v>7</v>
      </c>
      <c r="AP11" s="16">
        <v>1</v>
      </c>
      <c r="AQ11" s="16">
        <v>2</v>
      </c>
      <c r="AR11" s="16">
        <v>1</v>
      </c>
      <c r="AS11" s="16">
        <v>4</v>
      </c>
      <c r="AT11" s="16">
        <v>10</v>
      </c>
      <c r="AU11" s="16">
        <v>4</v>
      </c>
      <c r="AV11" s="16">
        <v>18</v>
      </c>
      <c r="AW11" s="16">
        <v>46</v>
      </c>
      <c r="AX11" s="16">
        <v>3</v>
      </c>
      <c r="AY11" s="16">
        <v>4</v>
      </c>
      <c r="AZ11" s="16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E8EE-14EB-4508-8CBF-9C036B687C50}">
  <dimension ref="A1:AZ7"/>
  <sheetViews>
    <sheetView zoomScale="58" zoomScaleNormal="100" workbookViewId="0">
      <selection activeCell="C7" sqref="C7"/>
    </sheetView>
  </sheetViews>
  <sheetFormatPr defaultRowHeight="16" x14ac:dyDescent="0.8"/>
  <sheetData>
    <row r="1" spans="1:52" x14ac:dyDescent="0.8">
      <c r="A1" s="8"/>
      <c r="B1" s="8"/>
      <c r="C1" s="8"/>
      <c r="D1" s="8" t="s">
        <v>45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8">
      <c r="A2" s="9" t="s">
        <v>1052</v>
      </c>
      <c r="B2" s="9" t="s">
        <v>73</v>
      </c>
      <c r="C2" s="9" t="s">
        <v>1147</v>
      </c>
      <c r="D2" s="9" t="s">
        <v>107</v>
      </c>
      <c r="E2" s="9" t="s">
        <v>751</v>
      </c>
      <c r="F2" s="9" t="s">
        <v>647</v>
      </c>
      <c r="G2" s="9" t="s">
        <v>682</v>
      </c>
      <c r="H2" s="9" t="s">
        <v>932</v>
      </c>
      <c r="I2" s="9" t="s">
        <v>501</v>
      </c>
      <c r="J2" s="9" t="s">
        <v>233</v>
      </c>
      <c r="K2" s="9" t="s">
        <v>452</v>
      </c>
      <c r="L2" s="9" t="s">
        <v>587</v>
      </c>
      <c r="M2" s="9" t="s">
        <v>159</v>
      </c>
      <c r="N2" s="9" t="s">
        <v>287</v>
      </c>
      <c r="O2" s="9" t="s">
        <v>291</v>
      </c>
      <c r="P2" s="9" t="s">
        <v>322</v>
      </c>
      <c r="Q2" s="9" t="s">
        <v>51</v>
      </c>
      <c r="R2" s="9" t="s">
        <v>92</v>
      </c>
      <c r="S2" s="9" t="s">
        <v>283</v>
      </c>
      <c r="T2" s="9" t="s">
        <v>1010</v>
      </c>
      <c r="U2" s="9" t="s">
        <v>817</v>
      </c>
      <c r="V2" s="9" t="s">
        <v>522</v>
      </c>
      <c r="W2" s="9" t="s">
        <v>488</v>
      </c>
      <c r="X2" s="9" t="s">
        <v>60</v>
      </c>
      <c r="Y2" s="9" t="s">
        <v>66</v>
      </c>
      <c r="Z2" s="9" t="s">
        <v>172</v>
      </c>
      <c r="AA2" s="9" t="s">
        <v>556</v>
      </c>
      <c r="AB2" s="9" t="s">
        <v>519</v>
      </c>
      <c r="AC2" s="9" t="s">
        <v>382</v>
      </c>
      <c r="AD2" s="9" t="s">
        <v>346</v>
      </c>
      <c r="AE2" s="9" t="s">
        <v>396</v>
      </c>
      <c r="AF2" s="9" t="s">
        <v>550</v>
      </c>
      <c r="AG2" s="9" t="s">
        <v>182</v>
      </c>
      <c r="AH2" s="9" t="s">
        <v>294</v>
      </c>
      <c r="AI2" s="9" t="s">
        <v>143</v>
      </c>
      <c r="AJ2" s="9" t="s">
        <v>945</v>
      </c>
      <c r="AK2" s="9" t="s">
        <v>184</v>
      </c>
      <c r="AL2" s="9" t="s">
        <v>304</v>
      </c>
      <c r="AM2" s="9" t="s">
        <v>684</v>
      </c>
      <c r="AN2" s="9" t="s">
        <v>253</v>
      </c>
      <c r="AO2" s="9" t="s">
        <v>324</v>
      </c>
      <c r="AP2" s="9" t="s">
        <v>610</v>
      </c>
      <c r="AQ2" s="9" t="s">
        <v>317</v>
      </c>
      <c r="AR2" s="9" t="s">
        <v>458</v>
      </c>
      <c r="AS2" s="9" t="s">
        <v>594</v>
      </c>
      <c r="AT2" s="9" t="s">
        <v>457</v>
      </c>
      <c r="AU2" s="9" t="s">
        <v>460</v>
      </c>
      <c r="AV2" s="9" t="s">
        <v>297</v>
      </c>
      <c r="AW2" s="9" t="s">
        <v>479</v>
      </c>
      <c r="AX2" s="9" t="s">
        <v>464</v>
      </c>
      <c r="AY2" s="9" t="s">
        <v>83</v>
      </c>
      <c r="AZ2" s="9" t="s">
        <v>639</v>
      </c>
    </row>
    <row r="3" spans="1:52" x14ac:dyDescent="0.8">
      <c r="A3" s="4" t="s">
        <v>1059</v>
      </c>
      <c r="B3">
        <v>217</v>
      </c>
      <c r="C3">
        <f>SUM(D3:AZ3)</f>
        <v>346</v>
      </c>
      <c r="D3">
        <v>14</v>
      </c>
      <c r="F3">
        <v>1</v>
      </c>
      <c r="I3">
        <v>1</v>
      </c>
      <c r="J3">
        <v>10</v>
      </c>
      <c r="K3">
        <v>1</v>
      </c>
      <c r="L3">
        <v>1</v>
      </c>
      <c r="M3">
        <v>62</v>
      </c>
      <c r="N3">
        <v>5</v>
      </c>
      <c r="O3">
        <v>5</v>
      </c>
      <c r="P3">
        <v>2</v>
      </c>
      <c r="Q3">
        <v>41</v>
      </c>
      <c r="R3">
        <v>54</v>
      </c>
      <c r="S3">
        <v>4</v>
      </c>
      <c r="V3">
        <v>2</v>
      </c>
      <c r="W3">
        <v>6</v>
      </c>
      <c r="X3">
        <v>12</v>
      </c>
      <c r="Y3">
        <v>14</v>
      </c>
      <c r="Z3">
        <v>5</v>
      </c>
      <c r="AA3">
        <v>1</v>
      </c>
      <c r="AB3">
        <v>3</v>
      </c>
      <c r="AC3">
        <v>6</v>
      </c>
      <c r="AD3">
        <v>2</v>
      </c>
      <c r="AE3">
        <v>1</v>
      </c>
      <c r="AF3">
        <v>2</v>
      </c>
      <c r="AG3">
        <v>3</v>
      </c>
      <c r="AH3">
        <v>9</v>
      </c>
      <c r="AI3">
        <v>30</v>
      </c>
      <c r="AK3">
        <v>1</v>
      </c>
      <c r="AL3">
        <v>1</v>
      </c>
      <c r="AN3">
        <v>1</v>
      </c>
      <c r="AO3">
        <v>3</v>
      </c>
      <c r="AP3">
        <v>1</v>
      </c>
      <c r="AQ3">
        <v>2</v>
      </c>
      <c r="AR3">
        <v>1</v>
      </c>
      <c r="AS3">
        <v>4</v>
      </c>
      <c r="AT3">
        <v>9</v>
      </c>
      <c r="AU3">
        <v>3</v>
      </c>
      <c r="AV3">
        <v>18</v>
      </c>
      <c r="AX3">
        <v>2</v>
      </c>
      <c r="AY3">
        <v>2</v>
      </c>
      <c r="AZ3">
        <v>1</v>
      </c>
    </row>
    <row r="4" spans="1:52" x14ac:dyDescent="0.8">
      <c r="A4" s="4" t="s">
        <v>1097</v>
      </c>
      <c r="B4">
        <v>2</v>
      </c>
      <c r="C4">
        <f t="shared" ref="C4:C7" si="0">SUM(D4:AZ4)</f>
        <v>5</v>
      </c>
      <c r="J4">
        <v>1</v>
      </c>
      <c r="M4">
        <v>1</v>
      </c>
      <c r="AY4">
        <v>1</v>
      </c>
      <c r="AZ4">
        <v>2</v>
      </c>
    </row>
    <row r="5" spans="1:52" x14ac:dyDescent="0.8">
      <c r="A5" s="4" t="s">
        <v>1080</v>
      </c>
      <c r="B5">
        <v>37</v>
      </c>
      <c r="C5">
        <f t="shared" si="0"/>
        <v>36</v>
      </c>
      <c r="G5">
        <v>1</v>
      </c>
      <c r="H5">
        <v>1</v>
      </c>
      <c r="I5">
        <v>1</v>
      </c>
      <c r="M5">
        <v>18</v>
      </c>
      <c r="O5">
        <v>1</v>
      </c>
      <c r="R5">
        <v>1</v>
      </c>
      <c r="T5">
        <v>1</v>
      </c>
      <c r="Z5">
        <v>1</v>
      </c>
      <c r="AH5">
        <v>4</v>
      </c>
      <c r="AI5">
        <v>1</v>
      </c>
      <c r="AM5">
        <v>1</v>
      </c>
      <c r="AZ5">
        <v>5</v>
      </c>
    </row>
    <row r="6" spans="1:52" x14ac:dyDescent="0.8">
      <c r="A6" s="4" t="s">
        <v>1063</v>
      </c>
      <c r="B6">
        <v>20</v>
      </c>
      <c r="C6">
        <f t="shared" si="0"/>
        <v>34</v>
      </c>
      <c r="D6">
        <v>1</v>
      </c>
      <c r="I6">
        <v>1</v>
      </c>
      <c r="M6">
        <v>10</v>
      </c>
      <c r="R6">
        <v>9</v>
      </c>
      <c r="X6">
        <v>4</v>
      </c>
      <c r="Z6">
        <v>1</v>
      </c>
      <c r="AD6">
        <v>1</v>
      </c>
      <c r="AH6">
        <v>2</v>
      </c>
      <c r="AI6">
        <v>4</v>
      </c>
      <c r="AO6">
        <v>1</v>
      </c>
    </row>
    <row r="7" spans="1:52" x14ac:dyDescent="0.8">
      <c r="A7" s="4" t="s">
        <v>1068</v>
      </c>
      <c r="B7">
        <v>164</v>
      </c>
      <c r="C7">
        <f t="shared" si="0"/>
        <v>257</v>
      </c>
      <c r="D7">
        <v>2</v>
      </c>
      <c r="E7">
        <v>1</v>
      </c>
      <c r="G7">
        <v>4</v>
      </c>
      <c r="I7">
        <v>3</v>
      </c>
      <c r="J7">
        <v>9</v>
      </c>
      <c r="M7">
        <v>104</v>
      </c>
      <c r="N7">
        <v>3</v>
      </c>
      <c r="R7">
        <v>32</v>
      </c>
      <c r="U7">
        <v>1</v>
      </c>
      <c r="V7">
        <v>1</v>
      </c>
      <c r="W7">
        <v>1</v>
      </c>
      <c r="X7">
        <v>4</v>
      </c>
      <c r="Y7">
        <v>5</v>
      </c>
      <c r="Z7">
        <v>3</v>
      </c>
      <c r="AC7">
        <v>2</v>
      </c>
      <c r="AD7">
        <v>1</v>
      </c>
      <c r="AE7">
        <v>3</v>
      </c>
      <c r="AH7">
        <v>12</v>
      </c>
      <c r="AI7">
        <v>13</v>
      </c>
      <c r="AJ7">
        <v>1</v>
      </c>
      <c r="AM7">
        <v>1</v>
      </c>
      <c r="AN7">
        <v>1</v>
      </c>
      <c r="AO7">
        <v>1</v>
      </c>
      <c r="AT7">
        <v>1</v>
      </c>
      <c r="AW7">
        <v>46</v>
      </c>
      <c r="AX7">
        <v>1</v>
      </c>
      <c r="AY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PollPlantData_noUNK</vt:lpstr>
      <vt:lpstr>Pivot</vt:lpstr>
      <vt:lpstr>Shape</vt:lpstr>
      <vt:lpstr>Native</vt:lpstr>
      <vt:lpstr>Native BeeSpp</vt:lpstr>
      <vt:lpstr>Color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</dc:creator>
  <cp:lastModifiedBy>Ellie Hazel Kuskie</cp:lastModifiedBy>
  <dcterms:created xsi:type="dcterms:W3CDTF">2025-03-04T00:18:12Z</dcterms:created>
  <dcterms:modified xsi:type="dcterms:W3CDTF">2025-11-07T08:40:26Z</dcterms:modified>
</cp:coreProperties>
</file>